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shek_Kumar\Downloads\"/>
    </mc:Choice>
  </mc:AlternateContent>
  <bookViews>
    <workbookView xWindow="0" yWindow="0" windowWidth="16380" windowHeight="8196" tabRatio="683" firstSheet="1" activeTab="7"/>
  </bookViews>
  <sheets>
    <sheet name="Raw_Shipments" sheetId="5" r:id="rId1"/>
    <sheet name="Raw_Orders" sheetId="2" r:id="rId2"/>
    <sheet name="Raw_Inventory" sheetId="3" r:id="rId3"/>
    <sheet name="Raw_Suppliers" sheetId="4" r:id="rId4"/>
    <sheet name="KPI Dashboard " sheetId="13" r:id="rId5"/>
    <sheet name="ABC Analysis" sheetId="15" r:id="rId6"/>
    <sheet name="Reorder EOQ Planner " sheetId="16" r:id="rId7"/>
    <sheet name="Demand forecast" sheetId="17" r:id="rId8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13" l="1"/>
  <c r="F16" i="13"/>
  <c r="F15" i="13"/>
  <c r="F14" i="13"/>
  <c r="D17" i="17"/>
  <c r="G19" i="17"/>
  <c r="G16" i="17"/>
  <c r="G15" i="17"/>
  <c r="G14" i="17"/>
  <c r="G13" i="17"/>
  <c r="G12" i="17"/>
  <c r="G11" i="17"/>
  <c r="G10" i="17"/>
  <c r="G9" i="17"/>
  <c r="G8" i="17"/>
  <c r="F16" i="17"/>
  <c r="F15" i="17"/>
  <c r="F14" i="17"/>
  <c r="F13" i="17"/>
  <c r="F12" i="17"/>
  <c r="F11" i="17"/>
  <c r="F10" i="17"/>
  <c r="F9" i="17"/>
  <c r="F8" i="17"/>
  <c r="F7" i="17"/>
  <c r="F6" i="17"/>
  <c r="E16" i="17"/>
  <c r="E15" i="17"/>
  <c r="E14" i="17"/>
  <c r="E13" i="17"/>
  <c r="E12" i="17"/>
  <c r="E11" i="17"/>
  <c r="E10" i="17"/>
  <c r="E9" i="17"/>
  <c r="E8" i="17"/>
  <c r="D16" i="17"/>
  <c r="D15" i="17"/>
  <c r="D14" i="17"/>
  <c r="D13" i="17"/>
  <c r="D12" i="17"/>
  <c r="D11" i="17"/>
  <c r="D10" i="17"/>
  <c r="D9" i="17"/>
  <c r="D8" i="17"/>
  <c r="D7" i="17"/>
  <c r="D6" i="17"/>
  <c r="D5" i="17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M45" i="16"/>
  <c r="L45" i="16"/>
  <c r="K45" i="16"/>
  <c r="J45" i="16"/>
  <c r="I45" i="16"/>
  <c r="H45" i="16"/>
  <c r="G45" i="16"/>
  <c r="F45" i="16"/>
  <c r="M44" i="16"/>
  <c r="L44" i="16"/>
  <c r="K44" i="16"/>
  <c r="J44" i="16"/>
  <c r="I44" i="16"/>
  <c r="H44" i="16"/>
  <c r="G44" i="16"/>
  <c r="F44" i="16"/>
  <c r="M43" i="16"/>
  <c r="L43" i="16"/>
  <c r="K43" i="16"/>
  <c r="J43" i="16"/>
  <c r="I43" i="16"/>
  <c r="H43" i="16"/>
  <c r="G43" i="16"/>
  <c r="F43" i="16"/>
  <c r="M42" i="16"/>
  <c r="L42" i="16"/>
  <c r="K42" i="16"/>
  <c r="J42" i="16"/>
  <c r="I42" i="16"/>
  <c r="H42" i="16"/>
  <c r="G42" i="16"/>
  <c r="F42" i="16"/>
  <c r="M41" i="16"/>
  <c r="L41" i="16"/>
  <c r="K41" i="16"/>
  <c r="J41" i="16"/>
  <c r="I41" i="16"/>
  <c r="H41" i="16"/>
  <c r="G41" i="16"/>
  <c r="F41" i="16"/>
  <c r="M40" i="16"/>
  <c r="L40" i="16"/>
  <c r="K40" i="16"/>
  <c r="J40" i="16"/>
  <c r="I40" i="16"/>
  <c r="H40" i="16"/>
  <c r="G40" i="16"/>
  <c r="F40" i="16"/>
  <c r="M39" i="16"/>
  <c r="L39" i="16"/>
  <c r="K39" i="16"/>
  <c r="J39" i="16"/>
  <c r="I39" i="16"/>
  <c r="H39" i="16"/>
  <c r="G39" i="16"/>
  <c r="F39" i="16"/>
  <c r="M38" i="16"/>
  <c r="L38" i="16"/>
  <c r="K38" i="16"/>
  <c r="J38" i="16"/>
  <c r="I38" i="16"/>
  <c r="H38" i="16"/>
  <c r="G38" i="16"/>
  <c r="F38" i="16"/>
  <c r="M37" i="16"/>
  <c r="L37" i="16"/>
  <c r="K37" i="16"/>
  <c r="J37" i="16"/>
  <c r="I37" i="16"/>
  <c r="H37" i="16"/>
  <c r="G37" i="16"/>
  <c r="F37" i="16"/>
  <c r="M36" i="16"/>
  <c r="L36" i="16"/>
  <c r="K36" i="16"/>
  <c r="J36" i="16"/>
  <c r="I36" i="16"/>
  <c r="H36" i="16"/>
  <c r="G36" i="16"/>
  <c r="F36" i="16"/>
  <c r="M35" i="16"/>
  <c r="L35" i="16"/>
  <c r="K35" i="16"/>
  <c r="J35" i="16"/>
  <c r="I35" i="16"/>
  <c r="H35" i="16"/>
  <c r="G35" i="16"/>
  <c r="F35" i="16"/>
  <c r="M34" i="16"/>
  <c r="L34" i="16"/>
  <c r="K34" i="16"/>
  <c r="J34" i="16"/>
  <c r="I34" i="16"/>
  <c r="H34" i="16"/>
  <c r="G34" i="16"/>
  <c r="F34" i="16"/>
  <c r="M33" i="16"/>
  <c r="L33" i="16"/>
  <c r="K33" i="16"/>
  <c r="J33" i="16"/>
  <c r="I33" i="16"/>
  <c r="H33" i="16"/>
  <c r="G33" i="16"/>
  <c r="F33" i="16"/>
  <c r="M32" i="16"/>
  <c r="L32" i="16"/>
  <c r="K32" i="16"/>
  <c r="J32" i="16"/>
  <c r="I32" i="16"/>
  <c r="H32" i="16"/>
  <c r="G32" i="16"/>
  <c r="F32" i="16"/>
  <c r="M31" i="16"/>
  <c r="L31" i="16"/>
  <c r="K31" i="16"/>
  <c r="J31" i="16"/>
  <c r="I31" i="16"/>
  <c r="H31" i="16"/>
  <c r="G31" i="16"/>
  <c r="F31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D31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D16" i="15"/>
  <c r="D17" i="15"/>
  <c r="D7" i="15"/>
  <c r="D15" i="15"/>
  <c r="D8" i="15"/>
  <c r="D14" i="15"/>
  <c r="D10" i="15"/>
  <c r="D9" i="15"/>
  <c r="D13" i="15"/>
  <c r="D19" i="15"/>
  <c r="D11" i="15"/>
  <c r="D18" i="15"/>
  <c r="D5" i="15"/>
  <c r="D12" i="15"/>
  <c r="D6" i="15"/>
  <c r="C16" i="15"/>
  <c r="C17" i="15"/>
  <c r="C7" i="15"/>
  <c r="C15" i="15"/>
  <c r="C8" i="15"/>
  <c r="C14" i="15"/>
  <c r="C10" i="15"/>
  <c r="C9" i="15"/>
  <c r="C13" i="15"/>
  <c r="C19" i="15"/>
  <c r="C11" i="15"/>
  <c r="C18" i="15"/>
  <c r="C5" i="15"/>
  <c r="C12" i="15"/>
  <c r="C6" i="15"/>
  <c r="B16" i="15"/>
  <c r="B8" i="15"/>
  <c r="B15" i="15"/>
  <c r="B7" i="15"/>
  <c r="B17" i="15"/>
  <c r="B12" i="15"/>
  <c r="B5" i="15"/>
  <c r="B18" i="15"/>
  <c r="B11" i="15"/>
  <c r="B19" i="15"/>
  <c r="B13" i="15"/>
  <c r="B9" i="15"/>
  <c r="B10" i="15"/>
  <c r="B14" i="15"/>
  <c r="B6" i="15"/>
  <c r="H25" i="13"/>
  <c r="H24" i="13"/>
  <c r="H23" i="13"/>
  <c r="H22" i="13"/>
  <c r="H21" i="13"/>
  <c r="G25" i="13"/>
  <c r="G24" i="13"/>
  <c r="G23" i="13"/>
  <c r="G22" i="13"/>
  <c r="G21" i="13"/>
  <c r="D24" i="13"/>
  <c r="D23" i="13"/>
  <c r="D22" i="13"/>
  <c r="D21" i="13"/>
  <c r="C24" i="13"/>
  <c r="C23" i="13"/>
  <c r="C22" i="13"/>
  <c r="C21" i="13"/>
  <c r="B24" i="13"/>
  <c r="B23" i="13"/>
  <c r="B22" i="13"/>
  <c r="B21" i="13"/>
  <c r="G8" i="13"/>
  <c r="E8" i="13"/>
  <c r="C8" i="13"/>
  <c r="A8" i="13"/>
  <c r="G5" i="13"/>
  <c r="A5" i="13"/>
  <c r="E5" i="13"/>
  <c r="C5" i="13"/>
  <c r="I9" i="4"/>
  <c r="I8" i="4"/>
  <c r="I7" i="4"/>
  <c r="I6" i="4"/>
  <c r="I5" i="4"/>
  <c r="I4" i="4"/>
  <c r="I3" i="4"/>
  <c r="I2" i="4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" i="2"/>
  <c r="L77" i="5"/>
  <c r="M77" i="5" s="1"/>
  <c r="L124" i="5"/>
  <c r="M124" i="5" s="1"/>
  <c r="L292" i="5"/>
  <c r="M292" i="5" s="1"/>
  <c r="L413" i="5"/>
  <c r="M413" i="5" s="1"/>
  <c r="L420" i="5"/>
  <c r="M420" i="5" s="1"/>
  <c r="L535" i="5"/>
  <c r="M535" i="5" s="1"/>
  <c r="L542" i="5"/>
  <c r="M542" i="5" s="1"/>
  <c r="L597" i="5"/>
  <c r="M597" i="5" s="1"/>
  <c r="L613" i="5"/>
  <c r="M613" i="5" s="1"/>
  <c r="L660" i="5"/>
  <c r="M660" i="5" s="1"/>
  <c r="L661" i="5"/>
  <c r="M661" i="5" s="1"/>
  <c r="L724" i="5"/>
  <c r="M724" i="5" s="1"/>
  <c r="L829" i="5"/>
  <c r="M829" i="5" s="1"/>
  <c r="L892" i="5"/>
  <c r="M892" i="5" s="1"/>
  <c r="L893" i="5"/>
  <c r="M893" i="5" s="1"/>
  <c r="L940" i="5"/>
  <c r="M940" i="5" s="1"/>
  <c r="L956" i="5"/>
  <c r="M956" i="5" s="1"/>
  <c r="L1004" i="5"/>
  <c r="M1004" i="5" s="1"/>
  <c r="L1061" i="5"/>
  <c r="M1061" i="5" s="1"/>
  <c r="L1109" i="5"/>
  <c r="M1109" i="5" s="1"/>
  <c r="L1156" i="5"/>
  <c r="M1156" i="5" s="1"/>
  <c r="L1157" i="5"/>
  <c r="M1157" i="5" s="1"/>
  <c r="L1204" i="5"/>
  <c r="M1204" i="5" s="1"/>
  <c r="L1237" i="5"/>
  <c r="M1237" i="5" s="1"/>
  <c r="L1284" i="5"/>
  <c r="M1284" i="5" s="1"/>
  <c r="L1369" i="5"/>
  <c r="M1369" i="5" s="1"/>
  <c r="L1370" i="5"/>
  <c r="M1370" i="5" s="1"/>
  <c r="L1399" i="5"/>
  <c r="M1399" i="5" s="1"/>
  <c r="L1401" i="5"/>
  <c r="M1401" i="5" s="1"/>
  <c r="L1425" i="5"/>
  <c r="M1425" i="5" s="1"/>
  <c r="L1465" i="5"/>
  <c r="M1465" i="5" s="1"/>
  <c r="L1489" i="5"/>
  <c r="M1489" i="5" s="1"/>
  <c r="L1502" i="5"/>
  <c r="M1502" i="5" s="1"/>
  <c r="L1505" i="5"/>
  <c r="M1505" i="5" s="1"/>
  <c r="L1513" i="5"/>
  <c r="M1513" i="5" s="1"/>
  <c r="L1555" i="5"/>
  <c r="M1555" i="5" s="1"/>
  <c r="L1619" i="5"/>
  <c r="M1619" i="5" s="1"/>
  <c r="L1683" i="5"/>
  <c r="M1683" i="5" s="1"/>
  <c r="L1747" i="5"/>
  <c r="M1747" i="5" s="1"/>
  <c r="L1811" i="5"/>
  <c r="M1811" i="5" s="1"/>
  <c r="L1875" i="5"/>
  <c r="M1875" i="5" s="1"/>
  <c r="L1939" i="5"/>
  <c r="M1939" i="5" s="1"/>
  <c r="L2003" i="5"/>
  <c r="M2003" i="5" s="1"/>
  <c r="L2067" i="5"/>
  <c r="M2067" i="5" s="1"/>
  <c r="L2131" i="5"/>
  <c r="M2131" i="5" s="1"/>
  <c r="L2195" i="5"/>
  <c r="M2195" i="5" s="1"/>
  <c r="L2226" i="5"/>
  <c r="M2226" i="5" s="1"/>
  <c r="L2227" i="5"/>
  <c r="M2227" i="5" s="1"/>
  <c r="L2258" i="5"/>
  <c r="M2258" i="5" s="1"/>
  <c r="L2259" i="5"/>
  <c r="M2259" i="5" s="1"/>
  <c r="L2290" i="5"/>
  <c r="M2290" i="5" s="1"/>
  <c r="L2291" i="5"/>
  <c r="M2291" i="5" s="1"/>
  <c r="L2322" i="5"/>
  <c r="M2322" i="5" s="1"/>
  <c r="L2323" i="5"/>
  <c r="M2323" i="5" s="1"/>
  <c r="L2354" i="5"/>
  <c r="M2354" i="5" s="1"/>
  <c r="L2355" i="5"/>
  <c r="M2355" i="5" s="1"/>
  <c r="L2386" i="5"/>
  <c r="M2386" i="5" s="1"/>
  <c r="L2387" i="5"/>
  <c r="M2387" i="5" s="1"/>
  <c r="L2418" i="5"/>
  <c r="M2418" i="5" s="1"/>
  <c r="L2419" i="5"/>
  <c r="M2419" i="5" s="1"/>
  <c r="K2" i="5"/>
  <c r="L2" i="5" s="1"/>
  <c r="M2" i="5" s="1"/>
  <c r="K3" i="5"/>
  <c r="L3" i="5" s="1"/>
  <c r="M3" i="5" s="1"/>
  <c r="K4" i="5"/>
  <c r="L4" i="5" s="1"/>
  <c r="M4" i="5" s="1"/>
  <c r="K5" i="5"/>
  <c r="L5" i="5" s="1"/>
  <c r="M5" i="5" s="1"/>
  <c r="K6" i="5"/>
  <c r="L6" i="5" s="1"/>
  <c r="M6" i="5" s="1"/>
  <c r="K7" i="5"/>
  <c r="L7" i="5" s="1"/>
  <c r="M7" i="5" s="1"/>
  <c r="K8" i="5"/>
  <c r="L8" i="5" s="1"/>
  <c r="M8" i="5" s="1"/>
  <c r="K9" i="5"/>
  <c r="L9" i="5" s="1"/>
  <c r="M9" i="5" s="1"/>
  <c r="K10" i="5"/>
  <c r="L10" i="5" s="1"/>
  <c r="M10" i="5" s="1"/>
  <c r="K11" i="5"/>
  <c r="L11" i="5" s="1"/>
  <c r="M11" i="5" s="1"/>
  <c r="K12" i="5"/>
  <c r="L12" i="5" s="1"/>
  <c r="M12" i="5" s="1"/>
  <c r="K13" i="5"/>
  <c r="L13" i="5" s="1"/>
  <c r="M13" i="5" s="1"/>
  <c r="K14" i="5"/>
  <c r="L14" i="5" s="1"/>
  <c r="M14" i="5" s="1"/>
  <c r="K15" i="5"/>
  <c r="L15" i="5" s="1"/>
  <c r="M15" i="5" s="1"/>
  <c r="K16" i="5"/>
  <c r="L16" i="5" s="1"/>
  <c r="M16" i="5" s="1"/>
  <c r="K17" i="5"/>
  <c r="L17" i="5" s="1"/>
  <c r="M17" i="5" s="1"/>
  <c r="K18" i="5"/>
  <c r="L18" i="5" s="1"/>
  <c r="M18" i="5" s="1"/>
  <c r="K19" i="5"/>
  <c r="L19" i="5" s="1"/>
  <c r="M19" i="5" s="1"/>
  <c r="K20" i="5"/>
  <c r="L20" i="5" s="1"/>
  <c r="M20" i="5" s="1"/>
  <c r="K21" i="5"/>
  <c r="L21" i="5" s="1"/>
  <c r="M21" i="5" s="1"/>
  <c r="K22" i="5"/>
  <c r="L22" i="5" s="1"/>
  <c r="M22" i="5" s="1"/>
  <c r="K23" i="5"/>
  <c r="L23" i="5" s="1"/>
  <c r="M23" i="5" s="1"/>
  <c r="K24" i="5"/>
  <c r="L24" i="5" s="1"/>
  <c r="M24" i="5" s="1"/>
  <c r="K25" i="5"/>
  <c r="L25" i="5" s="1"/>
  <c r="M25" i="5" s="1"/>
  <c r="K26" i="5"/>
  <c r="L26" i="5" s="1"/>
  <c r="M26" i="5" s="1"/>
  <c r="K27" i="5"/>
  <c r="L27" i="5" s="1"/>
  <c r="M27" i="5" s="1"/>
  <c r="K28" i="5"/>
  <c r="L28" i="5" s="1"/>
  <c r="M28" i="5" s="1"/>
  <c r="K29" i="5"/>
  <c r="L29" i="5" s="1"/>
  <c r="M29" i="5" s="1"/>
  <c r="K30" i="5"/>
  <c r="L30" i="5" s="1"/>
  <c r="M30" i="5" s="1"/>
  <c r="K31" i="5"/>
  <c r="L31" i="5" s="1"/>
  <c r="M31" i="5" s="1"/>
  <c r="K32" i="5"/>
  <c r="L32" i="5" s="1"/>
  <c r="M32" i="5" s="1"/>
  <c r="K33" i="5"/>
  <c r="L33" i="5" s="1"/>
  <c r="M33" i="5" s="1"/>
  <c r="K34" i="5"/>
  <c r="L34" i="5" s="1"/>
  <c r="M34" i="5" s="1"/>
  <c r="K35" i="5"/>
  <c r="L35" i="5" s="1"/>
  <c r="M35" i="5" s="1"/>
  <c r="K36" i="5"/>
  <c r="L36" i="5" s="1"/>
  <c r="M36" i="5" s="1"/>
  <c r="K37" i="5"/>
  <c r="L37" i="5" s="1"/>
  <c r="M37" i="5" s="1"/>
  <c r="K38" i="5"/>
  <c r="L38" i="5" s="1"/>
  <c r="M38" i="5" s="1"/>
  <c r="K39" i="5"/>
  <c r="L39" i="5" s="1"/>
  <c r="M39" i="5" s="1"/>
  <c r="K40" i="5"/>
  <c r="L40" i="5" s="1"/>
  <c r="M40" i="5" s="1"/>
  <c r="K41" i="5"/>
  <c r="L41" i="5" s="1"/>
  <c r="M41" i="5" s="1"/>
  <c r="K42" i="5"/>
  <c r="L42" i="5" s="1"/>
  <c r="M42" i="5" s="1"/>
  <c r="K43" i="5"/>
  <c r="L43" i="5" s="1"/>
  <c r="M43" i="5" s="1"/>
  <c r="K44" i="5"/>
  <c r="L44" i="5" s="1"/>
  <c r="M44" i="5" s="1"/>
  <c r="K45" i="5"/>
  <c r="L45" i="5" s="1"/>
  <c r="M45" i="5" s="1"/>
  <c r="K46" i="5"/>
  <c r="L46" i="5" s="1"/>
  <c r="M46" i="5" s="1"/>
  <c r="K47" i="5"/>
  <c r="L47" i="5" s="1"/>
  <c r="M47" i="5" s="1"/>
  <c r="K48" i="5"/>
  <c r="L48" i="5" s="1"/>
  <c r="M48" i="5" s="1"/>
  <c r="K49" i="5"/>
  <c r="L49" i="5" s="1"/>
  <c r="M49" i="5" s="1"/>
  <c r="K50" i="5"/>
  <c r="L50" i="5" s="1"/>
  <c r="M50" i="5" s="1"/>
  <c r="K51" i="5"/>
  <c r="L51" i="5" s="1"/>
  <c r="M51" i="5" s="1"/>
  <c r="K52" i="5"/>
  <c r="L52" i="5" s="1"/>
  <c r="M52" i="5" s="1"/>
  <c r="K53" i="5"/>
  <c r="L53" i="5" s="1"/>
  <c r="M53" i="5" s="1"/>
  <c r="K54" i="5"/>
  <c r="L54" i="5" s="1"/>
  <c r="M54" i="5" s="1"/>
  <c r="K55" i="5"/>
  <c r="L55" i="5" s="1"/>
  <c r="M55" i="5" s="1"/>
  <c r="K56" i="5"/>
  <c r="L56" i="5" s="1"/>
  <c r="M56" i="5" s="1"/>
  <c r="K57" i="5"/>
  <c r="L57" i="5" s="1"/>
  <c r="M57" i="5" s="1"/>
  <c r="K58" i="5"/>
  <c r="L58" i="5" s="1"/>
  <c r="M58" i="5" s="1"/>
  <c r="K59" i="5"/>
  <c r="L59" i="5" s="1"/>
  <c r="M59" i="5" s="1"/>
  <c r="K60" i="5"/>
  <c r="L60" i="5" s="1"/>
  <c r="M60" i="5" s="1"/>
  <c r="K61" i="5"/>
  <c r="L61" i="5" s="1"/>
  <c r="M61" i="5" s="1"/>
  <c r="K62" i="5"/>
  <c r="L62" i="5" s="1"/>
  <c r="M62" i="5" s="1"/>
  <c r="K63" i="5"/>
  <c r="L63" i="5" s="1"/>
  <c r="M63" i="5" s="1"/>
  <c r="K64" i="5"/>
  <c r="L64" i="5" s="1"/>
  <c r="M64" i="5" s="1"/>
  <c r="K65" i="5"/>
  <c r="L65" i="5" s="1"/>
  <c r="M65" i="5" s="1"/>
  <c r="K66" i="5"/>
  <c r="L66" i="5" s="1"/>
  <c r="M66" i="5" s="1"/>
  <c r="K67" i="5"/>
  <c r="L67" i="5" s="1"/>
  <c r="M67" i="5" s="1"/>
  <c r="K68" i="5"/>
  <c r="L68" i="5" s="1"/>
  <c r="M68" i="5" s="1"/>
  <c r="K69" i="5"/>
  <c r="L69" i="5" s="1"/>
  <c r="M69" i="5" s="1"/>
  <c r="K70" i="5"/>
  <c r="L70" i="5" s="1"/>
  <c r="M70" i="5" s="1"/>
  <c r="K71" i="5"/>
  <c r="L71" i="5" s="1"/>
  <c r="M71" i="5" s="1"/>
  <c r="K72" i="5"/>
  <c r="L72" i="5" s="1"/>
  <c r="M72" i="5" s="1"/>
  <c r="K73" i="5"/>
  <c r="L73" i="5" s="1"/>
  <c r="M73" i="5" s="1"/>
  <c r="K74" i="5"/>
  <c r="L74" i="5" s="1"/>
  <c r="M74" i="5" s="1"/>
  <c r="K75" i="5"/>
  <c r="L75" i="5" s="1"/>
  <c r="M75" i="5" s="1"/>
  <c r="K76" i="5"/>
  <c r="L76" i="5" s="1"/>
  <c r="M76" i="5" s="1"/>
  <c r="K77" i="5"/>
  <c r="K78" i="5"/>
  <c r="L78" i="5" s="1"/>
  <c r="M78" i="5" s="1"/>
  <c r="K79" i="5"/>
  <c r="L79" i="5" s="1"/>
  <c r="M79" i="5" s="1"/>
  <c r="K80" i="5"/>
  <c r="L80" i="5" s="1"/>
  <c r="M80" i="5" s="1"/>
  <c r="K81" i="5"/>
  <c r="L81" i="5" s="1"/>
  <c r="M81" i="5" s="1"/>
  <c r="K82" i="5"/>
  <c r="L82" i="5" s="1"/>
  <c r="M82" i="5" s="1"/>
  <c r="K83" i="5"/>
  <c r="L83" i="5" s="1"/>
  <c r="M83" i="5" s="1"/>
  <c r="K84" i="5"/>
  <c r="L84" i="5" s="1"/>
  <c r="M84" i="5" s="1"/>
  <c r="K85" i="5"/>
  <c r="L85" i="5" s="1"/>
  <c r="M85" i="5" s="1"/>
  <c r="K86" i="5"/>
  <c r="L86" i="5" s="1"/>
  <c r="M86" i="5" s="1"/>
  <c r="K87" i="5"/>
  <c r="L87" i="5" s="1"/>
  <c r="M87" i="5" s="1"/>
  <c r="K88" i="5"/>
  <c r="L88" i="5" s="1"/>
  <c r="M88" i="5" s="1"/>
  <c r="K89" i="5"/>
  <c r="L89" i="5" s="1"/>
  <c r="M89" i="5" s="1"/>
  <c r="K90" i="5"/>
  <c r="L90" i="5" s="1"/>
  <c r="M90" i="5" s="1"/>
  <c r="K91" i="5"/>
  <c r="L91" i="5" s="1"/>
  <c r="M91" i="5" s="1"/>
  <c r="K92" i="5"/>
  <c r="L92" i="5" s="1"/>
  <c r="M92" i="5" s="1"/>
  <c r="K93" i="5"/>
  <c r="L93" i="5" s="1"/>
  <c r="M93" i="5" s="1"/>
  <c r="K94" i="5"/>
  <c r="L94" i="5" s="1"/>
  <c r="M94" i="5" s="1"/>
  <c r="K95" i="5"/>
  <c r="L95" i="5" s="1"/>
  <c r="M95" i="5" s="1"/>
  <c r="K96" i="5"/>
  <c r="L96" i="5" s="1"/>
  <c r="M96" i="5" s="1"/>
  <c r="K97" i="5"/>
  <c r="L97" i="5" s="1"/>
  <c r="M97" i="5" s="1"/>
  <c r="K98" i="5"/>
  <c r="L98" i="5" s="1"/>
  <c r="M98" i="5" s="1"/>
  <c r="K99" i="5"/>
  <c r="L99" i="5" s="1"/>
  <c r="M99" i="5" s="1"/>
  <c r="K100" i="5"/>
  <c r="L100" i="5" s="1"/>
  <c r="M100" i="5" s="1"/>
  <c r="K101" i="5"/>
  <c r="L101" i="5" s="1"/>
  <c r="M101" i="5" s="1"/>
  <c r="K102" i="5"/>
  <c r="L102" i="5" s="1"/>
  <c r="M102" i="5" s="1"/>
  <c r="K103" i="5"/>
  <c r="L103" i="5" s="1"/>
  <c r="M103" i="5" s="1"/>
  <c r="K104" i="5"/>
  <c r="L104" i="5" s="1"/>
  <c r="M104" i="5" s="1"/>
  <c r="K105" i="5"/>
  <c r="L105" i="5" s="1"/>
  <c r="M105" i="5" s="1"/>
  <c r="K106" i="5"/>
  <c r="L106" i="5" s="1"/>
  <c r="M106" i="5" s="1"/>
  <c r="K107" i="5"/>
  <c r="L107" i="5" s="1"/>
  <c r="M107" i="5" s="1"/>
  <c r="K108" i="5"/>
  <c r="L108" i="5" s="1"/>
  <c r="M108" i="5" s="1"/>
  <c r="K109" i="5"/>
  <c r="L109" i="5" s="1"/>
  <c r="M109" i="5" s="1"/>
  <c r="K110" i="5"/>
  <c r="L110" i="5" s="1"/>
  <c r="M110" i="5" s="1"/>
  <c r="K111" i="5"/>
  <c r="L111" i="5" s="1"/>
  <c r="M111" i="5" s="1"/>
  <c r="K112" i="5"/>
  <c r="L112" i="5" s="1"/>
  <c r="M112" i="5" s="1"/>
  <c r="K113" i="5"/>
  <c r="L113" i="5" s="1"/>
  <c r="M113" i="5" s="1"/>
  <c r="K114" i="5"/>
  <c r="L114" i="5" s="1"/>
  <c r="M114" i="5" s="1"/>
  <c r="K115" i="5"/>
  <c r="L115" i="5" s="1"/>
  <c r="M115" i="5" s="1"/>
  <c r="K116" i="5"/>
  <c r="L116" i="5" s="1"/>
  <c r="M116" i="5" s="1"/>
  <c r="K117" i="5"/>
  <c r="L117" i="5" s="1"/>
  <c r="M117" i="5" s="1"/>
  <c r="K118" i="5"/>
  <c r="L118" i="5" s="1"/>
  <c r="M118" i="5" s="1"/>
  <c r="K119" i="5"/>
  <c r="L119" i="5" s="1"/>
  <c r="M119" i="5" s="1"/>
  <c r="K120" i="5"/>
  <c r="L120" i="5" s="1"/>
  <c r="M120" i="5" s="1"/>
  <c r="K121" i="5"/>
  <c r="L121" i="5" s="1"/>
  <c r="M121" i="5" s="1"/>
  <c r="K122" i="5"/>
  <c r="L122" i="5" s="1"/>
  <c r="M122" i="5" s="1"/>
  <c r="K123" i="5"/>
  <c r="L123" i="5" s="1"/>
  <c r="M123" i="5" s="1"/>
  <c r="K124" i="5"/>
  <c r="K125" i="5"/>
  <c r="L125" i="5" s="1"/>
  <c r="M125" i="5" s="1"/>
  <c r="K126" i="5"/>
  <c r="L126" i="5" s="1"/>
  <c r="M126" i="5" s="1"/>
  <c r="K127" i="5"/>
  <c r="L127" i="5" s="1"/>
  <c r="M127" i="5" s="1"/>
  <c r="K128" i="5"/>
  <c r="L128" i="5" s="1"/>
  <c r="M128" i="5" s="1"/>
  <c r="K129" i="5"/>
  <c r="L129" i="5" s="1"/>
  <c r="M129" i="5" s="1"/>
  <c r="K130" i="5"/>
  <c r="L130" i="5" s="1"/>
  <c r="M130" i="5" s="1"/>
  <c r="K131" i="5"/>
  <c r="L131" i="5" s="1"/>
  <c r="M131" i="5" s="1"/>
  <c r="K132" i="5"/>
  <c r="L132" i="5" s="1"/>
  <c r="M132" i="5" s="1"/>
  <c r="K133" i="5"/>
  <c r="L133" i="5" s="1"/>
  <c r="M133" i="5" s="1"/>
  <c r="K134" i="5"/>
  <c r="L134" i="5" s="1"/>
  <c r="M134" i="5" s="1"/>
  <c r="K135" i="5"/>
  <c r="L135" i="5" s="1"/>
  <c r="M135" i="5" s="1"/>
  <c r="K136" i="5"/>
  <c r="L136" i="5" s="1"/>
  <c r="M136" i="5" s="1"/>
  <c r="K137" i="5"/>
  <c r="L137" i="5" s="1"/>
  <c r="M137" i="5" s="1"/>
  <c r="K138" i="5"/>
  <c r="L138" i="5" s="1"/>
  <c r="M138" i="5" s="1"/>
  <c r="K139" i="5"/>
  <c r="L139" i="5" s="1"/>
  <c r="M139" i="5" s="1"/>
  <c r="K140" i="5"/>
  <c r="L140" i="5" s="1"/>
  <c r="M140" i="5" s="1"/>
  <c r="K141" i="5"/>
  <c r="L141" i="5" s="1"/>
  <c r="M141" i="5" s="1"/>
  <c r="K142" i="5"/>
  <c r="L142" i="5" s="1"/>
  <c r="M142" i="5" s="1"/>
  <c r="K143" i="5"/>
  <c r="L143" i="5" s="1"/>
  <c r="M143" i="5" s="1"/>
  <c r="K144" i="5"/>
  <c r="L144" i="5" s="1"/>
  <c r="M144" i="5" s="1"/>
  <c r="K145" i="5"/>
  <c r="L145" i="5" s="1"/>
  <c r="M145" i="5" s="1"/>
  <c r="K146" i="5"/>
  <c r="L146" i="5" s="1"/>
  <c r="M146" i="5" s="1"/>
  <c r="K147" i="5"/>
  <c r="L147" i="5" s="1"/>
  <c r="M147" i="5" s="1"/>
  <c r="K148" i="5"/>
  <c r="L148" i="5" s="1"/>
  <c r="M148" i="5" s="1"/>
  <c r="K149" i="5"/>
  <c r="L149" i="5" s="1"/>
  <c r="M149" i="5" s="1"/>
  <c r="K150" i="5"/>
  <c r="L150" i="5" s="1"/>
  <c r="M150" i="5" s="1"/>
  <c r="K151" i="5"/>
  <c r="L151" i="5" s="1"/>
  <c r="M151" i="5" s="1"/>
  <c r="K152" i="5"/>
  <c r="L152" i="5" s="1"/>
  <c r="M152" i="5" s="1"/>
  <c r="K153" i="5"/>
  <c r="L153" i="5" s="1"/>
  <c r="M153" i="5" s="1"/>
  <c r="K154" i="5"/>
  <c r="L154" i="5" s="1"/>
  <c r="M154" i="5" s="1"/>
  <c r="K155" i="5"/>
  <c r="L155" i="5" s="1"/>
  <c r="M155" i="5" s="1"/>
  <c r="K156" i="5"/>
  <c r="L156" i="5" s="1"/>
  <c r="M156" i="5" s="1"/>
  <c r="K157" i="5"/>
  <c r="L157" i="5" s="1"/>
  <c r="M157" i="5" s="1"/>
  <c r="K158" i="5"/>
  <c r="L158" i="5" s="1"/>
  <c r="M158" i="5" s="1"/>
  <c r="K159" i="5"/>
  <c r="L159" i="5" s="1"/>
  <c r="M159" i="5" s="1"/>
  <c r="K160" i="5"/>
  <c r="L160" i="5" s="1"/>
  <c r="M160" i="5" s="1"/>
  <c r="K161" i="5"/>
  <c r="L161" i="5" s="1"/>
  <c r="M161" i="5" s="1"/>
  <c r="K162" i="5"/>
  <c r="L162" i="5" s="1"/>
  <c r="M162" i="5" s="1"/>
  <c r="K163" i="5"/>
  <c r="L163" i="5" s="1"/>
  <c r="M163" i="5" s="1"/>
  <c r="K164" i="5"/>
  <c r="L164" i="5" s="1"/>
  <c r="M164" i="5" s="1"/>
  <c r="K165" i="5"/>
  <c r="L165" i="5" s="1"/>
  <c r="M165" i="5" s="1"/>
  <c r="K166" i="5"/>
  <c r="L166" i="5" s="1"/>
  <c r="M166" i="5" s="1"/>
  <c r="K167" i="5"/>
  <c r="L167" i="5" s="1"/>
  <c r="M167" i="5" s="1"/>
  <c r="K168" i="5"/>
  <c r="L168" i="5" s="1"/>
  <c r="M168" i="5" s="1"/>
  <c r="K169" i="5"/>
  <c r="L169" i="5" s="1"/>
  <c r="M169" i="5" s="1"/>
  <c r="K170" i="5"/>
  <c r="L170" i="5" s="1"/>
  <c r="M170" i="5" s="1"/>
  <c r="K171" i="5"/>
  <c r="L171" i="5" s="1"/>
  <c r="M171" i="5" s="1"/>
  <c r="K172" i="5"/>
  <c r="L172" i="5" s="1"/>
  <c r="M172" i="5" s="1"/>
  <c r="K173" i="5"/>
  <c r="L173" i="5" s="1"/>
  <c r="M173" i="5" s="1"/>
  <c r="K174" i="5"/>
  <c r="L174" i="5" s="1"/>
  <c r="M174" i="5" s="1"/>
  <c r="K175" i="5"/>
  <c r="L175" i="5" s="1"/>
  <c r="M175" i="5" s="1"/>
  <c r="K176" i="5"/>
  <c r="L176" i="5" s="1"/>
  <c r="M176" i="5" s="1"/>
  <c r="K177" i="5"/>
  <c r="L177" i="5" s="1"/>
  <c r="M177" i="5" s="1"/>
  <c r="K178" i="5"/>
  <c r="L178" i="5" s="1"/>
  <c r="M178" i="5" s="1"/>
  <c r="K179" i="5"/>
  <c r="L179" i="5" s="1"/>
  <c r="M179" i="5" s="1"/>
  <c r="K180" i="5"/>
  <c r="L180" i="5" s="1"/>
  <c r="M180" i="5" s="1"/>
  <c r="K181" i="5"/>
  <c r="L181" i="5" s="1"/>
  <c r="M181" i="5" s="1"/>
  <c r="K182" i="5"/>
  <c r="L182" i="5" s="1"/>
  <c r="M182" i="5" s="1"/>
  <c r="K183" i="5"/>
  <c r="L183" i="5" s="1"/>
  <c r="M183" i="5" s="1"/>
  <c r="K184" i="5"/>
  <c r="L184" i="5" s="1"/>
  <c r="M184" i="5" s="1"/>
  <c r="K185" i="5"/>
  <c r="L185" i="5" s="1"/>
  <c r="M185" i="5" s="1"/>
  <c r="K186" i="5"/>
  <c r="L186" i="5" s="1"/>
  <c r="M186" i="5" s="1"/>
  <c r="K187" i="5"/>
  <c r="L187" i="5" s="1"/>
  <c r="M187" i="5" s="1"/>
  <c r="K188" i="5"/>
  <c r="L188" i="5" s="1"/>
  <c r="M188" i="5" s="1"/>
  <c r="K189" i="5"/>
  <c r="L189" i="5" s="1"/>
  <c r="M189" i="5" s="1"/>
  <c r="K190" i="5"/>
  <c r="L190" i="5" s="1"/>
  <c r="M190" i="5" s="1"/>
  <c r="K191" i="5"/>
  <c r="L191" i="5" s="1"/>
  <c r="M191" i="5" s="1"/>
  <c r="K192" i="5"/>
  <c r="L192" i="5" s="1"/>
  <c r="M192" i="5" s="1"/>
  <c r="K193" i="5"/>
  <c r="L193" i="5" s="1"/>
  <c r="M193" i="5" s="1"/>
  <c r="K194" i="5"/>
  <c r="L194" i="5" s="1"/>
  <c r="M194" i="5" s="1"/>
  <c r="K195" i="5"/>
  <c r="L195" i="5" s="1"/>
  <c r="M195" i="5" s="1"/>
  <c r="K196" i="5"/>
  <c r="L196" i="5" s="1"/>
  <c r="M196" i="5" s="1"/>
  <c r="K197" i="5"/>
  <c r="L197" i="5" s="1"/>
  <c r="M197" i="5" s="1"/>
  <c r="K198" i="5"/>
  <c r="L198" i="5" s="1"/>
  <c r="M198" i="5" s="1"/>
  <c r="K199" i="5"/>
  <c r="L199" i="5" s="1"/>
  <c r="M199" i="5" s="1"/>
  <c r="K200" i="5"/>
  <c r="L200" i="5" s="1"/>
  <c r="M200" i="5" s="1"/>
  <c r="K201" i="5"/>
  <c r="L201" i="5" s="1"/>
  <c r="M201" i="5" s="1"/>
  <c r="K202" i="5"/>
  <c r="L202" i="5" s="1"/>
  <c r="M202" i="5" s="1"/>
  <c r="K203" i="5"/>
  <c r="L203" i="5" s="1"/>
  <c r="M203" i="5" s="1"/>
  <c r="K204" i="5"/>
  <c r="L204" i="5" s="1"/>
  <c r="M204" i="5" s="1"/>
  <c r="K205" i="5"/>
  <c r="L205" i="5" s="1"/>
  <c r="M205" i="5" s="1"/>
  <c r="K206" i="5"/>
  <c r="L206" i="5" s="1"/>
  <c r="M206" i="5" s="1"/>
  <c r="K207" i="5"/>
  <c r="L207" i="5" s="1"/>
  <c r="M207" i="5" s="1"/>
  <c r="K208" i="5"/>
  <c r="L208" i="5" s="1"/>
  <c r="M208" i="5" s="1"/>
  <c r="K209" i="5"/>
  <c r="L209" i="5" s="1"/>
  <c r="M209" i="5" s="1"/>
  <c r="K210" i="5"/>
  <c r="L210" i="5" s="1"/>
  <c r="M210" i="5" s="1"/>
  <c r="K211" i="5"/>
  <c r="L211" i="5" s="1"/>
  <c r="M211" i="5" s="1"/>
  <c r="K212" i="5"/>
  <c r="L212" i="5" s="1"/>
  <c r="M212" i="5" s="1"/>
  <c r="K213" i="5"/>
  <c r="L213" i="5" s="1"/>
  <c r="M213" i="5" s="1"/>
  <c r="K214" i="5"/>
  <c r="L214" i="5" s="1"/>
  <c r="M214" i="5" s="1"/>
  <c r="K215" i="5"/>
  <c r="L215" i="5" s="1"/>
  <c r="M215" i="5" s="1"/>
  <c r="K216" i="5"/>
  <c r="L216" i="5" s="1"/>
  <c r="M216" i="5" s="1"/>
  <c r="K217" i="5"/>
  <c r="L217" i="5" s="1"/>
  <c r="M217" i="5" s="1"/>
  <c r="K218" i="5"/>
  <c r="L218" i="5" s="1"/>
  <c r="M218" i="5" s="1"/>
  <c r="K219" i="5"/>
  <c r="L219" i="5" s="1"/>
  <c r="M219" i="5" s="1"/>
  <c r="K220" i="5"/>
  <c r="L220" i="5" s="1"/>
  <c r="M220" i="5" s="1"/>
  <c r="K221" i="5"/>
  <c r="L221" i="5" s="1"/>
  <c r="M221" i="5" s="1"/>
  <c r="K222" i="5"/>
  <c r="L222" i="5" s="1"/>
  <c r="M222" i="5" s="1"/>
  <c r="K223" i="5"/>
  <c r="L223" i="5" s="1"/>
  <c r="M223" i="5" s="1"/>
  <c r="K224" i="5"/>
  <c r="L224" i="5" s="1"/>
  <c r="M224" i="5" s="1"/>
  <c r="K225" i="5"/>
  <c r="L225" i="5" s="1"/>
  <c r="M225" i="5" s="1"/>
  <c r="K226" i="5"/>
  <c r="L226" i="5" s="1"/>
  <c r="M226" i="5" s="1"/>
  <c r="K227" i="5"/>
  <c r="L227" i="5" s="1"/>
  <c r="M227" i="5" s="1"/>
  <c r="K228" i="5"/>
  <c r="L228" i="5" s="1"/>
  <c r="M228" i="5" s="1"/>
  <c r="K229" i="5"/>
  <c r="L229" i="5" s="1"/>
  <c r="M229" i="5" s="1"/>
  <c r="K230" i="5"/>
  <c r="L230" i="5" s="1"/>
  <c r="M230" i="5" s="1"/>
  <c r="K231" i="5"/>
  <c r="L231" i="5" s="1"/>
  <c r="M231" i="5" s="1"/>
  <c r="K232" i="5"/>
  <c r="L232" i="5" s="1"/>
  <c r="M232" i="5" s="1"/>
  <c r="K233" i="5"/>
  <c r="L233" i="5" s="1"/>
  <c r="M233" i="5" s="1"/>
  <c r="K234" i="5"/>
  <c r="L234" i="5" s="1"/>
  <c r="M234" i="5" s="1"/>
  <c r="K235" i="5"/>
  <c r="L235" i="5" s="1"/>
  <c r="M235" i="5" s="1"/>
  <c r="K236" i="5"/>
  <c r="L236" i="5" s="1"/>
  <c r="M236" i="5" s="1"/>
  <c r="K237" i="5"/>
  <c r="L237" i="5" s="1"/>
  <c r="M237" i="5" s="1"/>
  <c r="K238" i="5"/>
  <c r="L238" i="5" s="1"/>
  <c r="M238" i="5" s="1"/>
  <c r="K239" i="5"/>
  <c r="L239" i="5" s="1"/>
  <c r="M239" i="5" s="1"/>
  <c r="K240" i="5"/>
  <c r="L240" i="5" s="1"/>
  <c r="M240" i="5" s="1"/>
  <c r="K241" i="5"/>
  <c r="L241" i="5" s="1"/>
  <c r="M241" i="5" s="1"/>
  <c r="K242" i="5"/>
  <c r="L242" i="5" s="1"/>
  <c r="M242" i="5" s="1"/>
  <c r="K243" i="5"/>
  <c r="L243" i="5" s="1"/>
  <c r="M243" i="5" s="1"/>
  <c r="K244" i="5"/>
  <c r="L244" i="5" s="1"/>
  <c r="M244" i="5" s="1"/>
  <c r="K245" i="5"/>
  <c r="L245" i="5" s="1"/>
  <c r="M245" i="5" s="1"/>
  <c r="K246" i="5"/>
  <c r="L246" i="5" s="1"/>
  <c r="M246" i="5" s="1"/>
  <c r="K247" i="5"/>
  <c r="L247" i="5" s="1"/>
  <c r="M247" i="5" s="1"/>
  <c r="K248" i="5"/>
  <c r="L248" i="5" s="1"/>
  <c r="M248" i="5" s="1"/>
  <c r="K249" i="5"/>
  <c r="L249" i="5" s="1"/>
  <c r="M249" i="5" s="1"/>
  <c r="K250" i="5"/>
  <c r="L250" i="5" s="1"/>
  <c r="M250" i="5" s="1"/>
  <c r="K251" i="5"/>
  <c r="L251" i="5" s="1"/>
  <c r="M251" i="5" s="1"/>
  <c r="K252" i="5"/>
  <c r="L252" i="5" s="1"/>
  <c r="M252" i="5" s="1"/>
  <c r="K253" i="5"/>
  <c r="L253" i="5" s="1"/>
  <c r="M253" i="5" s="1"/>
  <c r="K254" i="5"/>
  <c r="L254" i="5" s="1"/>
  <c r="M254" i="5" s="1"/>
  <c r="K255" i="5"/>
  <c r="L255" i="5" s="1"/>
  <c r="M255" i="5" s="1"/>
  <c r="K256" i="5"/>
  <c r="L256" i="5" s="1"/>
  <c r="M256" i="5" s="1"/>
  <c r="K257" i="5"/>
  <c r="L257" i="5" s="1"/>
  <c r="M257" i="5" s="1"/>
  <c r="K258" i="5"/>
  <c r="L258" i="5" s="1"/>
  <c r="M258" i="5" s="1"/>
  <c r="K259" i="5"/>
  <c r="L259" i="5" s="1"/>
  <c r="M259" i="5" s="1"/>
  <c r="K260" i="5"/>
  <c r="L260" i="5" s="1"/>
  <c r="M260" i="5" s="1"/>
  <c r="K261" i="5"/>
  <c r="L261" i="5" s="1"/>
  <c r="M261" i="5" s="1"/>
  <c r="K262" i="5"/>
  <c r="L262" i="5" s="1"/>
  <c r="M262" i="5" s="1"/>
  <c r="K263" i="5"/>
  <c r="L263" i="5" s="1"/>
  <c r="M263" i="5" s="1"/>
  <c r="K264" i="5"/>
  <c r="L264" i="5" s="1"/>
  <c r="M264" i="5" s="1"/>
  <c r="K265" i="5"/>
  <c r="L265" i="5" s="1"/>
  <c r="M265" i="5" s="1"/>
  <c r="K266" i="5"/>
  <c r="L266" i="5" s="1"/>
  <c r="M266" i="5" s="1"/>
  <c r="K267" i="5"/>
  <c r="L267" i="5" s="1"/>
  <c r="M267" i="5" s="1"/>
  <c r="K268" i="5"/>
  <c r="L268" i="5" s="1"/>
  <c r="M268" i="5" s="1"/>
  <c r="K269" i="5"/>
  <c r="L269" i="5" s="1"/>
  <c r="M269" i="5" s="1"/>
  <c r="K270" i="5"/>
  <c r="L270" i="5" s="1"/>
  <c r="M270" i="5" s="1"/>
  <c r="K271" i="5"/>
  <c r="L271" i="5" s="1"/>
  <c r="M271" i="5" s="1"/>
  <c r="K272" i="5"/>
  <c r="L272" i="5" s="1"/>
  <c r="M272" i="5" s="1"/>
  <c r="K273" i="5"/>
  <c r="L273" i="5" s="1"/>
  <c r="M273" i="5" s="1"/>
  <c r="K274" i="5"/>
  <c r="L274" i="5" s="1"/>
  <c r="M274" i="5" s="1"/>
  <c r="K275" i="5"/>
  <c r="L275" i="5" s="1"/>
  <c r="M275" i="5" s="1"/>
  <c r="K276" i="5"/>
  <c r="L276" i="5" s="1"/>
  <c r="M276" i="5" s="1"/>
  <c r="K277" i="5"/>
  <c r="L277" i="5" s="1"/>
  <c r="M277" i="5" s="1"/>
  <c r="K278" i="5"/>
  <c r="L278" i="5" s="1"/>
  <c r="M278" i="5" s="1"/>
  <c r="K279" i="5"/>
  <c r="L279" i="5" s="1"/>
  <c r="M279" i="5" s="1"/>
  <c r="K280" i="5"/>
  <c r="L280" i="5" s="1"/>
  <c r="M280" i="5" s="1"/>
  <c r="K281" i="5"/>
  <c r="L281" i="5" s="1"/>
  <c r="M281" i="5" s="1"/>
  <c r="K282" i="5"/>
  <c r="L282" i="5" s="1"/>
  <c r="M282" i="5" s="1"/>
  <c r="K283" i="5"/>
  <c r="L283" i="5" s="1"/>
  <c r="M283" i="5" s="1"/>
  <c r="K284" i="5"/>
  <c r="L284" i="5" s="1"/>
  <c r="M284" i="5" s="1"/>
  <c r="K285" i="5"/>
  <c r="L285" i="5" s="1"/>
  <c r="M285" i="5" s="1"/>
  <c r="K286" i="5"/>
  <c r="L286" i="5" s="1"/>
  <c r="M286" i="5" s="1"/>
  <c r="K287" i="5"/>
  <c r="L287" i="5" s="1"/>
  <c r="M287" i="5" s="1"/>
  <c r="K288" i="5"/>
  <c r="L288" i="5" s="1"/>
  <c r="M288" i="5" s="1"/>
  <c r="K289" i="5"/>
  <c r="L289" i="5" s="1"/>
  <c r="M289" i="5" s="1"/>
  <c r="K290" i="5"/>
  <c r="L290" i="5" s="1"/>
  <c r="M290" i="5" s="1"/>
  <c r="K291" i="5"/>
  <c r="L291" i="5" s="1"/>
  <c r="M291" i="5" s="1"/>
  <c r="K292" i="5"/>
  <c r="K293" i="5"/>
  <c r="L293" i="5" s="1"/>
  <c r="M293" i="5" s="1"/>
  <c r="K294" i="5"/>
  <c r="L294" i="5" s="1"/>
  <c r="M294" i="5" s="1"/>
  <c r="K295" i="5"/>
  <c r="L295" i="5" s="1"/>
  <c r="M295" i="5" s="1"/>
  <c r="K296" i="5"/>
  <c r="L296" i="5" s="1"/>
  <c r="M296" i="5" s="1"/>
  <c r="K297" i="5"/>
  <c r="L297" i="5" s="1"/>
  <c r="M297" i="5" s="1"/>
  <c r="K298" i="5"/>
  <c r="L298" i="5" s="1"/>
  <c r="M298" i="5" s="1"/>
  <c r="K299" i="5"/>
  <c r="L299" i="5" s="1"/>
  <c r="M299" i="5" s="1"/>
  <c r="K300" i="5"/>
  <c r="L300" i="5" s="1"/>
  <c r="M300" i="5" s="1"/>
  <c r="K301" i="5"/>
  <c r="L301" i="5" s="1"/>
  <c r="M301" i="5" s="1"/>
  <c r="K302" i="5"/>
  <c r="L302" i="5" s="1"/>
  <c r="M302" i="5" s="1"/>
  <c r="K303" i="5"/>
  <c r="L303" i="5" s="1"/>
  <c r="M303" i="5" s="1"/>
  <c r="K304" i="5"/>
  <c r="L304" i="5" s="1"/>
  <c r="M304" i="5" s="1"/>
  <c r="K305" i="5"/>
  <c r="L305" i="5" s="1"/>
  <c r="M305" i="5" s="1"/>
  <c r="K306" i="5"/>
  <c r="L306" i="5" s="1"/>
  <c r="M306" i="5" s="1"/>
  <c r="K307" i="5"/>
  <c r="L307" i="5" s="1"/>
  <c r="M307" i="5" s="1"/>
  <c r="K308" i="5"/>
  <c r="L308" i="5" s="1"/>
  <c r="M308" i="5" s="1"/>
  <c r="K309" i="5"/>
  <c r="L309" i="5" s="1"/>
  <c r="M309" i="5" s="1"/>
  <c r="K310" i="5"/>
  <c r="L310" i="5" s="1"/>
  <c r="M310" i="5" s="1"/>
  <c r="K311" i="5"/>
  <c r="L311" i="5" s="1"/>
  <c r="M311" i="5" s="1"/>
  <c r="K312" i="5"/>
  <c r="L312" i="5" s="1"/>
  <c r="M312" i="5" s="1"/>
  <c r="K313" i="5"/>
  <c r="L313" i="5" s="1"/>
  <c r="M313" i="5" s="1"/>
  <c r="K314" i="5"/>
  <c r="L314" i="5" s="1"/>
  <c r="M314" i="5" s="1"/>
  <c r="K315" i="5"/>
  <c r="L315" i="5" s="1"/>
  <c r="M315" i="5" s="1"/>
  <c r="K316" i="5"/>
  <c r="L316" i="5" s="1"/>
  <c r="M316" i="5" s="1"/>
  <c r="K317" i="5"/>
  <c r="L317" i="5" s="1"/>
  <c r="M317" i="5" s="1"/>
  <c r="K318" i="5"/>
  <c r="L318" i="5" s="1"/>
  <c r="M318" i="5" s="1"/>
  <c r="K319" i="5"/>
  <c r="L319" i="5" s="1"/>
  <c r="M319" i="5" s="1"/>
  <c r="K320" i="5"/>
  <c r="L320" i="5" s="1"/>
  <c r="M320" i="5" s="1"/>
  <c r="K321" i="5"/>
  <c r="L321" i="5" s="1"/>
  <c r="M321" i="5" s="1"/>
  <c r="K322" i="5"/>
  <c r="L322" i="5" s="1"/>
  <c r="M322" i="5" s="1"/>
  <c r="K323" i="5"/>
  <c r="L323" i="5" s="1"/>
  <c r="M323" i="5" s="1"/>
  <c r="K324" i="5"/>
  <c r="L324" i="5" s="1"/>
  <c r="M324" i="5" s="1"/>
  <c r="K325" i="5"/>
  <c r="L325" i="5" s="1"/>
  <c r="M325" i="5" s="1"/>
  <c r="K326" i="5"/>
  <c r="L326" i="5" s="1"/>
  <c r="M326" i="5" s="1"/>
  <c r="K327" i="5"/>
  <c r="L327" i="5" s="1"/>
  <c r="M327" i="5" s="1"/>
  <c r="K328" i="5"/>
  <c r="L328" i="5" s="1"/>
  <c r="M328" i="5" s="1"/>
  <c r="K329" i="5"/>
  <c r="L329" i="5" s="1"/>
  <c r="M329" i="5" s="1"/>
  <c r="K330" i="5"/>
  <c r="L330" i="5" s="1"/>
  <c r="M330" i="5" s="1"/>
  <c r="K331" i="5"/>
  <c r="L331" i="5" s="1"/>
  <c r="M331" i="5" s="1"/>
  <c r="K332" i="5"/>
  <c r="L332" i="5" s="1"/>
  <c r="M332" i="5" s="1"/>
  <c r="K333" i="5"/>
  <c r="L333" i="5" s="1"/>
  <c r="M333" i="5" s="1"/>
  <c r="K334" i="5"/>
  <c r="L334" i="5" s="1"/>
  <c r="M334" i="5" s="1"/>
  <c r="K335" i="5"/>
  <c r="L335" i="5" s="1"/>
  <c r="M335" i="5" s="1"/>
  <c r="K336" i="5"/>
  <c r="L336" i="5" s="1"/>
  <c r="M336" i="5" s="1"/>
  <c r="K337" i="5"/>
  <c r="L337" i="5" s="1"/>
  <c r="M337" i="5" s="1"/>
  <c r="K338" i="5"/>
  <c r="L338" i="5" s="1"/>
  <c r="M338" i="5" s="1"/>
  <c r="K339" i="5"/>
  <c r="L339" i="5" s="1"/>
  <c r="M339" i="5" s="1"/>
  <c r="K340" i="5"/>
  <c r="L340" i="5" s="1"/>
  <c r="M340" i="5" s="1"/>
  <c r="K341" i="5"/>
  <c r="L341" i="5" s="1"/>
  <c r="M341" i="5" s="1"/>
  <c r="K342" i="5"/>
  <c r="L342" i="5" s="1"/>
  <c r="M342" i="5" s="1"/>
  <c r="K343" i="5"/>
  <c r="L343" i="5" s="1"/>
  <c r="M343" i="5" s="1"/>
  <c r="K344" i="5"/>
  <c r="L344" i="5" s="1"/>
  <c r="M344" i="5" s="1"/>
  <c r="K345" i="5"/>
  <c r="L345" i="5" s="1"/>
  <c r="M345" i="5" s="1"/>
  <c r="K346" i="5"/>
  <c r="L346" i="5" s="1"/>
  <c r="M346" i="5" s="1"/>
  <c r="K347" i="5"/>
  <c r="L347" i="5" s="1"/>
  <c r="M347" i="5" s="1"/>
  <c r="K348" i="5"/>
  <c r="L348" i="5" s="1"/>
  <c r="M348" i="5" s="1"/>
  <c r="K349" i="5"/>
  <c r="L349" i="5" s="1"/>
  <c r="M349" i="5" s="1"/>
  <c r="K350" i="5"/>
  <c r="L350" i="5" s="1"/>
  <c r="M350" i="5" s="1"/>
  <c r="K351" i="5"/>
  <c r="L351" i="5" s="1"/>
  <c r="M351" i="5" s="1"/>
  <c r="K352" i="5"/>
  <c r="L352" i="5" s="1"/>
  <c r="M352" i="5" s="1"/>
  <c r="K353" i="5"/>
  <c r="L353" i="5" s="1"/>
  <c r="M353" i="5" s="1"/>
  <c r="K354" i="5"/>
  <c r="L354" i="5" s="1"/>
  <c r="M354" i="5" s="1"/>
  <c r="K355" i="5"/>
  <c r="L355" i="5" s="1"/>
  <c r="M355" i="5" s="1"/>
  <c r="K356" i="5"/>
  <c r="L356" i="5" s="1"/>
  <c r="M356" i="5" s="1"/>
  <c r="K357" i="5"/>
  <c r="L357" i="5" s="1"/>
  <c r="M357" i="5" s="1"/>
  <c r="K358" i="5"/>
  <c r="L358" i="5" s="1"/>
  <c r="M358" i="5" s="1"/>
  <c r="K359" i="5"/>
  <c r="L359" i="5" s="1"/>
  <c r="M359" i="5" s="1"/>
  <c r="K360" i="5"/>
  <c r="L360" i="5" s="1"/>
  <c r="M360" i="5" s="1"/>
  <c r="K361" i="5"/>
  <c r="L361" i="5" s="1"/>
  <c r="M361" i="5" s="1"/>
  <c r="K362" i="5"/>
  <c r="L362" i="5" s="1"/>
  <c r="M362" i="5" s="1"/>
  <c r="K363" i="5"/>
  <c r="L363" i="5" s="1"/>
  <c r="M363" i="5" s="1"/>
  <c r="K364" i="5"/>
  <c r="L364" i="5" s="1"/>
  <c r="M364" i="5" s="1"/>
  <c r="K365" i="5"/>
  <c r="L365" i="5" s="1"/>
  <c r="M365" i="5" s="1"/>
  <c r="K366" i="5"/>
  <c r="L366" i="5" s="1"/>
  <c r="M366" i="5" s="1"/>
  <c r="K367" i="5"/>
  <c r="L367" i="5" s="1"/>
  <c r="M367" i="5" s="1"/>
  <c r="K368" i="5"/>
  <c r="L368" i="5" s="1"/>
  <c r="M368" i="5" s="1"/>
  <c r="K369" i="5"/>
  <c r="L369" i="5" s="1"/>
  <c r="M369" i="5" s="1"/>
  <c r="K370" i="5"/>
  <c r="L370" i="5" s="1"/>
  <c r="M370" i="5" s="1"/>
  <c r="K371" i="5"/>
  <c r="L371" i="5" s="1"/>
  <c r="M371" i="5" s="1"/>
  <c r="K372" i="5"/>
  <c r="L372" i="5" s="1"/>
  <c r="M372" i="5" s="1"/>
  <c r="K373" i="5"/>
  <c r="L373" i="5" s="1"/>
  <c r="M373" i="5" s="1"/>
  <c r="K374" i="5"/>
  <c r="L374" i="5" s="1"/>
  <c r="M374" i="5" s="1"/>
  <c r="K375" i="5"/>
  <c r="L375" i="5" s="1"/>
  <c r="M375" i="5" s="1"/>
  <c r="K376" i="5"/>
  <c r="L376" i="5" s="1"/>
  <c r="M376" i="5" s="1"/>
  <c r="K377" i="5"/>
  <c r="L377" i="5" s="1"/>
  <c r="M377" i="5" s="1"/>
  <c r="K378" i="5"/>
  <c r="L378" i="5" s="1"/>
  <c r="M378" i="5" s="1"/>
  <c r="K379" i="5"/>
  <c r="L379" i="5" s="1"/>
  <c r="M379" i="5" s="1"/>
  <c r="K380" i="5"/>
  <c r="L380" i="5" s="1"/>
  <c r="M380" i="5" s="1"/>
  <c r="K381" i="5"/>
  <c r="L381" i="5" s="1"/>
  <c r="M381" i="5" s="1"/>
  <c r="K382" i="5"/>
  <c r="L382" i="5" s="1"/>
  <c r="M382" i="5" s="1"/>
  <c r="K383" i="5"/>
  <c r="L383" i="5" s="1"/>
  <c r="M383" i="5" s="1"/>
  <c r="K384" i="5"/>
  <c r="L384" i="5" s="1"/>
  <c r="M384" i="5" s="1"/>
  <c r="K385" i="5"/>
  <c r="L385" i="5" s="1"/>
  <c r="M385" i="5" s="1"/>
  <c r="K386" i="5"/>
  <c r="L386" i="5" s="1"/>
  <c r="M386" i="5" s="1"/>
  <c r="K387" i="5"/>
  <c r="L387" i="5" s="1"/>
  <c r="M387" i="5" s="1"/>
  <c r="K388" i="5"/>
  <c r="L388" i="5" s="1"/>
  <c r="M388" i="5" s="1"/>
  <c r="K389" i="5"/>
  <c r="L389" i="5" s="1"/>
  <c r="M389" i="5" s="1"/>
  <c r="K390" i="5"/>
  <c r="L390" i="5" s="1"/>
  <c r="M390" i="5" s="1"/>
  <c r="K391" i="5"/>
  <c r="L391" i="5" s="1"/>
  <c r="M391" i="5" s="1"/>
  <c r="K392" i="5"/>
  <c r="L392" i="5" s="1"/>
  <c r="M392" i="5" s="1"/>
  <c r="K393" i="5"/>
  <c r="L393" i="5" s="1"/>
  <c r="M393" i="5" s="1"/>
  <c r="K394" i="5"/>
  <c r="L394" i="5" s="1"/>
  <c r="M394" i="5" s="1"/>
  <c r="K395" i="5"/>
  <c r="L395" i="5" s="1"/>
  <c r="M395" i="5" s="1"/>
  <c r="K396" i="5"/>
  <c r="L396" i="5" s="1"/>
  <c r="M396" i="5" s="1"/>
  <c r="K397" i="5"/>
  <c r="L397" i="5" s="1"/>
  <c r="M397" i="5" s="1"/>
  <c r="K398" i="5"/>
  <c r="L398" i="5" s="1"/>
  <c r="M398" i="5" s="1"/>
  <c r="K399" i="5"/>
  <c r="L399" i="5" s="1"/>
  <c r="M399" i="5" s="1"/>
  <c r="K400" i="5"/>
  <c r="L400" i="5" s="1"/>
  <c r="M400" i="5" s="1"/>
  <c r="K401" i="5"/>
  <c r="L401" i="5" s="1"/>
  <c r="M401" i="5" s="1"/>
  <c r="K402" i="5"/>
  <c r="L402" i="5" s="1"/>
  <c r="M402" i="5" s="1"/>
  <c r="K403" i="5"/>
  <c r="L403" i="5" s="1"/>
  <c r="M403" i="5" s="1"/>
  <c r="K404" i="5"/>
  <c r="L404" i="5" s="1"/>
  <c r="M404" i="5" s="1"/>
  <c r="K405" i="5"/>
  <c r="L405" i="5" s="1"/>
  <c r="M405" i="5" s="1"/>
  <c r="K406" i="5"/>
  <c r="L406" i="5" s="1"/>
  <c r="M406" i="5" s="1"/>
  <c r="K407" i="5"/>
  <c r="L407" i="5" s="1"/>
  <c r="M407" i="5" s="1"/>
  <c r="K408" i="5"/>
  <c r="L408" i="5" s="1"/>
  <c r="M408" i="5" s="1"/>
  <c r="K409" i="5"/>
  <c r="L409" i="5" s="1"/>
  <c r="M409" i="5" s="1"/>
  <c r="K410" i="5"/>
  <c r="L410" i="5" s="1"/>
  <c r="M410" i="5" s="1"/>
  <c r="K411" i="5"/>
  <c r="L411" i="5" s="1"/>
  <c r="M411" i="5" s="1"/>
  <c r="K412" i="5"/>
  <c r="L412" i="5" s="1"/>
  <c r="M412" i="5" s="1"/>
  <c r="K413" i="5"/>
  <c r="K414" i="5"/>
  <c r="L414" i="5" s="1"/>
  <c r="M414" i="5" s="1"/>
  <c r="K415" i="5"/>
  <c r="L415" i="5" s="1"/>
  <c r="M415" i="5" s="1"/>
  <c r="K416" i="5"/>
  <c r="L416" i="5" s="1"/>
  <c r="M416" i="5" s="1"/>
  <c r="K417" i="5"/>
  <c r="L417" i="5" s="1"/>
  <c r="M417" i="5" s="1"/>
  <c r="K418" i="5"/>
  <c r="L418" i="5" s="1"/>
  <c r="M418" i="5" s="1"/>
  <c r="K419" i="5"/>
  <c r="L419" i="5" s="1"/>
  <c r="M419" i="5" s="1"/>
  <c r="K420" i="5"/>
  <c r="K421" i="5"/>
  <c r="L421" i="5" s="1"/>
  <c r="M421" i="5" s="1"/>
  <c r="K422" i="5"/>
  <c r="L422" i="5" s="1"/>
  <c r="M422" i="5" s="1"/>
  <c r="K423" i="5"/>
  <c r="L423" i="5" s="1"/>
  <c r="M423" i="5" s="1"/>
  <c r="K424" i="5"/>
  <c r="L424" i="5" s="1"/>
  <c r="M424" i="5" s="1"/>
  <c r="K425" i="5"/>
  <c r="L425" i="5" s="1"/>
  <c r="M425" i="5" s="1"/>
  <c r="K426" i="5"/>
  <c r="L426" i="5" s="1"/>
  <c r="M426" i="5" s="1"/>
  <c r="K427" i="5"/>
  <c r="L427" i="5" s="1"/>
  <c r="M427" i="5" s="1"/>
  <c r="K428" i="5"/>
  <c r="L428" i="5" s="1"/>
  <c r="M428" i="5" s="1"/>
  <c r="K429" i="5"/>
  <c r="L429" i="5" s="1"/>
  <c r="M429" i="5" s="1"/>
  <c r="K430" i="5"/>
  <c r="L430" i="5" s="1"/>
  <c r="M430" i="5" s="1"/>
  <c r="K431" i="5"/>
  <c r="L431" i="5" s="1"/>
  <c r="M431" i="5" s="1"/>
  <c r="K432" i="5"/>
  <c r="L432" i="5" s="1"/>
  <c r="M432" i="5" s="1"/>
  <c r="K433" i="5"/>
  <c r="L433" i="5" s="1"/>
  <c r="M433" i="5" s="1"/>
  <c r="K434" i="5"/>
  <c r="L434" i="5" s="1"/>
  <c r="M434" i="5" s="1"/>
  <c r="K435" i="5"/>
  <c r="L435" i="5" s="1"/>
  <c r="M435" i="5" s="1"/>
  <c r="K436" i="5"/>
  <c r="L436" i="5" s="1"/>
  <c r="M436" i="5" s="1"/>
  <c r="K437" i="5"/>
  <c r="L437" i="5" s="1"/>
  <c r="M437" i="5" s="1"/>
  <c r="K438" i="5"/>
  <c r="L438" i="5" s="1"/>
  <c r="M438" i="5" s="1"/>
  <c r="K439" i="5"/>
  <c r="L439" i="5" s="1"/>
  <c r="M439" i="5" s="1"/>
  <c r="K440" i="5"/>
  <c r="L440" i="5" s="1"/>
  <c r="M440" i="5" s="1"/>
  <c r="K441" i="5"/>
  <c r="L441" i="5" s="1"/>
  <c r="M441" i="5" s="1"/>
  <c r="K442" i="5"/>
  <c r="L442" i="5" s="1"/>
  <c r="M442" i="5" s="1"/>
  <c r="K443" i="5"/>
  <c r="L443" i="5" s="1"/>
  <c r="M443" i="5" s="1"/>
  <c r="K444" i="5"/>
  <c r="L444" i="5" s="1"/>
  <c r="M444" i="5" s="1"/>
  <c r="K445" i="5"/>
  <c r="L445" i="5" s="1"/>
  <c r="M445" i="5" s="1"/>
  <c r="K446" i="5"/>
  <c r="L446" i="5" s="1"/>
  <c r="M446" i="5" s="1"/>
  <c r="K447" i="5"/>
  <c r="L447" i="5" s="1"/>
  <c r="M447" i="5" s="1"/>
  <c r="K448" i="5"/>
  <c r="L448" i="5" s="1"/>
  <c r="M448" i="5" s="1"/>
  <c r="K449" i="5"/>
  <c r="L449" i="5" s="1"/>
  <c r="M449" i="5" s="1"/>
  <c r="K450" i="5"/>
  <c r="L450" i="5" s="1"/>
  <c r="M450" i="5" s="1"/>
  <c r="K451" i="5"/>
  <c r="L451" i="5" s="1"/>
  <c r="M451" i="5" s="1"/>
  <c r="K452" i="5"/>
  <c r="L452" i="5" s="1"/>
  <c r="M452" i="5" s="1"/>
  <c r="K453" i="5"/>
  <c r="L453" i="5" s="1"/>
  <c r="M453" i="5" s="1"/>
  <c r="K454" i="5"/>
  <c r="L454" i="5" s="1"/>
  <c r="M454" i="5" s="1"/>
  <c r="K455" i="5"/>
  <c r="L455" i="5" s="1"/>
  <c r="M455" i="5" s="1"/>
  <c r="K456" i="5"/>
  <c r="L456" i="5" s="1"/>
  <c r="M456" i="5" s="1"/>
  <c r="K457" i="5"/>
  <c r="L457" i="5" s="1"/>
  <c r="M457" i="5" s="1"/>
  <c r="K458" i="5"/>
  <c r="L458" i="5" s="1"/>
  <c r="M458" i="5" s="1"/>
  <c r="K459" i="5"/>
  <c r="L459" i="5" s="1"/>
  <c r="M459" i="5" s="1"/>
  <c r="K460" i="5"/>
  <c r="L460" i="5" s="1"/>
  <c r="M460" i="5" s="1"/>
  <c r="K461" i="5"/>
  <c r="L461" i="5" s="1"/>
  <c r="M461" i="5" s="1"/>
  <c r="K462" i="5"/>
  <c r="L462" i="5" s="1"/>
  <c r="M462" i="5" s="1"/>
  <c r="K463" i="5"/>
  <c r="L463" i="5" s="1"/>
  <c r="M463" i="5" s="1"/>
  <c r="K464" i="5"/>
  <c r="L464" i="5" s="1"/>
  <c r="M464" i="5" s="1"/>
  <c r="K465" i="5"/>
  <c r="L465" i="5" s="1"/>
  <c r="M465" i="5" s="1"/>
  <c r="K466" i="5"/>
  <c r="L466" i="5" s="1"/>
  <c r="M466" i="5" s="1"/>
  <c r="K467" i="5"/>
  <c r="L467" i="5" s="1"/>
  <c r="M467" i="5" s="1"/>
  <c r="K468" i="5"/>
  <c r="L468" i="5" s="1"/>
  <c r="M468" i="5" s="1"/>
  <c r="K469" i="5"/>
  <c r="L469" i="5" s="1"/>
  <c r="M469" i="5" s="1"/>
  <c r="K470" i="5"/>
  <c r="L470" i="5" s="1"/>
  <c r="M470" i="5" s="1"/>
  <c r="K471" i="5"/>
  <c r="L471" i="5" s="1"/>
  <c r="M471" i="5" s="1"/>
  <c r="K472" i="5"/>
  <c r="L472" i="5" s="1"/>
  <c r="M472" i="5" s="1"/>
  <c r="K473" i="5"/>
  <c r="L473" i="5" s="1"/>
  <c r="M473" i="5" s="1"/>
  <c r="K474" i="5"/>
  <c r="L474" i="5" s="1"/>
  <c r="M474" i="5" s="1"/>
  <c r="K475" i="5"/>
  <c r="L475" i="5" s="1"/>
  <c r="M475" i="5" s="1"/>
  <c r="K476" i="5"/>
  <c r="L476" i="5" s="1"/>
  <c r="M476" i="5" s="1"/>
  <c r="K477" i="5"/>
  <c r="L477" i="5" s="1"/>
  <c r="M477" i="5" s="1"/>
  <c r="K478" i="5"/>
  <c r="L478" i="5" s="1"/>
  <c r="M478" i="5" s="1"/>
  <c r="K479" i="5"/>
  <c r="L479" i="5" s="1"/>
  <c r="M479" i="5" s="1"/>
  <c r="K480" i="5"/>
  <c r="L480" i="5" s="1"/>
  <c r="M480" i="5" s="1"/>
  <c r="K481" i="5"/>
  <c r="L481" i="5" s="1"/>
  <c r="M481" i="5" s="1"/>
  <c r="K482" i="5"/>
  <c r="L482" i="5" s="1"/>
  <c r="M482" i="5" s="1"/>
  <c r="K483" i="5"/>
  <c r="L483" i="5" s="1"/>
  <c r="M483" i="5" s="1"/>
  <c r="K484" i="5"/>
  <c r="L484" i="5" s="1"/>
  <c r="M484" i="5" s="1"/>
  <c r="K485" i="5"/>
  <c r="L485" i="5" s="1"/>
  <c r="M485" i="5" s="1"/>
  <c r="K486" i="5"/>
  <c r="L486" i="5" s="1"/>
  <c r="M486" i="5" s="1"/>
  <c r="K487" i="5"/>
  <c r="L487" i="5" s="1"/>
  <c r="M487" i="5" s="1"/>
  <c r="K488" i="5"/>
  <c r="L488" i="5" s="1"/>
  <c r="M488" i="5" s="1"/>
  <c r="K489" i="5"/>
  <c r="L489" i="5" s="1"/>
  <c r="M489" i="5" s="1"/>
  <c r="K490" i="5"/>
  <c r="L490" i="5" s="1"/>
  <c r="M490" i="5" s="1"/>
  <c r="K491" i="5"/>
  <c r="L491" i="5" s="1"/>
  <c r="M491" i="5" s="1"/>
  <c r="K492" i="5"/>
  <c r="L492" i="5" s="1"/>
  <c r="M492" i="5" s="1"/>
  <c r="K493" i="5"/>
  <c r="L493" i="5" s="1"/>
  <c r="M493" i="5" s="1"/>
  <c r="K494" i="5"/>
  <c r="L494" i="5" s="1"/>
  <c r="M494" i="5" s="1"/>
  <c r="K495" i="5"/>
  <c r="L495" i="5" s="1"/>
  <c r="M495" i="5" s="1"/>
  <c r="K496" i="5"/>
  <c r="L496" i="5" s="1"/>
  <c r="M496" i="5" s="1"/>
  <c r="K497" i="5"/>
  <c r="L497" i="5" s="1"/>
  <c r="M497" i="5" s="1"/>
  <c r="K498" i="5"/>
  <c r="L498" i="5" s="1"/>
  <c r="M498" i="5" s="1"/>
  <c r="K499" i="5"/>
  <c r="L499" i="5" s="1"/>
  <c r="M499" i="5" s="1"/>
  <c r="K500" i="5"/>
  <c r="L500" i="5" s="1"/>
  <c r="M500" i="5" s="1"/>
  <c r="K501" i="5"/>
  <c r="L501" i="5" s="1"/>
  <c r="M501" i="5" s="1"/>
  <c r="K502" i="5"/>
  <c r="L502" i="5" s="1"/>
  <c r="M502" i="5" s="1"/>
  <c r="K503" i="5"/>
  <c r="L503" i="5" s="1"/>
  <c r="M503" i="5" s="1"/>
  <c r="K504" i="5"/>
  <c r="L504" i="5" s="1"/>
  <c r="M504" i="5" s="1"/>
  <c r="K505" i="5"/>
  <c r="L505" i="5" s="1"/>
  <c r="M505" i="5" s="1"/>
  <c r="K506" i="5"/>
  <c r="L506" i="5" s="1"/>
  <c r="M506" i="5" s="1"/>
  <c r="K507" i="5"/>
  <c r="L507" i="5" s="1"/>
  <c r="M507" i="5" s="1"/>
  <c r="K508" i="5"/>
  <c r="L508" i="5" s="1"/>
  <c r="M508" i="5" s="1"/>
  <c r="K509" i="5"/>
  <c r="L509" i="5" s="1"/>
  <c r="M509" i="5" s="1"/>
  <c r="K510" i="5"/>
  <c r="L510" i="5" s="1"/>
  <c r="M510" i="5" s="1"/>
  <c r="K511" i="5"/>
  <c r="L511" i="5" s="1"/>
  <c r="M511" i="5" s="1"/>
  <c r="K512" i="5"/>
  <c r="L512" i="5" s="1"/>
  <c r="M512" i="5" s="1"/>
  <c r="K513" i="5"/>
  <c r="L513" i="5" s="1"/>
  <c r="M513" i="5" s="1"/>
  <c r="K514" i="5"/>
  <c r="L514" i="5" s="1"/>
  <c r="M514" i="5" s="1"/>
  <c r="K515" i="5"/>
  <c r="L515" i="5" s="1"/>
  <c r="M515" i="5" s="1"/>
  <c r="K516" i="5"/>
  <c r="L516" i="5" s="1"/>
  <c r="M516" i="5" s="1"/>
  <c r="K517" i="5"/>
  <c r="L517" i="5" s="1"/>
  <c r="M517" i="5" s="1"/>
  <c r="K518" i="5"/>
  <c r="L518" i="5" s="1"/>
  <c r="M518" i="5" s="1"/>
  <c r="K519" i="5"/>
  <c r="L519" i="5" s="1"/>
  <c r="M519" i="5" s="1"/>
  <c r="K520" i="5"/>
  <c r="L520" i="5" s="1"/>
  <c r="M520" i="5" s="1"/>
  <c r="K521" i="5"/>
  <c r="L521" i="5" s="1"/>
  <c r="M521" i="5" s="1"/>
  <c r="K522" i="5"/>
  <c r="L522" i="5" s="1"/>
  <c r="M522" i="5" s="1"/>
  <c r="K523" i="5"/>
  <c r="L523" i="5" s="1"/>
  <c r="M523" i="5" s="1"/>
  <c r="K524" i="5"/>
  <c r="L524" i="5" s="1"/>
  <c r="M524" i="5" s="1"/>
  <c r="K525" i="5"/>
  <c r="L525" i="5" s="1"/>
  <c r="M525" i="5" s="1"/>
  <c r="K526" i="5"/>
  <c r="L526" i="5" s="1"/>
  <c r="M526" i="5" s="1"/>
  <c r="K527" i="5"/>
  <c r="L527" i="5" s="1"/>
  <c r="M527" i="5" s="1"/>
  <c r="K528" i="5"/>
  <c r="L528" i="5" s="1"/>
  <c r="M528" i="5" s="1"/>
  <c r="K529" i="5"/>
  <c r="L529" i="5" s="1"/>
  <c r="M529" i="5" s="1"/>
  <c r="K530" i="5"/>
  <c r="L530" i="5" s="1"/>
  <c r="M530" i="5" s="1"/>
  <c r="K531" i="5"/>
  <c r="L531" i="5" s="1"/>
  <c r="M531" i="5" s="1"/>
  <c r="K532" i="5"/>
  <c r="L532" i="5" s="1"/>
  <c r="M532" i="5" s="1"/>
  <c r="K533" i="5"/>
  <c r="L533" i="5" s="1"/>
  <c r="M533" i="5" s="1"/>
  <c r="K534" i="5"/>
  <c r="L534" i="5" s="1"/>
  <c r="M534" i="5" s="1"/>
  <c r="K535" i="5"/>
  <c r="K536" i="5"/>
  <c r="L536" i="5" s="1"/>
  <c r="M536" i="5" s="1"/>
  <c r="K537" i="5"/>
  <c r="L537" i="5" s="1"/>
  <c r="M537" i="5" s="1"/>
  <c r="K538" i="5"/>
  <c r="L538" i="5" s="1"/>
  <c r="M538" i="5" s="1"/>
  <c r="K539" i="5"/>
  <c r="L539" i="5" s="1"/>
  <c r="M539" i="5" s="1"/>
  <c r="K540" i="5"/>
  <c r="L540" i="5" s="1"/>
  <c r="M540" i="5" s="1"/>
  <c r="K541" i="5"/>
  <c r="L541" i="5" s="1"/>
  <c r="M541" i="5" s="1"/>
  <c r="K542" i="5"/>
  <c r="K543" i="5"/>
  <c r="L543" i="5" s="1"/>
  <c r="M543" i="5" s="1"/>
  <c r="K544" i="5"/>
  <c r="L544" i="5" s="1"/>
  <c r="M544" i="5" s="1"/>
  <c r="K545" i="5"/>
  <c r="L545" i="5" s="1"/>
  <c r="M545" i="5" s="1"/>
  <c r="K546" i="5"/>
  <c r="L546" i="5" s="1"/>
  <c r="M546" i="5" s="1"/>
  <c r="K547" i="5"/>
  <c r="L547" i="5" s="1"/>
  <c r="M547" i="5" s="1"/>
  <c r="K548" i="5"/>
  <c r="L548" i="5" s="1"/>
  <c r="M548" i="5" s="1"/>
  <c r="K549" i="5"/>
  <c r="L549" i="5" s="1"/>
  <c r="M549" i="5" s="1"/>
  <c r="K550" i="5"/>
  <c r="L550" i="5" s="1"/>
  <c r="M550" i="5" s="1"/>
  <c r="K551" i="5"/>
  <c r="L551" i="5" s="1"/>
  <c r="M551" i="5" s="1"/>
  <c r="K552" i="5"/>
  <c r="L552" i="5" s="1"/>
  <c r="M552" i="5" s="1"/>
  <c r="K553" i="5"/>
  <c r="L553" i="5" s="1"/>
  <c r="M553" i="5" s="1"/>
  <c r="K554" i="5"/>
  <c r="L554" i="5" s="1"/>
  <c r="M554" i="5" s="1"/>
  <c r="K555" i="5"/>
  <c r="L555" i="5" s="1"/>
  <c r="M555" i="5" s="1"/>
  <c r="K556" i="5"/>
  <c r="L556" i="5" s="1"/>
  <c r="M556" i="5" s="1"/>
  <c r="K557" i="5"/>
  <c r="L557" i="5" s="1"/>
  <c r="M557" i="5" s="1"/>
  <c r="K558" i="5"/>
  <c r="L558" i="5" s="1"/>
  <c r="M558" i="5" s="1"/>
  <c r="K559" i="5"/>
  <c r="L559" i="5" s="1"/>
  <c r="M559" i="5" s="1"/>
  <c r="K560" i="5"/>
  <c r="L560" i="5" s="1"/>
  <c r="M560" i="5" s="1"/>
  <c r="K561" i="5"/>
  <c r="L561" i="5" s="1"/>
  <c r="M561" i="5" s="1"/>
  <c r="K562" i="5"/>
  <c r="L562" i="5" s="1"/>
  <c r="M562" i="5" s="1"/>
  <c r="K563" i="5"/>
  <c r="L563" i="5" s="1"/>
  <c r="M563" i="5" s="1"/>
  <c r="K564" i="5"/>
  <c r="L564" i="5" s="1"/>
  <c r="M564" i="5" s="1"/>
  <c r="K565" i="5"/>
  <c r="L565" i="5" s="1"/>
  <c r="M565" i="5" s="1"/>
  <c r="K566" i="5"/>
  <c r="L566" i="5" s="1"/>
  <c r="M566" i="5" s="1"/>
  <c r="K567" i="5"/>
  <c r="L567" i="5" s="1"/>
  <c r="M567" i="5" s="1"/>
  <c r="K568" i="5"/>
  <c r="L568" i="5" s="1"/>
  <c r="M568" i="5" s="1"/>
  <c r="K569" i="5"/>
  <c r="L569" i="5" s="1"/>
  <c r="M569" i="5" s="1"/>
  <c r="K570" i="5"/>
  <c r="L570" i="5" s="1"/>
  <c r="M570" i="5" s="1"/>
  <c r="K571" i="5"/>
  <c r="L571" i="5" s="1"/>
  <c r="M571" i="5" s="1"/>
  <c r="K572" i="5"/>
  <c r="L572" i="5" s="1"/>
  <c r="M572" i="5" s="1"/>
  <c r="K573" i="5"/>
  <c r="L573" i="5" s="1"/>
  <c r="M573" i="5" s="1"/>
  <c r="K574" i="5"/>
  <c r="L574" i="5" s="1"/>
  <c r="M574" i="5" s="1"/>
  <c r="K575" i="5"/>
  <c r="L575" i="5" s="1"/>
  <c r="M575" i="5" s="1"/>
  <c r="K576" i="5"/>
  <c r="L576" i="5" s="1"/>
  <c r="M576" i="5" s="1"/>
  <c r="K577" i="5"/>
  <c r="L577" i="5" s="1"/>
  <c r="M577" i="5" s="1"/>
  <c r="K578" i="5"/>
  <c r="L578" i="5" s="1"/>
  <c r="M578" i="5" s="1"/>
  <c r="K579" i="5"/>
  <c r="L579" i="5" s="1"/>
  <c r="M579" i="5" s="1"/>
  <c r="K580" i="5"/>
  <c r="L580" i="5" s="1"/>
  <c r="M580" i="5" s="1"/>
  <c r="K581" i="5"/>
  <c r="L581" i="5" s="1"/>
  <c r="M581" i="5" s="1"/>
  <c r="K582" i="5"/>
  <c r="L582" i="5" s="1"/>
  <c r="M582" i="5" s="1"/>
  <c r="K583" i="5"/>
  <c r="L583" i="5" s="1"/>
  <c r="M583" i="5" s="1"/>
  <c r="K584" i="5"/>
  <c r="L584" i="5" s="1"/>
  <c r="M584" i="5" s="1"/>
  <c r="K585" i="5"/>
  <c r="L585" i="5" s="1"/>
  <c r="M585" i="5" s="1"/>
  <c r="K586" i="5"/>
  <c r="L586" i="5" s="1"/>
  <c r="M586" i="5" s="1"/>
  <c r="K587" i="5"/>
  <c r="L587" i="5" s="1"/>
  <c r="M587" i="5" s="1"/>
  <c r="K588" i="5"/>
  <c r="L588" i="5" s="1"/>
  <c r="M588" i="5" s="1"/>
  <c r="K589" i="5"/>
  <c r="L589" i="5" s="1"/>
  <c r="M589" i="5" s="1"/>
  <c r="K590" i="5"/>
  <c r="L590" i="5" s="1"/>
  <c r="M590" i="5" s="1"/>
  <c r="K591" i="5"/>
  <c r="L591" i="5" s="1"/>
  <c r="M591" i="5" s="1"/>
  <c r="K592" i="5"/>
  <c r="L592" i="5" s="1"/>
  <c r="M592" i="5" s="1"/>
  <c r="K593" i="5"/>
  <c r="L593" i="5" s="1"/>
  <c r="M593" i="5" s="1"/>
  <c r="K594" i="5"/>
  <c r="L594" i="5" s="1"/>
  <c r="M594" i="5" s="1"/>
  <c r="K595" i="5"/>
  <c r="L595" i="5" s="1"/>
  <c r="M595" i="5" s="1"/>
  <c r="K596" i="5"/>
  <c r="L596" i="5" s="1"/>
  <c r="M596" i="5" s="1"/>
  <c r="K597" i="5"/>
  <c r="K598" i="5"/>
  <c r="L598" i="5" s="1"/>
  <c r="M598" i="5" s="1"/>
  <c r="K599" i="5"/>
  <c r="L599" i="5" s="1"/>
  <c r="M599" i="5" s="1"/>
  <c r="K600" i="5"/>
  <c r="L600" i="5" s="1"/>
  <c r="M600" i="5" s="1"/>
  <c r="K601" i="5"/>
  <c r="L601" i="5" s="1"/>
  <c r="M601" i="5" s="1"/>
  <c r="K602" i="5"/>
  <c r="L602" i="5" s="1"/>
  <c r="M602" i="5" s="1"/>
  <c r="K603" i="5"/>
  <c r="L603" i="5" s="1"/>
  <c r="M603" i="5" s="1"/>
  <c r="K604" i="5"/>
  <c r="L604" i="5" s="1"/>
  <c r="M604" i="5" s="1"/>
  <c r="K605" i="5"/>
  <c r="L605" i="5" s="1"/>
  <c r="M605" i="5" s="1"/>
  <c r="K606" i="5"/>
  <c r="L606" i="5" s="1"/>
  <c r="M606" i="5" s="1"/>
  <c r="K607" i="5"/>
  <c r="L607" i="5" s="1"/>
  <c r="M607" i="5" s="1"/>
  <c r="K608" i="5"/>
  <c r="L608" i="5" s="1"/>
  <c r="M608" i="5" s="1"/>
  <c r="K609" i="5"/>
  <c r="L609" i="5" s="1"/>
  <c r="M609" i="5" s="1"/>
  <c r="K610" i="5"/>
  <c r="L610" i="5" s="1"/>
  <c r="M610" i="5" s="1"/>
  <c r="K611" i="5"/>
  <c r="L611" i="5" s="1"/>
  <c r="M611" i="5" s="1"/>
  <c r="K612" i="5"/>
  <c r="L612" i="5" s="1"/>
  <c r="M612" i="5" s="1"/>
  <c r="K613" i="5"/>
  <c r="K614" i="5"/>
  <c r="L614" i="5" s="1"/>
  <c r="M614" i="5" s="1"/>
  <c r="K615" i="5"/>
  <c r="L615" i="5" s="1"/>
  <c r="M615" i="5" s="1"/>
  <c r="K616" i="5"/>
  <c r="L616" i="5" s="1"/>
  <c r="M616" i="5" s="1"/>
  <c r="K617" i="5"/>
  <c r="L617" i="5" s="1"/>
  <c r="M617" i="5" s="1"/>
  <c r="K618" i="5"/>
  <c r="L618" i="5" s="1"/>
  <c r="M618" i="5" s="1"/>
  <c r="K619" i="5"/>
  <c r="L619" i="5" s="1"/>
  <c r="M619" i="5" s="1"/>
  <c r="K620" i="5"/>
  <c r="L620" i="5" s="1"/>
  <c r="M620" i="5" s="1"/>
  <c r="K621" i="5"/>
  <c r="L621" i="5" s="1"/>
  <c r="M621" i="5" s="1"/>
  <c r="K622" i="5"/>
  <c r="L622" i="5" s="1"/>
  <c r="M622" i="5" s="1"/>
  <c r="K623" i="5"/>
  <c r="L623" i="5" s="1"/>
  <c r="M623" i="5" s="1"/>
  <c r="K624" i="5"/>
  <c r="L624" i="5" s="1"/>
  <c r="M624" i="5" s="1"/>
  <c r="K625" i="5"/>
  <c r="L625" i="5" s="1"/>
  <c r="M625" i="5" s="1"/>
  <c r="K626" i="5"/>
  <c r="L626" i="5" s="1"/>
  <c r="M626" i="5" s="1"/>
  <c r="K627" i="5"/>
  <c r="L627" i="5" s="1"/>
  <c r="M627" i="5" s="1"/>
  <c r="K628" i="5"/>
  <c r="L628" i="5" s="1"/>
  <c r="M628" i="5" s="1"/>
  <c r="K629" i="5"/>
  <c r="L629" i="5" s="1"/>
  <c r="M629" i="5" s="1"/>
  <c r="K630" i="5"/>
  <c r="L630" i="5" s="1"/>
  <c r="M630" i="5" s="1"/>
  <c r="K631" i="5"/>
  <c r="L631" i="5" s="1"/>
  <c r="M631" i="5" s="1"/>
  <c r="K632" i="5"/>
  <c r="L632" i="5" s="1"/>
  <c r="M632" i="5" s="1"/>
  <c r="K633" i="5"/>
  <c r="L633" i="5" s="1"/>
  <c r="M633" i="5" s="1"/>
  <c r="K634" i="5"/>
  <c r="L634" i="5" s="1"/>
  <c r="M634" i="5" s="1"/>
  <c r="K635" i="5"/>
  <c r="L635" i="5" s="1"/>
  <c r="M635" i="5" s="1"/>
  <c r="K636" i="5"/>
  <c r="L636" i="5" s="1"/>
  <c r="M636" i="5" s="1"/>
  <c r="K637" i="5"/>
  <c r="L637" i="5" s="1"/>
  <c r="M637" i="5" s="1"/>
  <c r="K638" i="5"/>
  <c r="L638" i="5" s="1"/>
  <c r="M638" i="5" s="1"/>
  <c r="K639" i="5"/>
  <c r="L639" i="5" s="1"/>
  <c r="M639" i="5" s="1"/>
  <c r="K640" i="5"/>
  <c r="L640" i="5" s="1"/>
  <c r="M640" i="5" s="1"/>
  <c r="K641" i="5"/>
  <c r="L641" i="5" s="1"/>
  <c r="M641" i="5" s="1"/>
  <c r="K642" i="5"/>
  <c r="L642" i="5" s="1"/>
  <c r="M642" i="5" s="1"/>
  <c r="K643" i="5"/>
  <c r="L643" i="5" s="1"/>
  <c r="M643" i="5" s="1"/>
  <c r="K644" i="5"/>
  <c r="L644" i="5" s="1"/>
  <c r="M644" i="5" s="1"/>
  <c r="K645" i="5"/>
  <c r="L645" i="5" s="1"/>
  <c r="M645" i="5" s="1"/>
  <c r="K646" i="5"/>
  <c r="L646" i="5" s="1"/>
  <c r="M646" i="5" s="1"/>
  <c r="K647" i="5"/>
  <c r="L647" i="5" s="1"/>
  <c r="M647" i="5" s="1"/>
  <c r="K648" i="5"/>
  <c r="L648" i="5" s="1"/>
  <c r="M648" i="5" s="1"/>
  <c r="K649" i="5"/>
  <c r="L649" i="5" s="1"/>
  <c r="M649" i="5" s="1"/>
  <c r="K650" i="5"/>
  <c r="L650" i="5" s="1"/>
  <c r="M650" i="5" s="1"/>
  <c r="K651" i="5"/>
  <c r="L651" i="5" s="1"/>
  <c r="M651" i="5" s="1"/>
  <c r="K652" i="5"/>
  <c r="L652" i="5" s="1"/>
  <c r="M652" i="5" s="1"/>
  <c r="K653" i="5"/>
  <c r="L653" i="5" s="1"/>
  <c r="M653" i="5" s="1"/>
  <c r="K654" i="5"/>
  <c r="L654" i="5" s="1"/>
  <c r="M654" i="5" s="1"/>
  <c r="K655" i="5"/>
  <c r="L655" i="5" s="1"/>
  <c r="M655" i="5" s="1"/>
  <c r="K656" i="5"/>
  <c r="L656" i="5" s="1"/>
  <c r="M656" i="5" s="1"/>
  <c r="K657" i="5"/>
  <c r="L657" i="5" s="1"/>
  <c r="M657" i="5" s="1"/>
  <c r="K658" i="5"/>
  <c r="L658" i="5" s="1"/>
  <c r="M658" i="5" s="1"/>
  <c r="K659" i="5"/>
  <c r="L659" i="5" s="1"/>
  <c r="M659" i="5" s="1"/>
  <c r="K660" i="5"/>
  <c r="K661" i="5"/>
  <c r="K662" i="5"/>
  <c r="L662" i="5" s="1"/>
  <c r="M662" i="5" s="1"/>
  <c r="K663" i="5"/>
  <c r="L663" i="5" s="1"/>
  <c r="M663" i="5" s="1"/>
  <c r="K664" i="5"/>
  <c r="L664" i="5" s="1"/>
  <c r="M664" i="5" s="1"/>
  <c r="K665" i="5"/>
  <c r="L665" i="5" s="1"/>
  <c r="M665" i="5" s="1"/>
  <c r="K666" i="5"/>
  <c r="L666" i="5" s="1"/>
  <c r="M666" i="5" s="1"/>
  <c r="K667" i="5"/>
  <c r="L667" i="5" s="1"/>
  <c r="M667" i="5" s="1"/>
  <c r="K668" i="5"/>
  <c r="L668" i="5" s="1"/>
  <c r="M668" i="5" s="1"/>
  <c r="K669" i="5"/>
  <c r="L669" i="5" s="1"/>
  <c r="M669" i="5" s="1"/>
  <c r="K670" i="5"/>
  <c r="L670" i="5" s="1"/>
  <c r="M670" i="5" s="1"/>
  <c r="K671" i="5"/>
  <c r="L671" i="5" s="1"/>
  <c r="M671" i="5" s="1"/>
  <c r="K672" i="5"/>
  <c r="L672" i="5" s="1"/>
  <c r="M672" i="5" s="1"/>
  <c r="K673" i="5"/>
  <c r="L673" i="5" s="1"/>
  <c r="M673" i="5" s="1"/>
  <c r="K674" i="5"/>
  <c r="L674" i="5" s="1"/>
  <c r="M674" i="5" s="1"/>
  <c r="K675" i="5"/>
  <c r="L675" i="5" s="1"/>
  <c r="M675" i="5" s="1"/>
  <c r="K676" i="5"/>
  <c r="L676" i="5" s="1"/>
  <c r="M676" i="5" s="1"/>
  <c r="K677" i="5"/>
  <c r="L677" i="5" s="1"/>
  <c r="M677" i="5" s="1"/>
  <c r="K678" i="5"/>
  <c r="L678" i="5" s="1"/>
  <c r="M678" i="5" s="1"/>
  <c r="K679" i="5"/>
  <c r="L679" i="5" s="1"/>
  <c r="M679" i="5" s="1"/>
  <c r="K680" i="5"/>
  <c r="L680" i="5" s="1"/>
  <c r="M680" i="5" s="1"/>
  <c r="K681" i="5"/>
  <c r="L681" i="5" s="1"/>
  <c r="M681" i="5" s="1"/>
  <c r="K682" i="5"/>
  <c r="L682" i="5" s="1"/>
  <c r="M682" i="5" s="1"/>
  <c r="K683" i="5"/>
  <c r="L683" i="5" s="1"/>
  <c r="M683" i="5" s="1"/>
  <c r="K684" i="5"/>
  <c r="L684" i="5" s="1"/>
  <c r="M684" i="5" s="1"/>
  <c r="K685" i="5"/>
  <c r="L685" i="5" s="1"/>
  <c r="M685" i="5" s="1"/>
  <c r="K686" i="5"/>
  <c r="L686" i="5" s="1"/>
  <c r="M686" i="5" s="1"/>
  <c r="K687" i="5"/>
  <c r="L687" i="5" s="1"/>
  <c r="M687" i="5" s="1"/>
  <c r="K688" i="5"/>
  <c r="L688" i="5" s="1"/>
  <c r="M688" i="5" s="1"/>
  <c r="K689" i="5"/>
  <c r="L689" i="5" s="1"/>
  <c r="M689" i="5" s="1"/>
  <c r="K690" i="5"/>
  <c r="L690" i="5" s="1"/>
  <c r="M690" i="5" s="1"/>
  <c r="K691" i="5"/>
  <c r="L691" i="5" s="1"/>
  <c r="M691" i="5" s="1"/>
  <c r="K692" i="5"/>
  <c r="L692" i="5" s="1"/>
  <c r="M692" i="5" s="1"/>
  <c r="K693" i="5"/>
  <c r="L693" i="5" s="1"/>
  <c r="M693" i="5" s="1"/>
  <c r="K694" i="5"/>
  <c r="L694" i="5" s="1"/>
  <c r="M694" i="5" s="1"/>
  <c r="K695" i="5"/>
  <c r="L695" i="5" s="1"/>
  <c r="M695" i="5" s="1"/>
  <c r="K696" i="5"/>
  <c r="L696" i="5" s="1"/>
  <c r="M696" i="5" s="1"/>
  <c r="K697" i="5"/>
  <c r="L697" i="5" s="1"/>
  <c r="M697" i="5" s="1"/>
  <c r="K698" i="5"/>
  <c r="L698" i="5" s="1"/>
  <c r="M698" i="5" s="1"/>
  <c r="K699" i="5"/>
  <c r="L699" i="5" s="1"/>
  <c r="M699" i="5" s="1"/>
  <c r="K700" i="5"/>
  <c r="L700" i="5" s="1"/>
  <c r="M700" i="5" s="1"/>
  <c r="K701" i="5"/>
  <c r="L701" i="5" s="1"/>
  <c r="M701" i="5" s="1"/>
  <c r="K702" i="5"/>
  <c r="L702" i="5" s="1"/>
  <c r="M702" i="5" s="1"/>
  <c r="K703" i="5"/>
  <c r="L703" i="5" s="1"/>
  <c r="M703" i="5" s="1"/>
  <c r="K704" i="5"/>
  <c r="L704" i="5" s="1"/>
  <c r="M704" i="5" s="1"/>
  <c r="K705" i="5"/>
  <c r="L705" i="5" s="1"/>
  <c r="M705" i="5" s="1"/>
  <c r="K706" i="5"/>
  <c r="L706" i="5" s="1"/>
  <c r="M706" i="5" s="1"/>
  <c r="K707" i="5"/>
  <c r="L707" i="5" s="1"/>
  <c r="M707" i="5" s="1"/>
  <c r="K708" i="5"/>
  <c r="L708" i="5" s="1"/>
  <c r="M708" i="5" s="1"/>
  <c r="K709" i="5"/>
  <c r="L709" i="5" s="1"/>
  <c r="M709" i="5" s="1"/>
  <c r="K710" i="5"/>
  <c r="L710" i="5" s="1"/>
  <c r="M710" i="5" s="1"/>
  <c r="K711" i="5"/>
  <c r="L711" i="5" s="1"/>
  <c r="M711" i="5" s="1"/>
  <c r="K712" i="5"/>
  <c r="L712" i="5" s="1"/>
  <c r="M712" i="5" s="1"/>
  <c r="K713" i="5"/>
  <c r="L713" i="5" s="1"/>
  <c r="M713" i="5" s="1"/>
  <c r="K714" i="5"/>
  <c r="L714" i="5" s="1"/>
  <c r="M714" i="5" s="1"/>
  <c r="K715" i="5"/>
  <c r="L715" i="5" s="1"/>
  <c r="M715" i="5" s="1"/>
  <c r="K716" i="5"/>
  <c r="L716" i="5" s="1"/>
  <c r="M716" i="5" s="1"/>
  <c r="K717" i="5"/>
  <c r="L717" i="5" s="1"/>
  <c r="M717" i="5" s="1"/>
  <c r="K718" i="5"/>
  <c r="L718" i="5" s="1"/>
  <c r="M718" i="5" s="1"/>
  <c r="K719" i="5"/>
  <c r="L719" i="5" s="1"/>
  <c r="M719" i="5" s="1"/>
  <c r="K720" i="5"/>
  <c r="L720" i="5" s="1"/>
  <c r="M720" i="5" s="1"/>
  <c r="K721" i="5"/>
  <c r="L721" i="5" s="1"/>
  <c r="M721" i="5" s="1"/>
  <c r="K722" i="5"/>
  <c r="L722" i="5" s="1"/>
  <c r="M722" i="5" s="1"/>
  <c r="K723" i="5"/>
  <c r="L723" i="5" s="1"/>
  <c r="M723" i="5" s="1"/>
  <c r="K724" i="5"/>
  <c r="K725" i="5"/>
  <c r="L725" i="5" s="1"/>
  <c r="M725" i="5" s="1"/>
  <c r="K726" i="5"/>
  <c r="L726" i="5" s="1"/>
  <c r="M726" i="5" s="1"/>
  <c r="K727" i="5"/>
  <c r="L727" i="5" s="1"/>
  <c r="M727" i="5" s="1"/>
  <c r="K728" i="5"/>
  <c r="L728" i="5" s="1"/>
  <c r="M728" i="5" s="1"/>
  <c r="K729" i="5"/>
  <c r="L729" i="5" s="1"/>
  <c r="M729" i="5" s="1"/>
  <c r="K730" i="5"/>
  <c r="L730" i="5" s="1"/>
  <c r="M730" i="5" s="1"/>
  <c r="K731" i="5"/>
  <c r="L731" i="5" s="1"/>
  <c r="M731" i="5" s="1"/>
  <c r="K732" i="5"/>
  <c r="L732" i="5" s="1"/>
  <c r="M732" i="5" s="1"/>
  <c r="K733" i="5"/>
  <c r="L733" i="5" s="1"/>
  <c r="M733" i="5" s="1"/>
  <c r="K734" i="5"/>
  <c r="L734" i="5" s="1"/>
  <c r="M734" i="5" s="1"/>
  <c r="K735" i="5"/>
  <c r="L735" i="5" s="1"/>
  <c r="M735" i="5" s="1"/>
  <c r="K736" i="5"/>
  <c r="L736" i="5" s="1"/>
  <c r="M736" i="5" s="1"/>
  <c r="K737" i="5"/>
  <c r="L737" i="5" s="1"/>
  <c r="M737" i="5" s="1"/>
  <c r="K738" i="5"/>
  <c r="L738" i="5" s="1"/>
  <c r="M738" i="5" s="1"/>
  <c r="K739" i="5"/>
  <c r="L739" i="5" s="1"/>
  <c r="M739" i="5" s="1"/>
  <c r="K740" i="5"/>
  <c r="L740" i="5" s="1"/>
  <c r="M740" i="5" s="1"/>
  <c r="K741" i="5"/>
  <c r="L741" i="5" s="1"/>
  <c r="M741" i="5" s="1"/>
  <c r="K742" i="5"/>
  <c r="L742" i="5" s="1"/>
  <c r="M742" i="5" s="1"/>
  <c r="K743" i="5"/>
  <c r="L743" i="5" s="1"/>
  <c r="M743" i="5" s="1"/>
  <c r="K744" i="5"/>
  <c r="L744" i="5" s="1"/>
  <c r="M744" i="5" s="1"/>
  <c r="K745" i="5"/>
  <c r="L745" i="5" s="1"/>
  <c r="M745" i="5" s="1"/>
  <c r="K746" i="5"/>
  <c r="L746" i="5" s="1"/>
  <c r="M746" i="5" s="1"/>
  <c r="K747" i="5"/>
  <c r="L747" i="5" s="1"/>
  <c r="M747" i="5" s="1"/>
  <c r="K748" i="5"/>
  <c r="L748" i="5" s="1"/>
  <c r="M748" i="5" s="1"/>
  <c r="K749" i="5"/>
  <c r="L749" i="5" s="1"/>
  <c r="M749" i="5" s="1"/>
  <c r="K750" i="5"/>
  <c r="L750" i="5" s="1"/>
  <c r="M750" i="5" s="1"/>
  <c r="K751" i="5"/>
  <c r="L751" i="5" s="1"/>
  <c r="M751" i="5" s="1"/>
  <c r="K752" i="5"/>
  <c r="L752" i="5" s="1"/>
  <c r="M752" i="5" s="1"/>
  <c r="K753" i="5"/>
  <c r="L753" i="5" s="1"/>
  <c r="M753" i="5" s="1"/>
  <c r="K754" i="5"/>
  <c r="L754" i="5" s="1"/>
  <c r="M754" i="5" s="1"/>
  <c r="K755" i="5"/>
  <c r="L755" i="5" s="1"/>
  <c r="M755" i="5" s="1"/>
  <c r="K756" i="5"/>
  <c r="L756" i="5" s="1"/>
  <c r="M756" i="5" s="1"/>
  <c r="K757" i="5"/>
  <c r="L757" i="5" s="1"/>
  <c r="M757" i="5" s="1"/>
  <c r="K758" i="5"/>
  <c r="L758" i="5" s="1"/>
  <c r="M758" i="5" s="1"/>
  <c r="K759" i="5"/>
  <c r="L759" i="5" s="1"/>
  <c r="M759" i="5" s="1"/>
  <c r="K760" i="5"/>
  <c r="L760" i="5" s="1"/>
  <c r="M760" i="5" s="1"/>
  <c r="K761" i="5"/>
  <c r="L761" i="5" s="1"/>
  <c r="M761" i="5" s="1"/>
  <c r="K762" i="5"/>
  <c r="L762" i="5" s="1"/>
  <c r="M762" i="5" s="1"/>
  <c r="K763" i="5"/>
  <c r="L763" i="5" s="1"/>
  <c r="M763" i="5" s="1"/>
  <c r="K764" i="5"/>
  <c r="L764" i="5" s="1"/>
  <c r="M764" i="5" s="1"/>
  <c r="K765" i="5"/>
  <c r="L765" i="5" s="1"/>
  <c r="M765" i="5" s="1"/>
  <c r="K766" i="5"/>
  <c r="L766" i="5" s="1"/>
  <c r="M766" i="5" s="1"/>
  <c r="K767" i="5"/>
  <c r="L767" i="5" s="1"/>
  <c r="M767" i="5" s="1"/>
  <c r="K768" i="5"/>
  <c r="L768" i="5" s="1"/>
  <c r="M768" i="5" s="1"/>
  <c r="K769" i="5"/>
  <c r="L769" i="5" s="1"/>
  <c r="M769" i="5" s="1"/>
  <c r="K770" i="5"/>
  <c r="L770" i="5" s="1"/>
  <c r="M770" i="5" s="1"/>
  <c r="K771" i="5"/>
  <c r="L771" i="5" s="1"/>
  <c r="M771" i="5" s="1"/>
  <c r="K772" i="5"/>
  <c r="L772" i="5" s="1"/>
  <c r="M772" i="5" s="1"/>
  <c r="K773" i="5"/>
  <c r="L773" i="5" s="1"/>
  <c r="M773" i="5" s="1"/>
  <c r="K774" i="5"/>
  <c r="L774" i="5" s="1"/>
  <c r="M774" i="5" s="1"/>
  <c r="K775" i="5"/>
  <c r="L775" i="5" s="1"/>
  <c r="M775" i="5" s="1"/>
  <c r="K776" i="5"/>
  <c r="L776" i="5" s="1"/>
  <c r="M776" i="5" s="1"/>
  <c r="K777" i="5"/>
  <c r="L777" i="5" s="1"/>
  <c r="M777" i="5" s="1"/>
  <c r="K778" i="5"/>
  <c r="L778" i="5" s="1"/>
  <c r="M778" i="5" s="1"/>
  <c r="K779" i="5"/>
  <c r="L779" i="5" s="1"/>
  <c r="M779" i="5" s="1"/>
  <c r="K780" i="5"/>
  <c r="L780" i="5" s="1"/>
  <c r="M780" i="5" s="1"/>
  <c r="K781" i="5"/>
  <c r="L781" i="5" s="1"/>
  <c r="M781" i="5" s="1"/>
  <c r="K782" i="5"/>
  <c r="L782" i="5" s="1"/>
  <c r="M782" i="5" s="1"/>
  <c r="K783" i="5"/>
  <c r="L783" i="5" s="1"/>
  <c r="M783" i="5" s="1"/>
  <c r="K784" i="5"/>
  <c r="L784" i="5" s="1"/>
  <c r="M784" i="5" s="1"/>
  <c r="K785" i="5"/>
  <c r="L785" i="5" s="1"/>
  <c r="M785" i="5" s="1"/>
  <c r="K786" i="5"/>
  <c r="L786" i="5" s="1"/>
  <c r="M786" i="5" s="1"/>
  <c r="K787" i="5"/>
  <c r="L787" i="5" s="1"/>
  <c r="M787" i="5" s="1"/>
  <c r="K788" i="5"/>
  <c r="L788" i="5" s="1"/>
  <c r="M788" i="5" s="1"/>
  <c r="K789" i="5"/>
  <c r="L789" i="5" s="1"/>
  <c r="M789" i="5" s="1"/>
  <c r="K790" i="5"/>
  <c r="L790" i="5" s="1"/>
  <c r="M790" i="5" s="1"/>
  <c r="K791" i="5"/>
  <c r="L791" i="5" s="1"/>
  <c r="M791" i="5" s="1"/>
  <c r="K792" i="5"/>
  <c r="L792" i="5" s="1"/>
  <c r="M792" i="5" s="1"/>
  <c r="K793" i="5"/>
  <c r="L793" i="5" s="1"/>
  <c r="M793" i="5" s="1"/>
  <c r="K794" i="5"/>
  <c r="L794" i="5" s="1"/>
  <c r="M794" i="5" s="1"/>
  <c r="K795" i="5"/>
  <c r="L795" i="5" s="1"/>
  <c r="M795" i="5" s="1"/>
  <c r="K796" i="5"/>
  <c r="L796" i="5" s="1"/>
  <c r="M796" i="5" s="1"/>
  <c r="K797" i="5"/>
  <c r="L797" i="5" s="1"/>
  <c r="M797" i="5" s="1"/>
  <c r="K798" i="5"/>
  <c r="L798" i="5" s="1"/>
  <c r="M798" i="5" s="1"/>
  <c r="K799" i="5"/>
  <c r="L799" i="5" s="1"/>
  <c r="M799" i="5" s="1"/>
  <c r="K800" i="5"/>
  <c r="L800" i="5" s="1"/>
  <c r="M800" i="5" s="1"/>
  <c r="K801" i="5"/>
  <c r="L801" i="5" s="1"/>
  <c r="M801" i="5" s="1"/>
  <c r="K802" i="5"/>
  <c r="L802" i="5" s="1"/>
  <c r="M802" i="5" s="1"/>
  <c r="K803" i="5"/>
  <c r="L803" i="5" s="1"/>
  <c r="M803" i="5" s="1"/>
  <c r="K804" i="5"/>
  <c r="L804" i="5" s="1"/>
  <c r="M804" i="5" s="1"/>
  <c r="K805" i="5"/>
  <c r="L805" i="5" s="1"/>
  <c r="M805" i="5" s="1"/>
  <c r="K806" i="5"/>
  <c r="L806" i="5" s="1"/>
  <c r="M806" i="5" s="1"/>
  <c r="K807" i="5"/>
  <c r="L807" i="5" s="1"/>
  <c r="M807" i="5" s="1"/>
  <c r="K808" i="5"/>
  <c r="L808" i="5" s="1"/>
  <c r="M808" i="5" s="1"/>
  <c r="K809" i="5"/>
  <c r="L809" i="5" s="1"/>
  <c r="M809" i="5" s="1"/>
  <c r="K810" i="5"/>
  <c r="L810" i="5" s="1"/>
  <c r="M810" i="5" s="1"/>
  <c r="K811" i="5"/>
  <c r="L811" i="5" s="1"/>
  <c r="M811" i="5" s="1"/>
  <c r="K812" i="5"/>
  <c r="L812" i="5" s="1"/>
  <c r="M812" i="5" s="1"/>
  <c r="K813" i="5"/>
  <c r="L813" i="5" s="1"/>
  <c r="M813" i="5" s="1"/>
  <c r="K814" i="5"/>
  <c r="L814" i="5" s="1"/>
  <c r="M814" i="5" s="1"/>
  <c r="K815" i="5"/>
  <c r="L815" i="5" s="1"/>
  <c r="M815" i="5" s="1"/>
  <c r="K816" i="5"/>
  <c r="L816" i="5" s="1"/>
  <c r="M816" i="5" s="1"/>
  <c r="K817" i="5"/>
  <c r="L817" i="5" s="1"/>
  <c r="M817" i="5" s="1"/>
  <c r="K818" i="5"/>
  <c r="L818" i="5" s="1"/>
  <c r="M818" i="5" s="1"/>
  <c r="K819" i="5"/>
  <c r="L819" i="5" s="1"/>
  <c r="M819" i="5" s="1"/>
  <c r="K820" i="5"/>
  <c r="L820" i="5" s="1"/>
  <c r="M820" i="5" s="1"/>
  <c r="K821" i="5"/>
  <c r="L821" i="5" s="1"/>
  <c r="M821" i="5" s="1"/>
  <c r="K822" i="5"/>
  <c r="L822" i="5" s="1"/>
  <c r="M822" i="5" s="1"/>
  <c r="K823" i="5"/>
  <c r="L823" i="5" s="1"/>
  <c r="M823" i="5" s="1"/>
  <c r="K824" i="5"/>
  <c r="L824" i="5" s="1"/>
  <c r="M824" i="5" s="1"/>
  <c r="K825" i="5"/>
  <c r="L825" i="5" s="1"/>
  <c r="M825" i="5" s="1"/>
  <c r="K826" i="5"/>
  <c r="L826" i="5" s="1"/>
  <c r="M826" i="5" s="1"/>
  <c r="K827" i="5"/>
  <c r="L827" i="5" s="1"/>
  <c r="M827" i="5" s="1"/>
  <c r="K828" i="5"/>
  <c r="L828" i="5" s="1"/>
  <c r="M828" i="5" s="1"/>
  <c r="K829" i="5"/>
  <c r="K830" i="5"/>
  <c r="L830" i="5" s="1"/>
  <c r="M830" i="5" s="1"/>
  <c r="K831" i="5"/>
  <c r="L831" i="5" s="1"/>
  <c r="M831" i="5" s="1"/>
  <c r="K832" i="5"/>
  <c r="L832" i="5" s="1"/>
  <c r="M832" i="5" s="1"/>
  <c r="K833" i="5"/>
  <c r="L833" i="5" s="1"/>
  <c r="M833" i="5" s="1"/>
  <c r="K834" i="5"/>
  <c r="L834" i="5" s="1"/>
  <c r="M834" i="5" s="1"/>
  <c r="K835" i="5"/>
  <c r="L835" i="5" s="1"/>
  <c r="M835" i="5" s="1"/>
  <c r="K836" i="5"/>
  <c r="L836" i="5" s="1"/>
  <c r="M836" i="5" s="1"/>
  <c r="K837" i="5"/>
  <c r="L837" i="5" s="1"/>
  <c r="M837" i="5" s="1"/>
  <c r="K838" i="5"/>
  <c r="L838" i="5" s="1"/>
  <c r="M838" i="5" s="1"/>
  <c r="K839" i="5"/>
  <c r="L839" i="5" s="1"/>
  <c r="M839" i="5" s="1"/>
  <c r="K840" i="5"/>
  <c r="L840" i="5" s="1"/>
  <c r="M840" i="5" s="1"/>
  <c r="K841" i="5"/>
  <c r="L841" i="5" s="1"/>
  <c r="M841" i="5" s="1"/>
  <c r="K842" i="5"/>
  <c r="L842" i="5" s="1"/>
  <c r="M842" i="5" s="1"/>
  <c r="K843" i="5"/>
  <c r="L843" i="5" s="1"/>
  <c r="M843" i="5" s="1"/>
  <c r="K844" i="5"/>
  <c r="L844" i="5" s="1"/>
  <c r="M844" i="5" s="1"/>
  <c r="K845" i="5"/>
  <c r="L845" i="5" s="1"/>
  <c r="M845" i="5" s="1"/>
  <c r="K846" i="5"/>
  <c r="L846" i="5" s="1"/>
  <c r="M846" i="5" s="1"/>
  <c r="K847" i="5"/>
  <c r="L847" i="5" s="1"/>
  <c r="M847" i="5" s="1"/>
  <c r="K848" i="5"/>
  <c r="L848" i="5" s="1"/>
  <c r="M848" i="5" s="1"/>
  <c r="K849" i="5"/>
  <c r="L849" i="5" s="1"/>
  <c r="M849" i="5" s="1"/>
  <c r="K850" i="5"/>
  <c r="L850" i="5" s="1"/>
  <c r="M850" i="5" s="1"/>
  <c r="K851" i="5"/>
  <c r="L851" i="5" s="1"/>
  <c r="M851" i="5" s="1"/>
  <c r="K852" i="5"/>
  <c r="L852" i="5" s="1"/>
  <c r="M852" i="5" s="1"/>
  <c r="K853" i="5"/>
  <c r="L853" i="5" s="1"/>
  <c r="M853" i="5" s="1"/>
  <c r="K854" i="5"/>
  <c r="L854" i="5" s="1"/>
  <c r="M854" i="5" s="1"/>
  <c r="K855" i="5"/>
  <c r="L855" i="5" s="1"/>
  <c r="M855" i="5" s="1"/>
  <c r="K856" i="5"/>
  <c r="L856" i="5" s="1"/>
  <c r="M856" i="5" s="1"/>
  <c r="K857" i="5"/>
  <c r="L857" i="5" s="1"/>
  <c r="M857" i="5" s="1"/>
  <c r="K858" i="5"/>
  <c r="L858" i="5" s="1"/>
  <c r="M858" i="5" s="1"/>
  <c r="K859" i="5"/>
  <c r="L859" i="5" s="1"/>
  <c r="M859" i="5" s="1"/>
  <c r="K860" i="5"/>
  <c r="L860" i="5" s="1"/>
  <c r="M860" i="5" s="1"/>
  <c r="K861" i="5"/>
  <c r="L861" i="5" s="1"/>
  <c r="M861" i="5" s="1"/>
  <c r="K862" i="5"/>
  <c r="L862" i="5" s="1"/>
  <c r="M862" i="5" s="1"/>
  <c r="K863" i="5"/>
  <c r="L863" i="5" s="1"/>
  <c r="M863" i="5" s="1"/>
  <c r="K864" i="5"/>
  <c r="L864" i="5" s="1"/>
  <c r="M864" i="5" s="1"/>
  <c r="K865" i="5"/>
  <c r="L865" i="5" s="1"/>
  <c r="M865" i="5" s="1"/>
  <c r="K866" i="5"/>
  <c r="L866" i="5" s="1"/>
  <c r="M866" i="5" s="1"/>
  <c r="K867" i="5"/>
  <c r="L867" i="5" s="1"/>
  <c r="M867" i="5" s="1"/>
  <c r="K868" i="5"/>
  <c r="L868" i="5" s="1"/>
  <c r="M868" i="5" s="1"/>
  <c r="K869" i="5"/>
  <c r="L869" i="5" s="1"/>
  <c r="M869" i="5" s="1"/>
  <c r="K870" i="5"/>
  <c r="L870" i="5" s="1"/>
  <c r="M870" i="5" s="1"/>
  <c r="K871" i="5"/>
  <c r="L871" i="5" s="1"/>
  <c r="M871" i="5" s="1"/>
  <c r="K872" i="5"/>
  <c r="L872" i="5" s="1"/>
  <c r="M872" i="5" s="1"/>
  <c r="K873" i="5"/>
  <c r="L873" i="5" s="1"/>
  <c r="M873" i="5" s="1"/>
  <c r="K874" i="5"/>
  <c r="L874" i="5" s="1"/>
  <c r="M874" i="5" s="1"/>
  <c r="K875" i="5"/>
  <c r="L875" i="5" s="1"/>
  <c r="M875" i="5" s="1"/>
  <c r="K876" i="5"/>
  <c r="L876" i="5" s="1"/>
  <c r="M876" i="5" s="1"/>
  <c r="K877" i="5"/>
  <c r="L877" i="5" s="1"/>
  <c r="M877" i="5" s="1"/>
  <c r="K878" i="5"/>
  <c r="L878" i="5" s="1"/>
  <c r="M878" i="5" s="1"/>
  <c r="K879" i="5"/>
  <c r="L879" i="5" s="1"/>
  <c r="M879" i="5" s="1"/>
  <c r="K880" i="5"/>
  <c r="L880" i="5" s="1"/>
  <c r="M880" i="5" s="1"/>
  <c r="K881" i="5"/>
  <c r="L881" i="5" s="1"/>
  <c r="M881" i="5" s="1"/>
  <c r="K882" i="5"/>
  <c r="L882" i="5" s="1"/>
  <c r="M882" i="5" s="1"/>
  <c r="K883" i="5"/>
  <c r="L883" i="5" s="1"/>
  <c r="M883" i="5" s="1"/>
  <c r="K884" i="5"/>
  <c r="L884" i="5" s="1"/>
  <c r="M884" i="5" s="1"/>
  <c r="K885" i="5"/>
  <c r="L885" i="5" s="1"/>
  <c r="M885" i="5" s="1"/>
  <c r="K886" i="5"/>
  <c r="L886" i="5" s="1"/>
  <c r="M886" i="5" s="1"/>
  <c r="K887" i="5"/>
  <c r="L887" i="5" s="1"/>
  <c r="M887" i="5" s="1"/>
  <c r="K888" i="5"/>
  <c r="L888" i="5" s="1"/>
  <c r="M888" i="5" s="1"/>
  <c r="K889" i="5"/>
  <c r="L889" i="5" s="1"/>
  <c r="M889" i="5" s="1"/>
  <c r="K890" i="5"/>
  <c r="L890" i="5" s="1"/>
  <c r="M890" i="5" s="1"/>
  <c r="K891" i="5"/>
  <c r="L891" i="5" s="1"/>
  <c r="M891" i="5" s="1"/>
  <c r="K892" i="5"/>
  <c r="K893" i="5"/>
  <c r="K894" i="5"/>
  <c r="L894" i="5" s="1"/>
  <c r="M894" i="5" s="1"/>
  <c r="K895" i="5"/>
  <c r="L895" i="5" s="1"/>
  <c r="M895" i="5" s="1"/>
  <c r="K896" i="5"/>
  <c r="L896" i="5" s="1"/>
  <c r="M896" i="5" s="1"/>
  <c r="K897" i="5"/>
  <c r="L897" i="5" s="1"/>
  <c r="M897" i="5" s="1"/>
  <c r="K898" i="5"/>
  <c r="L898" i="5" s="1"/>
  <c r="M898" i="5" s="1"/>
  <c r="K899" i="5"/>
  <c r="L899" i="5" s="1"/>
  <c r="M899" i="5" s="1"/>
  <c r="K900" i="5"/>
  <c r="L900" i="5" s="1"/>
  <c r="M900" i="5" s="1"/>
  <c r="K901" i="5"/>
  <c r="L901" i="5" s="1"/>
  <c r="M901" i="5" s="1"/>
  <c r="K902" i="5"/>
  <c r="L902" i="5" s="1"/>
  <c r="M902" i="5" s="1"/>
  <c r="K903" i="5"/>
  <c r="L903" i="5" s="1"/>
  <c r="M903" i="5" s="1"/>
  <c r="K904" i="5"/>
  <c r="L904" i="5" s="1"/>
  <c r="M904" i="5" s="1"/>
  <c r="K905" i="5"/>
  <c r="L905" i="5" s="1"/>
  <c r="M905" i="5" s="1"/>
  <c r="K906" i="5"/>
  <c r="L906" i="5" s="1"/>
  <c r="M906" i="5" s="1"/>
  <c r="K907" i="5"/>
  <c r="L907" i="5" s="1"/>
  <c r="M907" i="5" s="1"/>
  <c r="K908" i="5"/>
  <c r="L908" i="5" s="1"/>
  <c r="M908" i="5" s="1"/>
  <c r="K909" i="5"/>
  <c r="L909" i="5" s="1"/>
  <c r="M909" i="5" s="1"/>
  <c r="K910" i="5"/>
  <c r="L910" i="5" s="1"/>
  <c r="M910" i="5" s="1"/>
  <c r="K911" i="5"/>
  <c r="L911" i="5" s="1"/>
  <c r="M911" i="5" s="1"/>
  <c r="K912" i="5"/>
  <c r="L912" i="5" s="1"/>
  <c r="M912" i="5" s="1"/>
  <c r="K913" i="5"/>
  <c r="L913" i="5" s="1"/>
  <c r="M913" i="5" s="1"/>
  <c r="K914" i="5"/>
  <c r="L914" i="5" s="1"/>
  <c r="M914" i="5" s="1"/>
  <c r="K915" i="5"/>
  <c r="L915" i="5" s="1"/>
  <c r="M915" i="5" s="1"/>
  <c r="K916" i="5"/>
  <c r="L916" i="5" s="1"/>
  <c r="M916" i="5" s="1"/>
  <c r="K917" i="5"/>
  <c r="L917" i="5" s="1"/>
  <c r="M917" i="5" s="1"/>
  <c r="K918" i="5"/>
  <c r="L918" i="5" s="1"/>
  <c r="M918" i="5" s="1"/>
  <c r="K919" i="5"/>
  <c r="L919" i="5" s="1"/>
  <c r="M919" i="5" s="1"/>
  <c r="K920" i="5"/>
  <c r="L920" i="5" s="1"/>
  <c r="M920" i="5" s="1"/>
  <c r="K921" i="5"/>
  <c r="L921" i="5" s="1"/>
  <c r="M921" i="5" s="1"/>
  <c r="K922" i="5"/>
  <c r="L922" i="5" s="1"/>
  <c r="M922" i="5" s="1"/>
  <c r="K923" i="5"/>
  <c r="L923" i="5" s="1"/>
  <c r="M923" i="5" s="1"/>
  <c r="K924" i="5"/>
  <c r="L924" i="5" s="1"/>
  <c r="M924" i="5" s="1"/>
  <c r="K925" i="5"/>
  <c r="L925" i="5" s="1"/>
  <c r="M925" i="5" s="1"/>
  <c r="K926" i="5"/>
  <c r="L926" i="5" s="1"/>
  <c r="M926" i="5" s="1"/>
  <c r="K927" i="5"/>
  <c r="L927" i="5" s="1"/>
  <c r="M927" i="5" s="1"/>
  <c r="K928" i="5"/>
  <c r="L928" i="5" s="1"/>
  <c r="M928" i="5" s="1"/>
  <c r="K929" i="5"/>
  <c r="L929" i="5" s="1"/>
  <c r="M929" i="5" s="1"/>
  <c r="K930" i="5"/>
  <c r="L930" i="5" s="1"/>
  <c r="M930" i="5" s="1"/>
  <c r="K931" i="5"/>
  <c r="L931" i="5" s="1"/>
  <c r="M931" i="5" s="1"/>
  <c r="K932" i="5"/>
  <c r="L932" i="5" s="1"/>
  <c r="M932" i="5" s="1"/>
  <c r="K933" i="5"/>
  <c r="L933" i="5" s="1"/>
  <c r="M933" i="5" s="1"/>
  <c r="K934" i="5"/>
  <c r="L934" i="5" s="1"/>
  <c r="M934" i="5" s="1"/>
  <c r="K935" i="5"/>
  <c r="L935" i="5" s="1"/>
  <c r="M935" i="5" s="1"/>
  <c r="K936" i="5"/>
  <c r="L936" i="5" s="1"/>
  <c r="M936" i="5" s="1"/>
  <c r="K937" i="5"/>
  <c r="L937" i="5" s="1"/>
  <c r="M937" i="5" s="1"/>
  <c r="K938" i="5"/>
  <c r="L938" i="5" s="1"/>
  <c r="M938" i="5" s="1"/>
  <c r="K939" i="5"/>
  <c r="L939" i="5" s="1"/>
  <c r="M939" i="5" s="1"/>
  <c r="K940" i="5"/>
  <c r="K941" i="5"/>
  <c r="L941" i="5" s="1"/>
  <c r="M941" i="5" s="1"/>
  <c r="K942" i="5"/>
  <c r="L942" i="5" s="1"/>
  <c r="M942" i="5" s="1"/>
  <c r="K943" i="5"/>
  <c r="L943" i="5" s="1"/>
  <c r="M943" i="5" s="1"/>
  <c r="K944" i="5"/>
  <c r="L944" i="5" s="1"/>
  <c r="M944" i="5" s="1"/>
  <c r="K945" i="5"/>
  <c r="L945" i="5" s="1"/>
  <c r="M945" i="5" s="1"/>
  <c r="K946" i="5"/>
  <c r="L946" i="5" s="1"/>
  <c r="M946" i="5" s="1"/>
  <c r="K947" i="5"/>
  <c r="L947" i="5" s="1"/>
  <c r="M947" i="5" s="1"/>
  <c r="K948" i="5"/>
  <c r="L948" i="5" s="1"/>
  <c r="M948" i="5" s="1"/>
  <c r="K949" i="5"/>
  <c r="L949" i="5" s="1"/>
  <c r="M949" i="5" s="1"/>
  <c r="K950" i="5"/>
  <c r="L950" i="5" s="1"/>
  <c r="M950" i="5" s="1"/>
  <c r="K951" i="5"/>
  <c r="L951" i="5" s="1"/>
  <c r="M951" i="5" s="1"/>
  <c r="K952" i="5"/>
  <c r="L952" i="5" s="1"/>
  <c r="M952" i="5" s="1"/>
  <c r="K953" i="5"/>
  <c r="L953" i="5" s="1"/>
  <c r="M953" i="5" s="1"/>
  <c r="K954" i="5"/>
  <c r="L954" i="5" s="1"/>
  <c r="M954" i="5" s="1"/>
  <c r="K955" i="5"/>
  <c r="L955" i="5" s="1"/>
  <c r="M955" i="5" s="1"/>
  <c r="K956" i="5"/>
  <c r="K957" i="5"/>
  <c r="L957" i="5" s="1"/>
  <c r="M957" i="5" s="1"/>
  <c r="K958" i="5"/>
  <c r="L958" i="5" s="1"/>
  <c r="M958" i="5" s="1"/>
  <c r="K959" i="5"/>
  <c r="L959" i="5" s="1"/>
  <c r="M959" i="5" s="1"/>
  <c r="K960" i="5"/>
  <c r="L960" i="5" s="1"/>
  <c r="M960" i="5" s="1"/>
  <c r="K961" i="5"/>
  <c r="L961" i="5" s="1"/>
  <c r="M961" i="5" s="1"/>
  <c r="K962" i="5"/>
  <c r="L962" i="5" s="1"/>
  <c r="M962" i="5" s="1"/>
  <c r="K963" i="5"/>
  <c r="L963" i="5" s="1"/>
  <c r="M963" i="5" s="1"/>
  <c r="K964" i="5"/>
  <c r="L964" i="5" s="1"/>
  <c r="M964" i="5" s="1"/>
  <c r="K965" i="5"/>
  <c r="L965" i="5" s="1"/>
  <c r="M965" i="5" s="1"/>
  <c r="K966" i="5"/>
  <c r="L966" i="5" s="1"/>
  <c r="M966" i="5" s="1"/>
  <c r="K967" i="5"/>
  <c r="L967" i="5" s="1"/>
  <c r="M967" i="5" s="1"/>
  <c r="K968" i="5"/>
  <c r="L968" i="5" s="1"/>
  <c r="M968" i="5" s="1"/>
  <c r="K969" i="5"/>
  <c r="L969" i="5" s="1"/>
  <c r="M969" i="5" s="1"/>
  <c r="K970" i="5"/>
  <c r="L970" i="5" s="1"/>
  <c r="M970" i="5" s="1"/>
  <c r="K971" i="5"/>
  <c r="L971" i="5" s="1"/>
  <c r="M971" i="5" s="1"/>
  <c r="K972" i="5"/>
  <c r="L972" i="5" s="1"/>
  <c r="M972" i="5" s="1"/>
  <c r="K973" i="5"/>
  <c r="L973" i="5" s="1"/>
  <c r="M973" i="5" s="1"/>
  <c r="K974" i="5"/>
  <c r="L974" i="5" s="1"/>
  <c r="M974" i="5" s="1"/>
  <c r="K975" i="5"/>
  <c r="L975" i="5" s="1"/>
  <c r="M975" i="5" s="1"/>
  <c r="K976" i="5"/>
  <c r="L976" i="5" s="1"/>
  <c r="M976" i="5" s="1"/>
  <c r="K977" i="5"/>
  <c r="L977" i="5" s="1"/>
  <c r="M977" i="5" s="1"/>
  <c r="K978" i="5"/>
  <c r="L978" i="5" s="1"/>
  <c r="M978" i="5" s="1"/>
  <c r="K979" i="5"/>
  <c r="L979" i="5" s="1"/>
  <c r="M979" i="5" s="1"/>
  <c r="K980" i="5"/>
  <c r="L980" i="5" s="1"/>
  <c r="M980" i="5" s="1"/>
  <c r="K981" i="5"/>
  <c r="L981" i="5" s="1"/>
  <c r="M981" i="5" s="1"/>
  <c r="K982" i="5"/>
  <c r="L982" i="5" s="1"/>
  <c r="M982" i="5" s="1"/>
  <c r="K983" i="5"/>
  <c r="L983" i="5" s="1"/>
  <c r="M983" i="5" s="1"/>
  <c r="K984" i="5"/>
  <c r="L984" i="5" s="1"/>
  <c r="M984" i="5" s="1"/>
  <c r="K985" i="5"/>
  <c r="L985" i="5" s="1"/>
  <c r="M985" i="5" s="1"/>
  <c r="K986" i="5"/>
  <c r="L986" i="5" s="1"/>
  <c r="M986" i="5" s="1"/>
  <c r="K987" i="5"/>
  <c r="L987" i="5" s="1"/>
  <c r="M987" i="5" s="1"/>
  <c r="K988" i="5"/>
  <c r="L988" i="5" s="1"/>
  <c r="M988" i="5" s="1"/>
  <c r="K989" i="5"/>
  <c r="L989" i="5" s="1"/>
  <c r="M989" i="5" s="1"/>
  <c r="K990" i="5"/>
  <c r="L990" i="5" s="1"/>
  <c r="M990" i="5" s="1"/>
  <c r="K991" i="5"/>
  <c r="L991" i="5" s="1"/>
  <c r="M991" i="5" s="1"/>
  <c r="K992" i="5"/>
  <c r="L992" i="5" s="1"/>
  <c r="M992" i="5" s="1"/>
  <c r="K993" i="5"/>
  <c r="L993" i="5" s="1"/>
  <c r="M993" i="5" s="1"/>
  <c r="K994" i="5"/>
  <c r="L994" i="5" s="1"/>
  <c r="M994" i="5" s="1"/>
  <c r="K995" i="5"/>
  <c r="L995" i="5" s="1"/>
  <c r="M995" i="5" s="1"/>
  <c r="K996" i="5"/>
  <c r="L996" i="5" s="1"/>
  <c r="M996" i="5" s="1"/>
  <c r="K997" i="5"/>
  <c r="L997" i="5" s="1"/>
  <c r="M997" i="5" s="1"/>
  <c r="K998" i="5"/>
  <c r="L998" i="5" s="1"/>
  <c r="M998" i="5" s="1"/>
  <c r="K999" i="5"/>
  <c r="L999" i="5" s="1"/>
  <c r="M999" i="5" s="1"/>
  <c r="K1000" i="5"/>
  <c r="L1000" i="5" s="1"/>
  <c r="M1000" i="5" s="1"/>
  <c r="K1001" i="5"/>
  <c r="L1001" i="5" s="1"/>
  <c r="M1001" i="5" s="1"/>
  <c r="K1002" i="5"/>
  <c r="L1002" i="5" s="1"/>
  <c r="M1002" i="5" s="1"/>
  <c r="K1003" i="5"/>
  <c r="L1003" i="5" s="1"/>
  <c r="M1003" i="5" s="1"/>
  <c r="K1004" i="5"/>
  <c r="K1005" i="5"/>
  <c r="L1005" i="5" s="1"/>
  <c r="M1005" i="5" s="1"/>
  <c r="K1006" i="5"/>
  <c r="L1006" i="5" s="1"/>
  <c r="M1006" i="5" s="1"/>
  <c r="K1007" i="5"/>
  <c r="L1007" i="5" s="1"/>
  <c r="M1007" i="5" s="1"/>
  <c r="K1008" i="5"/>
  <c r="L1008" i="5" s="1"/>
  <c r="M1008" i="5" s="1"/>
  <c r="K1009" i="5"/>
  <c r="L1009" i="5" s="1"/>
  <c r="M1009" i="5" s="1"/>
  <c r="K1010" i="5"/>
  <c r="L1010" i="5" s="1"/>
  <c r="M1010" i="5" s="1"/>
  <c r="K1011" i="5"/>
  <c r="L1011" i="5" s="1"/>
  <c r="M1011" i="5" s="1"/>
  <c r="K1012" i="5"/>
  <c r="L1012" i="5" s="1"/>
  <c r="M1012" i="5" s="1"/>
  <c r="K1013" i="5"/>
  <c r="L1013" i="5" s="1"/>
  <c r="M1013" i="5" s="1"/>
  <c r="K1014" i="5"/>
  <c r="L1014" i="5" s="1"/>
  <c r="M1014" i="5" s="1"/>
  <c r="K1015" i="5"/>
  <c r="L1015" i="5" s="1"/>
  <c r="M1015" i="5" s="1"/>
  <c r="K1016" i="5"/>
  <c r="L1016" i="5" s="1"/>
  <c r="M1016" i="5" s="1"/>
  <c r="K1017" i="5"/>
  <c r="L1017" i="5" s="1"/>
  <c r="M1017" i="5" s="1"/>
  <c r="K1018" i="5"/>
  <c r="L1018" i="5" s="1"/>
  <c r="M1018" i="5" s="1"/>
  <c r="K1019" i="5"/>
  <c r="L1019" i="5" s="1"/>
  <c r="M1019" i="5" s="1"/>
  <c r="K1020" i="5"/>
  <c r="L1020" i="5" s="1"/>
  <c r="M1020" i="5" s="1"/>
  <c r="K1021" i="5"/>
  <c r="L1021" i="5" s="1"/>
  <c r="M1021" i="5" s="1"/>
  <c r="K1022" i="5"/>
  <c r="L1022" i="5" s="1"/>
  <c r="M1022" i="5" s="1"/>
  <c r="K1023" i="5"/>
  <c r="L1023" i="5" s="1"/>
  <c r="M1023" i="5" s="1"/>
  <c r="K1024" i="5"/>
  <c r="L1024" i="5" s="1"/>
  <c r="M1024" i="5" s="1"/>
  <c r="K1025" i="5"/>
  <c r="L1025" i="5" s="1"/>
  <c r="M1025" i="5" s="1"/>
  <c r="K1026" i="5"/>
  <c r="L1026" i="5" s="1"/>
  <c r="M1026" i="5" s="1"/>
  <c r="K1027" i="5"/>
  <c r="L1027" i="5" s="1"/>
  <c r="M1027" i="5" s="1"/>
  <c r="K1028" i="5"/>
  <c r="L1028" i="5" s="1"/>
  <c r="M1028" i="5" s="1"/>
  <c r="K1029" i="5"/>
  <c r="L1029" i="5" s="1"/>
  <c r="M1029" i="5" s="1"/>
  <c r="K1030" i="5"/>
  <c r="L1030" i="5" s="1"/>
  <c r="M1030" i="5" s="1"/>
  <c r="K1031" i="5"/>
  <c r="L1031" i="5" s="1"/>
  <c r="M1031" i="5" s="1"/>
  <c r="K1032" i="5"/>
  <c r="L1032" i="5" s="1"/>
  <c r="M1032" i="5" s="1"/>
  <c r="K1033" i="5"/>
  <c r="L1033" i="5" s="1"/>
  <c r="M1033" i="5" s="1"/>
  <c r="K1034" i="5"/>
  <c r="L1034" i="5" s="1"/>
  <c r="M1034" i="5" s="1"/>
  <c r="K1035" i="5"/>
  <c r="L1035" i="5" s="1"/>
  <c r="M1035" i="5" s="1"/>
  <c r="K1036" i="5"/>
  <c r="L1036" i="5" s="1"/>
  <c r="M1036" i="5" s="1"/>
  <c r="K1037" i="5"/>
  <c r="L1037" i="5" s="1"/>
  <c r="M1037" i="5" s="1"/>
  <c r="K1038" i="5"/>
  <c r="L1038" i="5" s="1"/>
  <c r="M1038" i="5" s="1"/>
  <c r="K1039" i="5"/>
  <c r="L1039" i="5" s="1"/>
  <c r="M1039" i="5" s="1"/>
  <c r="K1040" i="5"/>
  <c r="L1040" i="5" s="1"/>
  <c r="M1040" i="5" s="1"/>
  <c r="K1041" i="5"/>
  <c r="L1041" i="5" s="1"/>
  <c r="M1041" i="5" s="1"/>
  <c r="K1042" i="5"/>
  <c r="L1042" i="5" s="1"/>
  <c r="M1042" i="5" s="1"/>
  <c r="K1043" i="5"/>
  <c r="L1043" i="5" s="1"/>
  <c r="M1043" i="5" s="1"/>
  <c r="K1044" i="5"/>
  <c r="L1044" i="5" s="1"/>
  <c r="M1044" i="5" s="1"/>
  <c r="K1045" i="5"/>
  <c r="L1045" i="5" s="1"/>
  <c r="M1045" i="5" s="1"/>
  <c r="K1046" i="5"/>
  <c r="L1046" i="5" s="1"/>
  <c r="M1046" i="5" s="1"/>
  <c r="K1047" i="5"/>
  <c r="L1047" i="5" s="1"/>
  <c r="M1047" i="5" s="1"/>
  <c r="K1048" i="5"/>
  <c r="L1048" i="5" s="1"/>
  <c r="M1048" i="5" s="1"/>
  <c r="K1049" i="5"/>
  <c r="L1049" i="5" s="1"/>
  <c r="M1049" i="5" s="1"/>
  <c r="K1050" i="5"/>
  <c r="L1050" i="5" s="1"/>
  <c r="M1050" i="5" s="1"/>
  <c r="K1051" i="5"/>
  <c r="L1051" i="5" s="1"/>
  <c r="M1051" i="5" s="1"/>
  <c r="K1052" i="5"/>
  <c r="L1052" i="5" s="1"/>
  <c r="M1052" i="5" s="1"/>
  <c r="K1053" i="5"/>
  <c r="L1053" i="5" s="1"/>
  <c r="M1053" i="5" s="1"/>
  <c r="K1054" i="5"/>
  <c r="L1054" i="5" s="1"/>
  <c r="M1054" i="5" s="1"/>
  <c r="K1055" i="5"/>
  <c r="L1055" i="5" s="1"/>
  <c r="M1055" i="5" s="1"/>
  <c r="K1056" i="5"/>
  <c r="L1056" i="5" s="1"/>
  <c r="M1056" i="5" s="1"/>
  <c r="K1057" i="5"/>
  <c r="L1057" i="5" s="1"/>
  <c r="M1057" i="5" s="1"/>
  <c r="K1058" i="5"/>
  <c r="L1058" i="5" s="1"/>
  <c r="M1058" i="5" s="1"/>
  <c r="K1059" i="5"/>
  <c r="L1059" i="5" s="1"/>
  <c r="M1059" i="5" s="1"/>
  <c r="K1060" i="5"/>
  <c r="L1060" i="5" s="1"/>
  <c r="M1060" i="5" s="1"/>
  <c r="K1061" i="5"/>
  <c r="K1062" i="5"/>
  <c r="L1062" i="5" s="1"/>
  <c r="M1062" i="5" s="1"/>
  <c r="K1063" i="5"/>
  <c r="L1063" i="5" s="1"/>
  <c r="M1063" i="5" s="1"/>
  <c r="K1064" i="5"/>
  <c r="L1064" i="5" s="1"/>
  <c r="M1064" i="5" s="1"/>
  <c r="K1065" i="5"/>
  <c r="L1065" i="5" s="1"/>
  <c r="M1065" i="5" s="1"/>
  <c r="K1066" i="5"/>
  <c r="L1066" i="5" s="1"/>
  <c r="M1066" i="5" s="1"/>
  <c r="K1067" i="5"/>
  <c r="L1067" i="5" s="1"/>
  <c r="M1067" i="5" s="1"/>
  <c r="K1068" i="5"/>
  <c r="L1068" i="5" s="1"/>
  <c r="M1068" i="5" s="1"/>
  <c r="K1069" i="5"/>
  <c r="L1069" i="5" s="1"/>
  <c r="M1069" i="5" s="1"/>
  <c r="K1070" i="5"/>
  <c r="L1070" i="5" s="1"/>
  <c r="M1070" i="5" s="1"/>
  <c r="K1071" i="5"/>
  <c r="L1071" i="5" s="1"/>
  <c r="M1071" i="5" s="1"/>
  <c r="K1072" i="5"/>
  <c r="L1072" i="5" s="1"/>
  <c r="M1072" i="5" s="1"/>
  <c r="K1073" i="5"/>
  <c r="L1073" i="5" s="1"/>
  <c r="M1073" i="5" s="1"/>
  <c r="K1074" i="5"/>
  <c r="L1074" i="5" s="1"/>
  <c r="M1074" i="5" s="1"/>
  <c r="K1075" i="5"/>
  <c r="L1075" i="5" s="1"/>
  <c r="M1075" i="5" s="1"/>
  <c r="K1076" i="5"/>
  <c r="L1076" i="5" s="1"/>
  <c r="M1076" i="5" s="1"/>
  <c r="K1077" i="5"/>
  <c r="L1077" i="5" s="1"/>
  <c r="M1077" i="5" s="1"/>
  <c r="K1078" i="5"/>
  <c r="L1078" i="5" s="1"/>
  <c r="M1078" i="5" s="1"/>
  <c r="K1079" i="5"/>
  <c r="L1079" i="5" s="1"/>
  <c r="M1079" i="5" s="1"/>
  <c r="K1080" i="5"/>
  <c r="L1080" i="5" s="1"/>
  <c r="M1080" i="5" s="1"/>
  <c r="K1081" i="5"/>
  <c r="L1081" i="5" s="1"/>
  <c r="M1081" i="5" s="1"/>
  <c r="K1082" i="5"/>
  <c r="L1082" i="5" s="1"/>
  <c r="M1082" i="5" s="1"/>
  <c r="K1083" i="5"/>
  <c r="L1083" i="5" s="1"/>
  <c r="M1083" i="5" s="1"/>
  <c r="K1084" i="5"/>
  <c r="L1084" i="5" s="1"/>
  <c r="M1084" i="5" s="1"/>
  <c r="K1085" i="5"/>
  <c r="L1085" i="5" s="1"/>
  <c r="M1085" i="5" s="1"/>
  <c r="K1086" i="5"/>
  <c r="L1086" i="5" s="1"/>
  <c r="M1086" i="5" s="1"/>
  <c r="K1087" i="5"/>
  <c r="L1087" i="5" s="1"/>
  <c r="M1087" i="5" s="1"/>
  <c r="K1088" i="5"/>
  <c r="L1088" i="5" s="1"/>
  <c r="M1088" i="5" s="1"/>
  <c r="K1089" i="5"/>
  <c r="L1089" i="5" s="1"/>
  <c r="M1089" i="5" s="1"/>
  <c r="K1090" i="5"/>
  <c r="L1090" i="5" s="1"/>
  <c r="M1090" i="5" s="1"/>
  <c r="K1091" i="5"/>
  <c r="L1091" i="5" s="1"/>
  <c r="M1091" i="5" s="1"/>
  <c r="K1092" i="5"/>
  <c r="L1092" i="5" s="1"/>
  <c r="M1092" i="5" s="1"/>
  <c r="K1093" i="5"/>
  <c r="L1093" i="5" s="1"/>
  <c r="M1093" i="5" s="1"/>
  <c r="K1094" i="5"/>
  <c r="L1094" i="5" s="1"/>
  <c r="M1094" i="5" s="1"/>
  <c r="K1095" i="5"/>
  <c r="L1095" i="5" s="1"/>
  <c r="M1095" i="5" s="1"/>
  <c r="K1096" i="5"/>
  <c r="L1096" i="5" s="1"/>
  <c r="M1096" i="5" s="1"/>
  <c r="K1097" i="5"/>
  <c r="L1097" i="5" s="1"/>
  <c r="M1097" i="5" s="1"/>
  <c r="K1098" i="5"/>
  <c r="L1098" i="5" s="1"/>
  <c r="M1098" i="5" s="1"/>
  <c r="K1099" i="5"/>
  <c r="L1099" i="5" s="1"/>
  <c r="M1099" i="5" s="1"/>
  <c r="K1100" i="5"/>
  <c r="L1100" i="5" s="1"/>
  <c r="M1100" i="5" s="1"/>
  <c r="K1101" i="5"/>
  <c r="L1101" i="5" s="1"/>
  <c r="M1101" i="5" s="1"/>
  <c r="K1102" i="5"/>
  <c r="L1102" i="5" s="1"/>
  <c r="M1102" i="5" s="1"/>
  <c r="K1103" i="5"/>
  <c r="L1103" i="5" s="1"/>
  <c r="M1103" i="5" s="1"/>
  <c r="K1104" i="5"/>
  <c r="L1104" i="5" s="1"/>
  <c r="M1104" i="5" s="1"/>
  <c r="K1105" i="5"/>
  <c r="L1105" i="5" s="1"/>
  <c r="M1105" i="5" s="1"/>
  <c r="K1106" i="5"/>
  <c r="L1106" i="5" s="1"/>
  <c r="M1106" i="5" s="1"/>
  <c r="K1107" i="5"/>
  <c r="L1107" i="5" s="1"/>
  <c r="M1107" i="5" s="1"/>
  <c r="K1108" i="5"/>
  <c r="L1108" i="5" s="1"/>
  <c r="M1108" i="5" s="1"/>
  <c r="K1109" i="5"/>
  <c r="K1110" i="5"/>
  <c r="L1110" i="5" s="1"/>
  <c r="M1110" i="5" s="1"/>
  <c r="K1111" i="5"/>
  <c r="L1111" i="5" s="1"/>
  <c r="M1111" i="5" s="1"/>
  <c r="K1112" i="5"/>
  <c r="L1112" i="5" s="1"/>
  <c r="M1112" i="5" s="1"/>
  <c r="K1113" i="5"/>
  <c r="L1113" i="5" s="1"/>
  <c r="M1113" i="5" s="1"/>
  <c r="K1114" i="5"/>
  <c r="L1114" i="5" s="1"/>
  <c r="M1114" i="5" s="1"/>
  <c r="K1115" i="5"/>
  <c r="L1115" i="5" s="1"/>
  <c r="M1115" i="5" s="1"/>
  <c r="K1116" i="5"/>
  <c r="L1116" i="5" s="1"/>
  <c r="M1116" i="5" s="1"/>
  <c r="K1117" i="5"/>
  <c r="L1117" i="5" s="1"/>
  <c r="M1117" i="5" s="1"/>
  <c r="K1118" i="5"/>
  <c r="L1118" i="5" s="1"/>
  <c r="M1118" i="5" s="1"/>
  <c r="K1119" i="5"/>
  <c r="L1119" i="5" s="1"/>
  <c r="M1119" i="5" s="1"/>
  <c r="K1120" i="5"/>
  <c r="L1120" i="5" s="1"/>
  <c r="M1120" i="5" s="1"/>
  <c r="K1121" i="5"/>
  <c r="L1121" i="5" s="1"/>
  <c r="M1121" i="5" s="1"/>
  <c r="K1122" i="5"/>
  <c r="L1122" i="5" s="1"/>
  <c r="M1122" i="5" s="1"/>
  <c r="K1123" i="5"/>
  <c r="L1123" i="5" s="1"/>
  <c r="M1123" i="5" s="1"/>
  <c r="K1124" i="5"/>
  <c r="L1124" i="5" s="1"/>
  <c r="M1124" i="5" s="1"/>
  <c r="K1125" i="5"/>
  <c r="L1125" i="5" s="1"/>
  <c r="M1125" i="5" s="1"/>
  <c r="K1126" i="5"/>
  <c r="L1126" i="5" s="1"/>
  <c r="M1126" i="5" s="1"/>
  <c r="K1127" i="5"/>
  <c r="L1127" i="5" s="1"/>
  <c r="M1127" i="5" s="1"/>
  <c r="K1128" i="5"/>
  <c r="L1128" i="5" s="1"/>
  <c r="M1128" i="5" s="1"/>
  <c r="K1129" i="5"/>
  <c r="L1129" i="5" s="1"/>
  <c r="M1129" i="5" s="1"/>
  <c r="K1130" i="5"/>
  <c r="L1130" i="5" s="1"/>
  <c r="M1130" i="5" s="1"/>
  <c r="K1131" i="5"/>
  <c r="L1131" i="5" s="1"/>
  <c r="M1131" i="5" s="1"/>
  <c r="K1132" i="5"/>
  <c r="L1132" i="5" s="1"/>
  <c r="M1132" i="5" s="1"/>
  <c r="K1133" i="5"/>
  <c r="L1133" i="5" s="1"/>
  <c r="M1133" i="5" s="1"/>
  <c r="K1134" i="5"/>
  <c r="L1134" i="5" s="1"/>
  <c r="M1134" i="5" s="1"/>
  <c r="K1135" i="5"/>
  <c r="L1135" i="5" s="1"/>
  <c r="M1135" i="5" s="1"/>
  <c r="K1136" i="5"/>
  <c r="L1136" i="5" s="1"/>
  <c r="M1136" i="5" s="1"/>
  <c r="K1137" i="5"/>
  <c r="L1137" i="5" s="1"/>
  <c r="M1137" i="5" s="1"/>
  <c r="K1138" i="5"/>
  <c r="L1138" i="5" s="1"/>
  <c r="M1138" i="5" s="1"/>
  <c r="K1139" i="5"/>
  <c r="L1139" i="5" s="1"/>
  <c r="M1139" i="5" s="1"/>
  <c r="K1140" i="5"/>
  <c r="L1140" i="5" s="1"/>
  <c r="M1140" i="5" s="1"/>
  <c r="K1141" i="5"/>
  <c r="L1141" i="5" s="1"/>
  <c r="M1141" i="5" s="1"/>
  <c r="K1142" i="5"/>
  <c r="L1142" i="5" s="1"/>
  <c r="M1142" i="5" s="1"/>
  <c r="K1143" i="5"/>
  <c r="L1143" i="5" s="1"/>
  <c r="M1143" i="5" s="1"/>
  <c r="K1144" i="5"/>
  <c r="L1144" i="5" s="1"/>
  <c r="M1144" i="5" s="1"/>
  <c r="K1145" i="5"/>
  <c r="L1145" i="5" s="1"/>
  <c r="M1145" i="5" s="1"/>
  <c r="K1146" i="5"/>
  <c r="L1146" i="5" s="1"/>
  <c r="M1146" i="5" s="1"/>
  <c r="K1147" i="5"/>
  <c r="L1147" i="5" s="1"/>
  <c r="M1147" i="5" s="1"/>
  <c r="K1148" i="5"/>
  <c r="L1148" i="5" s="1"/>
  <c r="M1148" i="5" s="1"/>
  <c r="K1149" i="5"/>
  <c r="L1149" i="5" s="1"/>
  <c r="M1149" i="5" s="1"/>
  <c r="K1150" i="5"/>
  <c r="L1150" i="5" s="1"/>
  <c r="M1150" i="5" s="1"/>
  <c r="K1151" i="5"/>
  <c r="L1151" i="5" s="1"/>
  <c r="M1151" i="5" s="1"/>
  <c r="K1152" i="5"/>
  <c r="L1152" i="5" s="1"/>
  <c r="M1152" i="5" s="1"/>
  <c r="K1153" i="5"/>
  <c r="L1153" i="5" s="1"/>
  <c r="M1153" i="5" s="1"/>
  <c r="K1154" i="5"/>
  <c r="L1154" i="5" s="1"/>
  <c r="M1154" i="5" s="1"/>
  <c r="K1155" i="5"/>
  <c r="L1155" i="5" s="1"/>
  <c r="M1155" i="5" s="1"/>
  <c r="K1156" i="5"/>
  <c r="K1157" i="5"/>
  <c r="K1158" i="5"/>
  <c r="L1158" i="5" s="1"/>
  <c r="M1158" i="5" s="1"/>
  <c r="K1159" i="5"/>
  <c r="L1159" i="5" s="1"/>
  <c r="M1159" i="5" s="1"/>
  <c r="K1160" i="5"/>
  <c r="L1160" i="5" s="1"/>
  <c r="M1160" i="5" s="1"/>
  <c r="K1161" i="5"/>
  <c r="L1161" i="5" s="1"/>
  <c r="M1161" i="5" s="1"/>
  <c r="K1162" i="5"/>
  <c r="L1162" i="5" s="1"/>
  <c r="M1162" i="5" s="1"/>
  <c r="K1163" i="5"/>
  <c r="L1163" i="5" s="1"/>
  <c r="M1163" i="5" s="1"/>
  <c r="K1164" i="5"/>
  <c r="L1164" i="5" s="1"/>
  <c r="M1164" i="5" s="1"/>
  <c r="K1165" i="5"/>
  <c r="L1165" i="5" s="1"/>
  <c r="M1165" i="5" s="1"/>
  <c r="K1166" i="5"/>
  <c r="L1166" i="5" s="1"/>
  <c r="M1166" i="5" s="1"/>
  <c r="K1167" i="5"/>
  <c r="L1167" i="5" s="1"/>
  <c r="M1167" i="5" s="1"/>
  <c r="K1168" i="5"/>
  <c r="L1168" i="5" s="1"/>
  <c r="M1168" i="5" s="1"/>
  <c r="K1169" i="5"/>
  <c r="L1169" i="5" s="1"/>
  <c r="M1169" i="5" s="1"/>
  <c r="K1170" i="5"/>
  <c r="L1170" i="5" s="1"/>
  <c r="M1170" i="5" s="1"/>
  <c r="K1171" i="5"/>
  <c r="L1171" i="5" s="1"/>
  <c r="M1171" i="5" s="1"/>
  <c r="K1172" i="5"/>
  <c r="L1172" i="5" s="1"/>
  <c r="M1172" i="5" s="1"/>
  <c r="K1173" i="5"/>
  <c r="L1173" i="5" s="1"/>
  <c r="M1173" i="5" s="1"/>
  <c r="K1174" i="5"/>
  <c r="L1174" i="5" s="1"/>
  <c r="M1174" i="5" s="1"/>
  <c r="K1175" i="5"/>
  <c r="L1175" i="5" s="1"/>
  <c r="M1175" i="5" s="1"/>
  <c r="K1176" i="5"/>
  <c r="L1176" i="5" s="1"/>
  <c r="M1176" i="5" s="1"/>
  <c r="K1177" i="5"/>
  <c r="L1177" i="5" s="1"/>
  <c r="M1177" i="5" s="1"/>
  <c r="K1178" i="5"/>
  <c r="L1178" i="5" s="1"/>
  <c r="M1178" i="5" s="1"/>
  <c r="K1179" i="5"/>
  <c r="L1179" i="5" s="1"/>
  <c r="M1179" i="5" s="1"/>
  <c r="K1180" i="5"/>
  <c r="L1180" i="5" s="1"/>
  <c r="M1180" i="5" s="1"/>
  <c r="K1181" i="5"/>
  <c r="L1181" i="5" s="1"/>
  <c r="M1181" i="5" s="1"/>
  <c r="K1182" i="5"/>
  <c r="L1182" i="5" s="1"/>
  <c r="M1182" i="5" s="1"/>
  <c r="K1183" i="5"/>
  <c r="L1183" i="5" s="1"/>
  <c r="M1183" i="5" s="1"/>
  <c r="K1184" i="5"/>
  <c r="L1184" i="5" s="1"/>
  <c r="M1184" i="5" s="1"/>
  <c r="K1185" i="5"/>
  <c r="L1185" i="5" s="1"/>
  <c r="M1185" i="5" s="1"/>
  <c r="K1186" i="5"/>
  <c r="L1186" i="5" s="1"/>
  <c r="M1186" i="5" s="1"/>
  <c r="K1187" i="5"/>
  <c r="L1187" i="5" s="1"/>
  <c r="M1187" i="5" s="1"/>
  <c r="K1188" i="5"/>
  <c r="L1188" i="5" s="1"/>
  <c r="M1188" i="5" s="1"/>
  <c r="K1189" i="5"/>
  <c r="L1189" i="5" s="1"/>
  <c r="M1189" i="5" s="1"/>
  <c r="K1190" i="5"/>
  <c r="L1190" i="5" s="1"/>
  <c r="M1190" i="5" s="1"/>
  <c r="K1191" i="5"/>
  <c r="L1191" i="5" s="1"/>
  <c r="M1191" i="5" s="1"/>
  <c r="K1192" i="5"/>
  <c r="L1192" i="5" s="1"/>
  <c r="M1192" i="5" s="1"/>
  <c r="K1193" i="5"/>
  <c r="L1193" i="5" s="1"/>
  <c r="M1193" i="5" s="1"/>
  <c r="K1194" i="5"/>
  <c r="L1194" i="5" s="1"/>
  <c r="M1194" i="5" s="1"/>
  <c r="K1195" i="5"/>
  <c r="L1195" i="5" s="1"/>
  <c r="M1195" i="5" s="1"/>
  <c r="K1196" i="5"/>
  <c r="L1196" i="5" s="1"/>
  <c r="M1196" i="5" s="1"/>
  <c r="K1197" i="5"/>
  <c r="L1197" i="5" s="1"/>
  <c r="M1197" i="5" s="1"/>
  <c r="K1198" i="5"/>
  <c r="L1198" i="5" s="1"/>
  <c r="M1198" i="5" s="1"/>
  <c r="K1199" i="5"/>
  <c r="L1199" i="5" s="1"/>
  <c r="M1199" i="5" s="1"/>
  <c r="K1200" i="5"/>
  <c r="L1200" i="5" s="1"/>
  <c r="M1200" i="5" s="1"/>
  <c r="K1201" i="5"/>
  <c r="L1201" i="5" s="1"/>
  <c r="M1201" i="5" s="1"/>
  <c r="K1202" i="5"/>
  <c r="L1202" i="5" s="1"/>
  <c r="M1202" i="5" s="1"/>
  <c r="K1203" i="5"/>
  <c r="L1203" i="5" s="1"/>
  <c r="M1203" i="5" s="1"/>
  <c r="K1204" i="5"/>
  <c r="K1205" i="5"/>
  <c r="L1205" i="5" s="1"/>
  <c r="M1205" i="5" s="1"/>
  <c r="K1206" i="5"/>
  <c r="L1206" i="5" s="1"/>
  <c r="M1206" i="5" s="1"/>
  <c r="K1207" i="5"/>
  <c r="L1207" i="5" s="1"/>
  <c r="M1207" i="5" s="1"/>
  <c r="K1208" i="5"/>
  <c r="L1208" i="5" s="1"/>
  <c r="M1208" i="5" s="1"/>
  <c r="K1209" i="5"/>
  <c r="L1209" i="5" s="1"/>
  <c r="M1209" i="5" s="1"/>
  <c r="K1210" i="5"/>
  <c r="L1210" i="5" s="1"/>
  <c r="M1210" i="5" s="1"/>
  <c r="K1211" i="5"/>
  <c r="L1211" i="5" s="1"/>
  <c r="M1211" i="5" s="1"/>
  <c r="K1212" i="5"/>
  <c r="L1212" i="5" s="1"/>
  <c r="M1212" i="5" s="1"/>
  <c r="K1213" i="5"/>
  <c r="L1213" i="5" s="1"/>
  <c r="M1213" i="5" s="1"/>
  <c r="K1214" i="5"/>
  <c r="L1214" i="5" s="1"/>
  <c r="M1214" i="5" s="1"/>
  <c r="K1215" i="5"/>
  <c r="L1215" i="5" s="1"/>
  <c r="M1215" i="5" s="1"/>
  <c r="K1216" i="5"/>
  <c r="L1216" i="5" s="1"/>
  <c r="M1216" i="5" s="1"/>
  <c r="K1217" i="5"/>
  <c r="L1217" i="5" s="1"/>
  <c r="M1217" i="5" s="1"/>
  <c r="K1218" i="5"/>
  <c r="L1218" i="5" s="1"/>
  <c r="M1218" i="5" s="1"/>
  <c r="K1219" i="5"/>
  <c r="L1219" i="5" s="1"/>
  <c r="M1219" i="5" s="1"/>
  <c r="K1220" i="5"/>
  <c r="L1220" i="5" s="1"/>
  <c r="M1220" i="5" s="1"/>
  <c r="K1221" i="5"/>
  <c r="L1221" i="5" s="1"/>
  <c r="M1221" i="5" s="1"/>
  <c r="K1222" i="5"/>
  <c r="L1222" i="5" s="1"/>
  <c r="M1222" i="5" s="1"/>
  <c r="K1223" i="5"/>
  <c r="L1223" i="5" s="1"/>
  <c r="M1223" i="5" s="1"/>
  <c r="K1224" i="5"/>
  <c r="L1224" i="5" s="1"/>
  <c r="M1224" i="5" s="1"/>
  <c r="K1225" i="5"/>
  <c r="L1225" i="5" s="1"/>
  <c r="M1225" i="5" s="1"/>
  <c r="K1226" i="5"/>
  <c r="L1226" i="5" s="1"/>
  <c r="M1226" i="5" s="1"/>
  <c r="K1227" i="5"/>
  <c r="L1227" i="5" s="1"/>
  <c r="M1227" i="5" s="1"/>
  <c r="K1228" i="5"/>
  <c r="L1228" i="5" s="1"/>
  <c r="M1228" i="5" s="1"/>
  <c r="K1229" i="5"/>
  <c r="L1229" i="5" s="1"/>
  <c r="M1229" i="5" s="1"/>
  <c r="K1230" i="5"/>
  <c r="L1230" i="5" s="1"/>
  <c r="M1230" i="5" s="1"/>
  <c r="K1231" i="5"/>
  <c r="L1231" i="5" s="1"/>
  <c r="M1231" i="5" s="1"/>
  <c r="K1232" i="5"/>
  <c r="L1232" i="5" s="1"/>
  <c r="M1232" i="5" s="1"/>
  <c r="K1233" i="5"/>
  <c r="L1233" i="5" s="1"/>
  <c r="M1233" i="5" s="1"/>
  <c r="K1234" i="5"/>
  <c r="L1234" i="5" s="1"/>
  <c r="M1234" i="5" s="1"/>
  <c r="K1235" i="5"/>
  <c r="L1235" i="5" s="1"/>
  <c r="M1235" i="5" s="1"/>
  <c r="K1236" i="5"/>
  <c r="L1236" i="5" s="1"/>
  <c r="M1236" i="5" s="1"/>
  <c r="K1237" i="5"/>
  <c r="K1238" i="5"/>
  <c r="L1238" i="5" s="1"/>
  <c r="M1238" i="5" s="1"/>
  <c r="K1239" i="5"/>
  <c r="L1239" i="5" s="1"/>
  <c r="M1239" i="5" s="1"/>
  <c r="K1240" i="5"/>
  <c r="L1240" i="5" s="1"/>
  <c r="M1240" i="5" s="1"/>
  <c r="K1241" i="5"/>
  <c r="L1241" i="5" s="1"/>
  <c r="M1241" i="5" s="1"/>
  <c r="K1242" i="5"/>
  <c r="L1242" i="5" s="1"/>
  <c r="M1242" i="5" s="1"/>
  <c r="K1243" i="5"/>
  <c r="L1243" i="5" s="1"/>
  <c r="M1243" i="5" s="1"/>
  <c r="K1244" i="5"/>
  <c r="L1244" i="5" s="1"/>
  <c r="M1244" i="5" s="1"/>
  <c r="K1245" i="5"/>
  <c r="L1245" i="5" s="1"/>
  <c r="M1245" i="5" s="1"/>
  <c r="K1246" i="5"/>
  <c r="L1246" i="5" s="1"/>
  <c r="M1246" i="5" s="1"/>
  <c r="K1247" i="5"/>
  <c r="L1247" i="5" s="1"/>
  <c r="M1247" i="5" s="1"/>
  <c r="K1248" i="5"/>
  <c r="L1248" i="5" s="1"/>
  <c r="M1248" i="5" s="1"/>
  <c r="K1249" i="5"/>
  <c r="L1249" i="5" s="1"/>
  <c r="M1249" i="5" s="1"/>
  <c r="K1250" i="5"/>
  <c r="L1250" i="5" s="1"/>
  <c r="M1250" i="5" s="1"/>
  <c r="K1251" i="5"/>
  <c r="L1251" i="5" s="1"/>
  <c r="M1251" i="5" s="1"/>
  <c r="K1252" i="5"/>
  <c r="L1252" i="5" s="1"/>
  <c r="M1252" i="5" s="1"/>
  <c r="K1253" i="5"/>
  <c r="L1253" i="5" s="1"/>
  <c r="M1253" i="5" s="1"/>
  <c r="K1254" i="5"/>
  <c r="L1254" i="5" s="1"/>
  <c r="M1254" i="5" s="1"/>
  <c r="K1255" i="5"/>
  <c r="L1255" i="5" s="1"/>
  <c r="M1255" i="5" s="1"/>
  <c r="K1256" i="5"/>
  <c r="L1256" i="5" s="1"/>
  <c r="M1256" i="5" s="1"/>
  <c r="K1257" i="5"/>
  <c r="L1257" i="5" s="1"/>
  <c r="M1257" i="5" s="1"/>
  <c r="K1258" i="5"/>
  <c r="L1258" i="5" s="1"/>
  <c r="M1258" i="5" s="1"/>
  <c r="K1259" i="5"/>
  <c r="L1259" i="5" s="1"/>
  <c r="M1259" i="5" s="1"/>
  <c r="K1260" i="5"/>
  <c r="L1260" i="5" s="1"/>
  <c r="M1260" i="5" s="1"/>
  <c r="K1261" i="5"/>
  <c r="L1261" i="5" s="1"/>
  <c r="M1261" i="5" s="1"/>
  <c r="K1262" i="5"/>
  <c r="L1262" i="5" s="1"/>
  <c r="M1262" i="5" s="1"/>
  <c r="K1263" i="5"/>
  <c r="L1263" i="5" s="1"/>
  <c r="M1263" i="5" s="1"/>
  <c r="K1264" i="5"/>
  <c r="L1264" i="5" s="1"/>
  <c r="M1264" i="5" s="1"/>
  <c r="K1265" i="5"/>
  <c r="L1265" i="5" s="1"/>
  <c r="M1265" i="5" s="1"/>
  <c r="K1266" i="5"/>
  <c r="L1266" i="5" s="1"/>
  <c r="M1266" i="5" s="1"/>
  <c r="K1267" i="5"/>
  <c r="L1267" i="5" s="1"/>
  <c r="M1267" i="5" s="1"/>
  <c r="K1268" i="5"/>
  <c r="L1268" i="5" s="1"/>
  <c r="M1268" i="5" s="1"/>
  <c r="K1269" i="5"/>
  <c r="L1269" i="5" s="1"/>
  <c r="M1269" i="5" s="1"/>
  <c r="K1270" i="5"/>
  <c r="L1270" i="5" s="1"/>
  <c r="M1270" i="5" s="1"/>
  <c r="K1271" i="5"/>
  <c r="L1271" i="5" s="1"/>
  <c r="M1271" i="5" s="1"/>
  <c r="K1272" i="5"/>
  <c r="L1272" i="5" s="1"/>
  <c r="M1272" i="5" s="1"/>
  <c r="K1273" i="5"/>
  <c r="L1273" i="5" s="1"/>
  <c r="M1273" i="5" s="1"/>
  <c r="K1274" i="5"/>
  <c r="L1274" i="5" s="1"/>
  <c r="M1274" i="5" s="1"/>
  <c r="K1275" i="5"/>
  <c r="L1275" i="5" s="1"/>
  <c r="M1275" i="5" s="1"/>
  <c r="K1276" i="5"/>
  <c r="L1276" i="5" s="1"/>
  <c r="M1276" i="5" s="1"/>
  <c r="K1277" i="5"/>
  <c r="L1277" i="5" s="1"/>
  <c r="M1277" i="5" s="1"/>
  <c r="K1278" i="5"/>
  <c r="L1278" i="5" s="1"/>
  <c r="M1278" i="5" s="1"/>
  <c r="K1279" i="5"/>
  <c r="L1279" i="5" s="1"/>
  <c r="M1279" i="5" s="1"/>
  <c r="K1280" i="5"/>
  <c r="L1280" i="5" s="1"/>
  <c r="M1280" i="5" s="1"/>
  <c r="K1281" i="5"/>
  <c r="L1281" i="5" s="1"/>
  <c r="M1281" i="5" s="1"/>
  <c r="K1282" i="5"/>
  <c r="L1282" i="5" s="1"/>
  <c r="M1282" i="5" s="1"/>
  <c r="K1283" i="5"/>
  <c r="L1283" i="5" s="1"/>
  <c r="M1283" i="5" s="1"/>
  <c r="K1284" i="5"/>
  <c r="K1285" i="5"/>
  <c r="L1285" i="5" s="1"/>
  <c r="M1285" i="5" s="1"/>
  <c r="K1286" i="5"/>
  <c r="L1286" i="5" s="1"/>
  <c r="M1286" i="5" s="1"/>
  <c r="K1287" i="5"/>
  <c r="L1287" i="5" s="1"/>
  <c r="M1287" i="5" s="1"/>
  <c r="K1288" i="5"/>
  <c r="L1288" i="5" s="1"/>
  <c r="M1288" i="5" s="1"/>
  <c r="K1289" i="5"/>
  <c r="L1289" i="5" s="1"/>
  <c r="M1289" i="5" s="1"/>
  <c r="K1290" i="5"/>
  <c r="L1290" i="5" s="1"/>
  <c r="M1290" i="5" s="1"/>
  <c r="K1291" i="5"/>
  <c r="L1291" i="5" s="1"/>
  <c r="M1291" i="5" s="1"/>
  <c r="K1292" i="5"/>
  <c r="L1292" i="5" s="1"/>
  <c r="M1292" i="5" s="1"/>
  <c r="K1293" i="5"/>
  <c r="L1293" i="5" s="1"/>
  <c r="M1293" i="5" s="1"/>
  <c r="K1294" i="5"/>
  <c r="L1294" i="5" s="1"/>
  <c r="M1294" i="5" s="1"/>
  <c r="K1295" i="5"/>
  <c r="L1295" i="5" s="1"/>
  <c r="M1295" i="5" s="1"/>
  <c r="K1296" i="5"/>
  <c r="L1296" i="5" s="1"/>
  <c r="M1296" i="5" s="1"/>
  <c r="K1297" i="5"/>
  <c r="L1297" i="5" s="1"/>
  <c r="M1297" i="5" s="1"/>
  <c r="K1298" i="5"/>
  <c r="L1298" i="5" s="1"/>
  <c r="M1298" i="5" s="1"/>
  <c r="K1299" i="5"/>
  <c r="L1299" i="5" s="1"/>
  <c r="M1299" i="5" s="1"/>
  <c r="K1300" i="5"/>
  <c r="L1300" i="5" s="1"/>
  <c r="M1300" i="5" s="1"/>
  <c r="K1301" i="5"/>
  <c r="L1301" i="5" s="1"/>
  <c r="M1301" i="5" s="1"/>
  <c r="K1302" i="5"/>
  <c r="L1302" i="5" s="1"/>
  <c r="M1302" i="5" s="1"/>
  <c r="K1303" i="5"/>
  <c r="L1303" i="5" s="1"/>
  <c r="M1303" i="5" s="1"/>
  <c r="K1304" i="5"/>
  <c r="L1304" i="5" s="1"/>
  <c r="M1304" i="5" s="1"/>
  <c r="K1305" i="5"/>
  <c r="L1305" i="5" s="1"/>
  <c r="M1305" i="5" s="1"/>
  <c r="K1306" i="5"/>
  <c r="L1306" i="5" s="1"/>
  <c r="M1306" i="5" s="1"/>
  <c r="K1307" i="5"/>
  <c r="L1307" i="5" s="1"/>
  <c r="M1307" i="5" s="1"/>
  <c r="K1308" i="5"/>
  <c r="L1308" i="5" s="1"/>
  <c r="M1308" i="5" s="1"/>
  <c r="K1309" i="5"/>
  <c r="L1309" i="5" s="1"/>
  <c r="M1309" i="5" s="1"/>
  <c r="K1310" i="5"/>
  <c r="L1310" i="5" s="1"/>
  <c r="M1310" i="5" s="1"/>
  <c r="K1311" i="5"/>
  <c r="L1311" i="5" s="1"/>
  <c r="M1311" i="5" s="1"/>
  <c r="K1312" i="5"/>
  <c r="L1312" i="5" s="1"/>
  <c r="M1312" i="5" s="1"/>
  <c r="K1313" i="5"/>
  <c r="L1313" i="5" s="1"/>
  <c r="M1313" i="5" s="1"/>
  <c r="K1314" i="5"/>
  <c r="L1314" i="5" s="1"/>
  <c r="M1314" i="5" s="1"/>
  <c r="K1315" i="5"/>
  <c r="L1315" i="5" s="1"/>
  <c r="M1315" i="5" s="1"/>
  <c r="K1316" i="5"/>
  <c r="L1316" i="5" s="1"/>
  <c r="M1316" i="5" s="1"/>
  <c r="K1317" i="5"/>
  <c r="L1317" i="5" s="1"/>
  <c r="M1317" i="5" s="1"/>
  <c r="K1318" i="5"/>
  <c r="L1318" i="5" s="1"/>
  <c r="M1318" i="5" s="1"/>
  <c r="K1319" i="5"/>
  <c r="L1319" i="5" s="1"/>
  <c r="M1319" i="5" s="1"/>
  <c r="K1320" i="5"/>
  <c r="L1320" i="5" s="1"/>
  <c r="M1320" i="5" s="1"/>
  <c r="K1321" i="5"/>
  <c r="L1321" i="5" s="1"/>
  <c r="M1321" i="5" s="1"/>
  <c r="K1322" i="5"/>
  <c r="L1322" i="5" s="1"/>
  <c r="M1322" i="5" s="1"/>
  <c r="K1323" i="5"/>
  <c r="L1323" i="5" s="1"/>
  <c r="M1323" i="5" s="1"/>
  <c r="K1324" i="5"/>
  <c r="L1324" i="5" s="1"/>
  <c r="M1324" i="5" s="1"/>
  <c r="K1325" i="5"/>
  <c r="L1325" i="5" s="1"/>
  <c r="M1325" i="5" s="1"/>
  <c r="K1326" i="5"/>
  <c r="L1326" i="5" s="1"/>
  <c r="M1326" i="5" s="1"/>
  <c r="K1327" i="5"/>
  <c r="L1327" i="5" s="1"/>
  <c r="M1327" i="5" s="1"/>
  <c r="K1328" i="5"/>
  <c r="L1328" i="5" s="1"/>
  <c r="M1328" i="5" s="1"/>
  <c r="K1329" i="5"/>
  <c r="L1329" i="5" s="1"/>
  <c r="M1329" i="5" s="1"/>
  <c r="K1330" i="5"/>
  <c r="L1330" i="5" s="1"/>
  <c r="M1330" i="5" s="1"/>
  <c r="K1331" i="5"/>
  <c r="L1331" i="5" s="1"/>
  <c r="M1331" i="5" s="1"/>
  <c r="K1332" i="5"/>
  <c r="L1332" i="5" s="1"/>
  <c r="M1332" i="5" s="1"/>
  <c r="K1333" i="5"/>
  <c r="L1333" i="5" s="1"/>
  <c r="M1333" i="5" s="1"/>
  <c r="K1334" i="5"/>
  <c r="L1334" i="5" s="1"/>
  <c r="M1334" i="5" s="1"/>
  <c r="K1335" i="5"/>
  <c r="L1335" i="5" s="1"/>
  <c r="M1335" i="5" s="1"/>
  <c r="K1336" i="5"/>
  <c r="L1336" i="5" s="1"/>
  <c r="M1336" i="5" s="1"/>
  <c r="K1337" i="5"/>
  <c r="L1337" i="5" s="1"/>
  <c r="M1337" i="5" s="1"/>
  <c r="K1338" i="5"/>
  <c r="L1338" i="5" s="1"/>
  <c r="M1338" i="5" s="1"/>
  <c r="K1339" i="5"/>
  <c r="L1339" i="5" s="1"/>
  <c r="M1339" i="5" s="1"/>
  <c r="K1340" i="5"/>
  <c r="L1340" i="5" s="1"/>
  <c r="M1340" i="5" s="1"/>
  <c r="K1341" i="5"/>
  <c r="L1341" i="5" s="1"/>
  <c r="M1341" i="5" s="1"/>
  <c r="K1342" i="5"/>
  <c r="L1342" i="5" s="1"/>
  <c r="M1342" i="5" s="1"/>
  <c r="K1343" i="5"/>
  <c r="L1343" i="5" s="1"/>
  <c r="M1343" i="5" s="1"/>
  <c r="K1344" i="5"/>
  <c r="L1344" i="5" s="1"/>
  <c r="M1344" i="5" s="1"/>
  <c r="K1345" i="5"/>
  <c r="L1345" i="5" s="1"/>
  <c r="M1345" i="5" s="1"/>
  <c r="K1346" i="5"/>
  <c r="L1346" i="5" s="1"/>
  <c r="M1346" i="5" s="1"/>
  <c r="K1347" i="5"/>
  <c r="L1347" i="5" s="1"/>
  <c r="M1347" i="5" s="1"/>
  <c r="K1348" i="5"/>
  <c r="L1348" i="5" s="1"/>
  <c r="M1348" i="5" s="1"/>
  <c r="K1349" i="5"/>
  <c r="L1349" i="5" s="1"/>
  <c r="M1349" i="5" s="1"/>
  <c r="K1350" i="5"/>
  <c r="L1350" i="5" s="1"/>
  <c r="M1350" i="5" s="1"/>
  <c r="K1351" i="5"/>
  <c r="L1351" i="5" s="1"/>
  <c r="M1351" i="5" s="1"/>
  <c r="K1352" i="5"/>
  <c r="L1352" i="5" s="1"/>
  <c r="M1352" i="5" s="1"/>
  <c r="K1353" i="5"/>
  <c r="L1353" i="5" s="1"/>
  <c r="M1353" i="5" s="1"/>
  <c r="K1354" i="5"/>
  <c r="L1354" i="5" s="1"/>
  <c r="M1354" i="5" s="1"/>
  <c r="K1355" i="5"/>
  <c r="L1355" i="5" s="1"/>
  <c r="M1355" i="5" s="1"/>
  <c r="K1356" i="5"/>
  <c r="L1356" i="5" s="1"/>
  <c r="M1356" i="5" s="1"/>
  <c r="K1357" i="5"/>
  <c r="L1357" i="5" s="1"/>
  <c r="M1357" i="5" s="1"/>
  <c r="K1358" i="5"/>
  <c r="L1358" i="5" s="1"/>
  <c r="M1358" i="5" s="1"/>
  <c r="K1359" i="5"/>
  <c r="L1359" i="5" s="1"/>
  <c r="M1359" i="5" s="1"/>
  <c r="K1360" i="5"/>
  <c r="L1360" i="5" s="1"/>
  <c r="M1360" i="5" s="1"/>
  <c r="K1361" i="5"/>
  <c r="L1361" i="5" s="1"/>
  <c r="M1361" i="5" s="1"/>
  <c r="K1362" i="5"/>
  <c r="L1362" i="5" s="1"/>
  <c r="M1362" i="5" s="1"/>
  <c r="K1363" i="5"/>
  <c r="L1363" i="5" s="1"/>
  <c r="M1363" i="5" s="1"/>
  <c r="K1364" i="5"/>
  <c r="L1364" i="5" s="1"/>
  <c r="M1364" i="5" s="1"/>
  <c r="K1365" i="5"/>
  <c r="L1365" i="5" s="1"/>
  <c r="M1365" i="5" s="1"/>
  <c r="K1366" i="5"/>
  <c r="L1366" i="5" s="1"/>
  <c r="M1366" i="5" s="1"/>
  <c r="K1367" i="5"/>
  <c r="L1367" i="5" s="1"/>
  <c r="M1367" i="5" s="1"/>
  <c r="K1368" i="5"/>
  <c r="L1368" i="5" s="1"/>
  <c r="M1368" i="5" s="1"/>
  <c r="K1369" i="5"/>
  <c r="K1370" i="5"/>
  <c r="K1371" i="5"/>
  <c r="L1371" i="5" s="1"/>
  <c r="M1371" i="5" s="1"/>
  <c r="K1372" i="5"/>
  <c r="L1372" i="5" s="1"/>
  <c r="M1372" i="5" s="1"/>
  <c r="K1373" i="5"/>
  <c r="L1373" i="5" s="1"/>
  <c r="M1373" i="5" s="1"/>
  <c r="K1374" i="5"/>
  <c r="L1374" i="5" s="1"/>
  <c r="M1374" i="5" s="1"/>
  <c r="K1375" i="5"/>
  <c r="L1375" i="5" s="1"/>
  <c r="M1375" i="5" s="1"/>
  <c r="K1376" i="5"/>
  <c r="L1376" i="5" s="1"/>
  <c r="M1376" i="5" s="1"/>
  <c r="K1377" i="5"/>
  <c r="L1377" i="5" s="1"/>
  <c r="M1377" i="5" s="1"/>
  <c r="K1378" i="5"/>
  <c r="L1378" i="5" s="1"/>
  <c r="M1378" i="5" s="1"/>
  <c r="K1379" i="5"/>
  <c r="L1379" i="5" s="1"/>
  <c r="M1379" i="5" s="1"/>
  <c r="K1380" i="5"/>
  <c r="L1380" i="5" s="1"/>
  <c r="M1380" i="5" s="1"/>
  <c r="K1381" i="5"/>
  <c r="L1381" i="5" s="1"/>
  <c r="M1381" i="5" s="1"/>
  <c r="K1382" i="5"/>
  <c r="L1382" i="5" s="1"/>
  <c r="M1382" i="5" s="1"/>
  <c r="K1383" i="5"/>
  <c r="L1383" i="5" s="1"/>
  <c r="M1383" i="5" s="1"/>
  <c r="K1384" i="5"/>
  <c r="L1384" i="5" s="1"/>
  <c r="M1384" i="5" s="1"/>
  <c r="K1385" i="5"/>
  <c r="L1385" i="5" s="1"/>
  <c r="M1385" i="5" s="1"/>
  <c r="K1386" i="5"/>
  <c r="L1386" i="5" s="1"/>
  <c r="M1386" i="5" s="1"/>
  <c r="K1387" i="5"/>
  <c r="L1387" i="5" s="1"/>
  <c r="M1387" i="5" s="1"/>
  <c r="K1388" i="5"/>
  <c r="L1388" i="5" s="1"/>
  <c r="M1388" i="5" s="1"/>
  <c r="K1389" i="5"/>
  <c r="L1389" i="5" s="1"/>
  <c r="M1389" i="5" s="1"/>
  <c r="K1390" i="5"/>
  <c r="L1390" i="5" s="1"/>
  <c r="M1390" i="5" s="1"/>
  <c r="K1391" i="5"/>
  <c r="L1391" i="5" s="1"/>
  <c r="M1391" i="5" s="1"/>
  <c r="K1392" i="5"/>
  <c r="L1392" i="5" s="1"/>
  <c r="M1392" i="5" s="1"/>
  <c r="K1393" i="5"/>
  <c r="L1393" i="5" s="1"/>
  <c r="M1393" i="5" s="1"/>
  <c r="K1394" i="5"/>
  <c r="L1394" i="5" s="1"/>
  <c r="M1394" i="5" s="1"/>
  <c r="K1395" i="5"/>
  <c r="L1395" i="5" s="1"/>
  <c r="M1395" i="5" s="1"/>
  <c r="K1396" i="5"/>
  <c r="L1396" i="5" s="1"/>
  <c r="M1396" i="5" s="1"/>
  <c r="K1397" i="5"/>
  <c r="L1397" i="5" s="1"/>
  <c r="M1397" i="5" s="1"/>
  <c r="K1398" i="5"/>
  <c r="L1398" i="5" s="1"/>
  <c r="M1398" i="5" s="1"/>
  <c r="K1399" i="5"/>
  <c r="K1400" i="5"/>
  <c r="L1400" i="5" s="1"/>
  <c r="M1400" i="5" s="1"/>
  <c r="K1401" i="5"/>
  <c r="K1402" i="5"/>
  <c r="L1402" i="5" s="1"/>
  <c r="M1402" i="5" s="1"/>
  <c r="K1403" i="5"/>
  <c r="L1403" i="5" s="1"/>
  <c r="M1403" i="5" s="1"/>
  <c r="K1404" i="5"/>
  <c r="L1404" i="5" s="1"/>
  <c r="M1404" i="5" s="1"/>
  <c r="K1405" i="5"/>
  <c r="L1405" i="5" s="1"/>
  <c r="M1405" i="5" s="1"/>
  <c r="K1406" i="5"/>
  <c r="L1406" i="5" s="1"/>
  <c r="M1406" i="5" s="1"/>
  <c r="K1407" i="5"/>
  <c r="L1407" i="5" s="1"/>
  <c r="M1407" i="5" s="1"/>
  <c r="K1408" i="5"/>
  <c r="L1408" i="5" s="1"/>
  <c r="M1408" i="5" s="1"/>
  <c r="K1409" i="5"/>
  <c r="L1409" i="5" s="1"/>
  <c r="M1409" i="5" s="1"/>
  <c r="K1410" i="5"/>
  <c r="L1410" i="5" s="1"/>
  <c r="M1410" i="5" s="1"/>
  <c r="K1411" i="5"/>
  <c r="L1411" i="5" s="1"/>
  <c r="M1411" i="5" s="1"/>
  <c r="K1412" i="5"/>
  <c r="L1412" i="5" s="1"/>
  <c r="M1412" i="5" s="1"/>
  <c r="K1413" i="5"/>
  <c r="L1413" i="5" s="1"/>
  <c r="M1413" i="5" s="1"/>
  <c r="K1414" i="5"/>
  <c r="L1414" i="5" s="1"/>
  <c r="M1414" i="5" s="1"/>
  <c r="K1415" i="5"/>
  <c r="L1415" i="5" s="1"/>
  <c r="M1415" i="5" s="1"/>
  <c r="K1416" i="5"/>
  <c r="L1416" i="5" s="1"/>
  <c r="M1416" i="5" s="1"/>
  <c r="K1417" i="5"/>
  <c r="L1417" i="5" s="1"/>
  <c r="M1417" i="5" s="1"/>
  <c r="K1418" i="5"/>
  <c r="L1418" i="5" s="1"/>
  <c r="M1418" i="5" s="1"/>
  <c r="K1419" i="5"/>
  <c r="L1419" i="5" s="1"/>
  <c r="M1419" i="5" s="1"/>
  <c r="K1420" i="5"/>
  <c r="L1420" i="5" s="1"/>
  <c r="M1420" i="5" s="1"/>
  <c r="K1421" i="5"/>
  <c r="L1421" i="5" s="1"/>
  <c r="M1421" i="5" s="1"/>
  <c r="K1422" i="5"/>
  <c r="L1422" i="5" s="1"/>
  <c r="M1422" i="5" s="1"/>
  <c r="K1423" i="5"/>
  <c r="L1423" i="5" s="1"/>
  <c r="M1423" i="5" s="1"/>
  <c r="K1424" i="5"/>
  <c r="L1424" i="5" s="1"/>
  <c r="M1424" i="5" s="1"/>
  <c r="K1425" i="5"/>
  <c r="K1426" i="5"/>
  <c r="L1426" i="5" s="1"/>
  <c r="M1426" i="5" s="1"/>
  <c r="K1427" i="5"/>
  <c r="L1427" i="5" s="1"/>
  <c r="M1427" i="5" s="1"/>
  <c r="K1428" i="5"/>
  <c r="L1428" i="5" s="1"/>
  <c r="M1428" i="5" s="1"/>
  <c r="K1429" i="5"/>
  <c r="L1429" i="5" s="1"/>
  <c r="M1429" i="5" s="1"/>
  <c r="K1430" i="5"/>
  <c r="L1430" i="5" s="1"/>
  <c r="M1430" i="5" s="1"/>
  <c r="K1431" i="5"/>
  <c r="L1431" i="5" s="1"/>
  <c r="M1431" i="5" s="1"/>
  <c r="K1432" i="5"/>
  <c r="L1432" i="5" s="1"/>
  <c r="M1432" i="5" s="1"/>
  <c r="K1433" i="5"/>
  <c r="L1433" i="5" s="1"/>
  <c r="M1433" i="5" s="1"/>
  <c r="K1434" i="5"/>
  <c r="L1434" i="5" s="1"/>
  <c r="M1434" i="5" s="1"/>
  <c r="K1435" i="5"/>
  <c r="L1435" i="5" s="1"/>
  <c r="M1435" i="5" s="1"/>
  <c r="K1436" i="5"/>
  <c r="L1436" i="5" s="1"/>
  <c r="M1436" i="5" s="1"/>
  <c r="K1437" i="5"/>
  <c r="L1437" i="5" s="1"/>
  <c r="M1437" i="5" s="1"/>
  <c r="K1438" i="5"/>
  <c r="L1438" i="5" s="1"/>
  <c r="M1438" i="5" s="1"/>
  <c r="K1439" i="5"/>
  <c r="L1439" i="5" s="1"/>
  <c r="M1439" i="5" s="1"/>
  <c r="K1440" i="5"/>
  <c r="L1440" i="5" s="1"/>
  <c r="M1440" i="5" s="1"/>
  <c r="K1441" i="5"/>
  <c r="L1441" i="5" s="1"/>
  <c r="M1441" i="5" s="1"/>
  <c r="K1442" i="5"/>
  <c r="L1442" i="5" s="1"/>
  <c r="M1442" i="5" s="1"/>
  <c r="K1443" i="5"/>
  <c r="L1443" i="5" s="1"/>
  <c r="M1443" i="5" s="1"/>
  <c r="K1444" i="5"/>
  <c r="L1444" i="5" s="1"/>
  <c r="M1444" i="5" s="1"/>
  <c r="K1445" i="5"/>
  <c r="L1445" i="5" s="1"/>
  <c r="M1445" i="5" s="1"/>
  <c r="K1446" i="5"/>
  <c r="L1446" i="5" s="1"/>
  <c r="M1446" i="5" s="1"/>
  <c r="K1447" i="5"/>
  <c r="L1447" i="5" s="1"/>
  <c r="M1447" i="5" s="1"/>
  <c r="K1448" i="5"/>
  <c r="L1448" i="5" s="1"/>
  <c r="M1448" i="5" s="1"/>
  <c r="K1449" i="5"/>
  <c r="L1449" i="5" s="1"/>
  <c r="M1449" i="5" s="1"/>
  <c r="K1450" i="5"/>
  <c r="L1450" i="5" s="1"/>
  <c r="M1450" i="5" s="1"/>
  <c r="K1451" i="5"/>
  <c r="L1451" i="5" s="1"/>
  <c r="M1451" i="5" s="1"/>
  <c r="K1452" i="5"/>
  <c r="L1452" i="5" s="1"/>
  <c r="M1452" i="5" s="1"/>
  <c r="K1453" i="5"/>
  <c r="L1453" i="5" s="1"/>
  <c r="M1453" i="5" s="1"/>
  <c r="K1454" i="5"/>
  <c r="L1454" i="5" s="1"/>
  <c r="M1454" i="5" s="1"/>
  <c r="K1455" i="5"/>
  <c r="L1455" i="5" s="1"/>
  <c r="M1455" i="5" s="1"/>
  <c r="K1456" i="5"/>
  <c r="L1456" i="5" s="1"/>
  <c r="M1456" i="5" s="1"/>
  <c r="K1457" i="5"/>
  <c r="L1457" i="5" s="1"/>
  <c r="M1457" i="5" s="1"/>
  <c r="K1458" i="5"/>
  <c r="L1458" i="5" s="1"/>
  <c r="M1458" i="5" s="1"/>
  <c r="K1459" i="5"/>
  <c r="L1459" i="5" s="1"/>
  <c r="M1459" i="5" s="1"/>
  <c r="K1460" i="5"/>
  <c r="L1460" i="5" s="1"/>
  <c r="M1460" i="5" s="1"/>
  <c r="K1461" i="5"/>
  <c r="L1461" i="5" s="1"/>
  <c r="M1461" i="5" s="1"/>
  <c r="K1462" i="5"/>
  <c r="L1462" i="5" s="1"/>
  <c r="M1462" i="5" s="1"/>
  <c r="K1463" i="5"/>
  <c r="L1463" i="5" s="1"/>
  <c r="M1463" i="5" s="1"/>
  <c r="K1464" i="5"/>
  <c r="L1464" i="5" s="1"/>
  <c r="M1464" i="5" s="1"/>
  <c r="K1465" i="5"/>
  <c r="K1466" i="5"/>
  <c r="L1466" i="5" s="1"/>
  <c r="M1466" i="5" s="1"/>
  <c r="K1467" i="5"/>
  <c r="L1467" i="5" s="1"/>
  <c r="M1467" i="5" s="1"/>
  <c r="K1468" i="5"/>
  <c r="L1468" i="5" s="1"/>
  <c r="M1468" i="5" s="1"/>
  <c r="K1469" i="5"/>
  <c r="L1469" i="5" s="1"/>
  <c r="M1469" i="5" s="1"/>
  <c r="K1470" i="5"/>
  <c r="L1470" i="5" s="1"/>
  <c r="M1470" i="5" s="1"/>
  <c r="K1471" i="5"/>
  <c r="L1471" i="5" s="1"/>
  <c r="M1471" i="5" s="1"/>
  <c r="K1472" i="5"/>
  <c r="L1472" i="5" s="1"/>
  <c r="M1472" i="5" s="1"/>
  <c r="K1473" i="5"/>
  <c r="L1473" i="5" s="1"/>
  <c r="M1473" i="5" s="1"/>
  <c r="K1474" i="5"/>
  <c r="L1474" i="5" s="1"/>
  <c r="M1474" i="5" s="1"/>
  <c r="K1475" i="5"/>
  <c r="L1475" i="5" s="1"/>
  <c r="M1475" i="5" s="1"/>
  <c r="K1476" i="5"/>
  <c r="L1476" i="5" s="1"/>
  <c r="M1476" i="5" s="1"/>
  <c r="K1477" i="5"/>
  <c r="L1477" i="5" s="1"/>
  <c r="M1477" i="5" s="1"/>
  <c r="K1478" i="5"/>
  <c r="L1478" i="5" s="1"/>
  <c r="M1478" i="5" s="1"/>
  <c r="K1479" i="5"/>
  <c r="L1479" i="5" s="1"/>
  <c r="M1479" i="5" s="1"/>
  <c r="K1480" i="5"/>
  <c r="L1480" i="5" s="1"/>
  <c r="M1480" i="5" s="1"/>
  <c r="K1481" i="5"/>
  <c r="L1481" i="5" s="1"/>
  <c r="M1481" i="5" s="1"/>
  <c r="K1482" i="5"/>
  <c r="L1482" i="5" s="1"/>
  <c r="M1482" i="5" s="1"/>
  <c r="K1483" i="5"/>
  <c r="L1483" i="5" s="1"/>
  <c r="M1483" i="5" s="1"/>
  <c r="K1484" i="5"/>
  <c r="L1484" i="5" s="1"/>
  <c r="M1484" i="5" s="1"/>
  <c r="K1485" i="5"/>
  <c r="L1485" i="5" s="1"/>
  <c r="M1485" i="5" s="1"/>
  <c r="K1486" i="5"/>
  <c r="L1486" i="5" s="1"/>
  <c r="M1486" i="5" s="1"/>
  <c r="K1487" i="5"/>
  <c r="L1487" i="5" s="1"/>
  <c r="M1487" i="5" s="1"/>
  <c r="K1488" i="5"/>
  <c r="L1488" i="5" s="1"/>
  <c r="M1488" i="5" s="1"/>
  <c r="K1489" i="5"/>
  <c r="K1490" i="5"/>
  <c r="L1490" i="5" s="1"/>
  <c r="M1490" i="5" s="1"/>
  <c r="K1491" i="5"/>
  <c r="L1491" i="5" s="1"/>
  <c r="M1491" i="5" s="1"/>
  <c r="K1492" i="5"/>
  <c r="L1492" i="5" s="1"/>
  <c r="M1492" i="5" s="1"/>
  <c r="K1493" i="5"/>
  <c r="L1493" i="5" s="1"/>
  <c r="M1493" i="5" s="1"/>
  <c r="K1494" i="5"/>
  <c r="L1494" i="5" s="1"/>
  <c r="M1494" i="5" s="1"/>
  <c r="K1495" i="5"/>
  <c r="L1495" i="5" s="1"/>
  <c r="M1495" i="5" s="1"/>
  <c r="K1496" i="5"/>
  <c r="L1496" i="5" s="1"/>
  <c r="M1496" i="5" s="1"/>
  <c r="K1497" i="5"/>
  <c r="L1497" i="5" s="1"/>
  <c r="M1497" i="5" s="1"/>
  <c r="K1498" i="5"/>
  <c r="L1498" i="5" s="1"/>
  <c r="M1498" i="5" s="1"/>
  <c r="K1499" i="5"/>
  <c r="L1499" i="5" s="1"/>
  <c r="M1499" i="5" s="1"/>
  <c r="K1500" i="5"/>
  <c r="L1500" i="5" s="1"/>
  <c r="M1500" i="5" s="1"/>
  <c r="K1501" i="5"/>
  <c r="L1501" i="5" s="1"/>
  <c r="M1501" i="5" s="1"/>
  <c r="K1502" i="5"/>
  <c r="K1503" i="5"/>
  <c r="L1503" i="5" s="1"/>
  <c r="M1503" i="5" s="1"/>
  <c r="K1504" i="5"/>
  <c r="L1504" i="5" s="1"/>
  <c r="M1504" i="5" s="1"/>
  <c r="K1505" i="5"/>
  <c r="K1506" i="5"/>
  <c r="L1506" i="5" s="1"/>
  <c r="M1506" i="5" s="1"/>
  <c r="K1507" i="5"/>
  <c r="L1507" i="5" s="1"/>
  <c r="M1507" i="5" s="1"/>
  <c r="K1508" i="5"/>
  <c r="L1508" i="5" s="1"/>
  <c r="M1508" i="5" s="1"/>
  <c r="K1509" i="5"/>
  <c r="L1509" i="5" s="1"/>
  <c r="M1509" i="5" s="1"/>
  <c r="K1510" i="5"/>
  <c r="L1510" i="5" s="1"/>
  <c r="M1510" i="5" s="1"/>
  <c r="K1511" i="5"/>
  <c r="L1511" i="5" s="1"/>
  <c r="M1511" i="5" s="1"/>
  <c r="K1512" i="5"/>
  <c r="L1512" i="5" s="1"/>
  <c r="M1512" i="5" s="1"/>
  <c r="K1513" i="5"/>
  <c r="K1514" i="5"/>
  <c r="L1514" i="5" s="1"/>
  <c r="M1514" i="5" s="1"/>
  <c r="K1515" i="5"/>
  <c r="L1515" i="5" s="1"/>
  <c r="M1515" i="5" s="1"/>
  <c r="K1516" i="5"/>
  <c r="L1516" i="5" s="1"/>
  <c r="M1516" i="5" s="1"/>
  <c r="K1517" i="5"/>
  <c r="L1517" i="5" s="1"/>
  <c r="M1517" i="5" s="1"/>
  <c r="K1518" i="5"/>
  <c r="L1518" i="5" s="1"/>
  <c r="M1518" i="5" s="1"/>
  <c r="K1519" i="5"/>
  <c r="L1519" i="5" s="1"/>
  <c r="M1519" i="5" s="1"/>
  <c r="K1520" i="5"/>
  <c r="L1520" i="5" s="1"/>
  <c r="M1520" i="5" s="1"/>
  <c r="K1521" i="5"/>
  <c r="L1521" i="5" s="1"/>
  <c r="M1521" i="5" s="1"/>
  <c r="K1522" i="5"/>
  <c r="L1522" i="5" s="1"/>
  <c r="M1522" i="5" s="1"/>
  <c r="K1523" i="5"/>
  <c r="L1523" i="5" s="1"/>
  <c r="M1523" i="5" s="1"/>
  <c r="K1524" i="5"/>
  <c r="L1524" i="5" s="1"/>
  <c r="M1524" i="5" s="1"/>
  <c r="K1525" i="5"/>
  <c r="L1525" i="5" s="1"/>
  <c r="M1525" i="5" s="1"/>
  <c r="K1526" i="5"/>
  <c r="L1526" i="5" s="1"/>
  <c r="M1526" i="5" s="1"/>
  <c r="K1527" i="5"/>
  <c r="L1527" i="5" s="1"/>
  <c r="M1527" i="5" s="1"/>
  <c r="K1528" i="5"/>
  <c r="L1528" i="5" s="1"/>
  <c r="M1528" i="5" s="1"/>
  <c r="K1529" i="5"/>
  <c r="L1529" i="5" s="1"/>
  <c r="M1529" i="5" s="1"/>
  <c r="K1530" i="5"/>
  <c r="L1530" i="5" s="1"/>
  <c r="M1530" i="5" s="1"/>
  <c r="K1531" i="5"/>
  <c r="L1531" i="5" s="1"/>
  <c r="M1531" i="5" s="1"/>
  <c r="K1532" i="5"/>
  <c r="L1532" i="5" s="1"/>
  <c r="M1532" i="5" s="1"/>
  <c r="K1533" i="5"/>
  <c r="L1533" i="5" s="1"/>
  <c r="M1533" i="5" s="1"/>
  <c r="K1534" i="5"/>
  <c r="L1534" i="5" s="1"/>
  <c r="M1534" i="5" s="1"/>
  <c r="K1535" i="5"/>
  <c r="L1535" i="5" s="1"/>
  <c r="M1535" i="5" s="1"/>
  <c r="K1536" i="5"/>
  <c r="L1536" i="5" s="1"/>
  <c r="M1536" i="5" s="1"/>
  <c r="K1537" i="5"/>
  <c r="L1537" i="5" s="1"/>
  <c r="M1537" i="5" s="1"/>
  <c r="K1538" i="5"/>
  <c r="L1538" i="5" s="1"/>
  <c r="M1538" i="5" s="1"/>
  <c r="K1539" i="5"/>
  <c r="L1539" i="5" s="1"/>
  <c r="M1539" i="5" s="1"/>
  <c r="K1540" i="5"/>
  <c r="L1540" i="5" s="1"/>
  <c r="M1540" i="5" s="1"/>
  <c r="K1541" i="5"/>
  <c r="L1541" i="5" s="1"/>
  <c r="M1541" i="5" s="1"/>
  <c r="K1542" i="5"/>
  <c r="L1542" i="5" s="1"/>
  <c r="M1542" i="5" s="1"/>
  <c r="K1543" i="5"/>
  <c r="L1543" i="5" s="1"/>
  <c r="M1543" i="5" s="1"/>
  <c r="K1544" i="5"/>
  <c r="L1544" i="5" s="1"/>
  <c r="M1544" i="5" s="1"/>
  <c r="K1545" i="5"/>
  <c r="L1545" i="5" s="1"/>
  <c r="M1545" i="5" s="1"/>
  <c r="K1546" i="5"/>
  <c r="L1546" i="5" s="1"/>
  <c r="M1546" i="5" s="1"/>
  <c r="K1547" i="5"/>
  <c r="L1547" i="5" s="1"/>
  <c r="M1547" i="5" s="1"/>
  <c r="K1548" i="5"/>
  <c r="L1548" i="5" s="1"/>
  <c r="M1548" i="5" s="1"/>
  <c r="K1549" i="5"/>
  <c r="L1549" i="5" s="1"/>
  <c r="M1549" i="5" s="1"/>
  <c r="K1550" i="5"/>
  <c r="L1550" i="5" s="1"/>
  <c r="M1550" i="5" s="1"/>
  <c r="K1551" i="5"/>
  <c r="L1551" i="5" s="1"/>
  <c r="M1551" i="5" s="1"/>
  <c r="K1552" i="5"/>
  <c r="L1552" i="5" s="1"/>
  <c r="M1552" i="5" s="1"/>
  <c r="K1553" i="5"/>
  <c r="L1553" i="5" s="1"/>
  <c r="M1553" i="5" s="1"/>
  <c r="K1554" i="5"/>
  <c r="L1554" i="5" s="1"/>
  <c r="M1554" i="5" s="1"/>
  <c r="K1555" i="5"/>
  <c r="K1556" i="5"/>
  <c r="L1556" i="5" s="1"/>
  <c r="M1556" i="5" s="1"/>
  <c r="K1557" i="5"/>
  <c r="L1557" i="5" s="1"/>
  <c r="M1557" i="5" s="1"/>
  <c r="K1558" i="5"/>
  <c r="L1558" i="5" s="1"/>
  <c r="M1558" i="5" s="1"/>
  <c r="K1559" i="5"/>
  <c r="L1559" i="5" s="1"/>
  <c r="M1559" i="5" s="1"/>
  <c r="K1560" i="5"/>
  <c r="L1560" i="5" s="1"/>
  <c r="M1560" i="5" s="1"/>
  <c r="K1561" i="5"/>
  <c r="L1561" i="5" s="1"/>
  <c r="M1561" i="5" s="1"/>
  <c r="K1562" i="5"/>
  <c r="L1562" i="5" s="1"/>
  <c r="M1562" i="5" s="1"/>
  <c r="K1563" i="5"/>
  <c r="L1563" i="5" s="1"/>
  <c r="M1563" i="5" s="1"/>
  <c r="K1564" i="5"/>
  <c r="L1564" i="5" s="1"/>
  <c r="M1564" i="5" s="1"/>
  <c r="K1565" i="5"/>
  <c r="L1565" i="5" s="1"/>
  <c r="M1565" i="5" s="1"/>
  <c r="K1566" i="5"/>
  <c r="L1566" i="5" s="1"/>
  <c r="M1566" i="5" s="1"/>
  <c r="K1567" i="5"/>
  <c r="L1567" i="5" s="1"/>
  <c r="M1567" i="5" s="1"/>
  <c r="K1568" i="5"/>
  <c r="L1568" i="5" s="1"/>
  <c r="M1568" i="5" s="1"/>
  <c r="K1569" i="5"/>
  <c r="L1569" i="5" s="1"/>
  <c r="M1569" i="5" s="1"/>
  <c r="K1570" i="5"/>
  <c r="L1570" i="5" s="1"/>
  <c r="M1570" i="5" s="1"/>
  <c r="K1571" i="5"/>
  <c r="L1571" i="5" s="1"/>
  <c r="M1571" i="5" s="1"/>
  <c r="K1572" i="5"/>
  <c r="L1572" i="5" s="1"/>
  <c r="M1572" i="5" s="1"/>
  <c r="K1573" i="5"/>
  <c r="L1573" i="5" s="1"/>
  <c r="M1573" i="5" s="1"/>
  <c r="K1574" i="5"/>
  <c r="L1574" i="5" s="1"/>
  <c r="M1574" i="5" s="1"/>
  <c r="K1575" i="5"/>
  <c r="L1575" i="5" s="1"/>
  <c r="M1575" i="5" s="1"/>
  <c r="K1576" i="5"/>
  <c r="L1576" i="5" s="1"/>
  <c r="M1576" i="5" s="1"/>
  <c r="K1577" i="5"/>
  <c r="L1577" i="5" s="1"/>
  <c r="M1577" i="5" s="1"/>
  <c r="K1578" i="5"/>
  <c r="L1578" i="5" s="1"/>
  <c r="M1578" i="5" s="1"/>
  <c r="K1579" i="5"/>
  <c r="L1579" i="5" s="1"/>
  <c r="M1579" i="5" s="1"/>
  <c r="K1580" i="5"/>
  <c r="L1580" i="5" s="1"/>
  <c r="M1580" i="5" s="1"/>
  <c r="K1581" i="5"/>
  <c r="L1581" i="5" s="1"/>
  <c r="M1581" i="5" s="1"/>
  <c r="K1582" i="5"/>
  <c r="L1582" i="5" s="1"/>
  <c r="M1582" i="5" s="1"/>
  <c r="K1583" i="5"/>
  <c r="L1583" i="5" s="1"/>
  <c r="M1583" i="5" s="1"/>
  <c r="K1584" i="5"/>
  <c r="L1584" i="5" s="1"/>
  <c r="M1584" i="5" s="1"/>
  <c r="K1585" i="5"/>
  <c r="L1585" i="5" s="1"/>
  <c r="M1585" i="5" s="1"/>
  <c r="K1586" i="5"/>
  <c r="L1586" i="5" s="1"/>
  <c r="M1586" i="5" s="1"/>
  <c r="K1587" i="5"/>
  <c r="L1587" i="5" s="1"/>
  <c r="M1587" i="5" s="1"/>
  <c r="K1588" i="5"/>
  <c r="L1588" i="5" s="1"/>
  <c r="M1588" i="5" s="1"/>
  <c r="K1589" i="5"/>
  <c r="L1589" i="5" s="1"/>
  <c r="M1589" i="5" s="1"/>
  <c r="K1590" i="5"/>
  <c r="L1590" i="5" s="1"/>
  <c r="M1590" i="5" s="1"/>
  <c r="K1591" i="5"/>
  <c r="L1591" i="5" s="1"/>
  <c r="M1591" i="5" s="1"/>
  <c r="K1592" i="5"/>
  <c r="L1592" i="5" s="1"/>
  <c r="M1592" i="5" s="1"/>
  <c r="K1593" i="5"/>
  <c r="L1593" i="5" s="1"/>
  <c r="M1593" i="5" s="1"/>
  <c r="K1594" i="5"/>
  <c r="L1594" i="5" s="1"/>
  <c r="M1594" i="5" s="1"/>
  <c r="K1595" i="5"/>
  <c r="L1595" i="5" s="1"/>
  <c r="M1595" i="5" s="1"/>
  <c r="K1596" i="5"/>
  <c r="L1596" i="5" s="1"/>
  <c r="M1596" i="5" s="1"/>
  <c r="K1597" i="5"/>
  <c r="L1597" i="5" s="1"/>
  <c r="M1597" i="5" s="1"/>
  <c r="K1598" i="5"/>
  <c r="L1598" i="5" s="1"/>
  <c r="M1598" i="5" s="1"/>
  <c r="K1599" i="5"/>
  <c r="L1599" i="5" s="1"/>
  <c r="M1599" i="5" s="1"/>
  <c r="K1600" i="5"/>
  <c r="L1600" i="5" s="1"/>
  <c r="M1600" i="5" s="1"/>
  <c r="K1601" i="5"/>
  <c r="L1601" i="5" s="1"/>
  <c r="M1601" i="5" s="1"/>
  <c r="K1602" i="5"/>
  <c r="L1602" i="5" s="1"/>
  <c r="M1602" i="5" s="1"/>
  <c r="K1603" i="5"/>
  <c r="L1603" i="5" s="1"/>
  <c r="M1603" i="5" s="1"/>
  <c r="K1604" i="5"/>
  <c r="L1604" i="5" s="1"/>
  <c r="M1604" i="5" s="1"/>
  <c r="K1605" i="5"/>
  <c r="L1605" i="5" s="1"/>
  <c r="M1605" i="5" s="1"/>
  <c r="K1606" i="5"/>
  <c r="L1606" i="5" s="1"/>
  <c r="M1606" i="5" s="1"/>
  <c r="K1607" i="5"/>
  <c r="L1607" i="5" s="1"/>
  <c r="M1607" i="5" s="1"/>
  <c r="K1608" i="5"/>
  <c r="L1608" i="5" s="1"/>
  <c r="M1608" i="5" s="1"/>
  <c r="K1609" i="5"/>
  <c r="L1609" i="5" s="1"/>
  <c r="M1609" i="5" s="1"/>
  <c r="K1610" i="5"/>
  <c r="L1610" i="5" s="1"/>
  <c r="M1610" i="5" s="1"/>
  <c r="K1611" i="5"/>
  <c r="L1611" i="5" s="1"/>
  <c r="M1611" i="5" s="1"/>
  <c r="K1612" i="5"/>
  <c r="L1612" i="5" s="1"/>
  <c r="M1612" i="5" s="1"/>
  <c r="K1613" i="5"/>
  <c r="L1613" i="5" s="1"/>
  <c r="M1613" i="5" s="1"/>
  <c r="K1614" i="5"/>
  <c r="L1614" i="5" s="1"/>
  <c r="M1614" i="5" s="1"/>
  <c r="K1615" i="5"/>
  <c r="L1615" i="5" s="1"/>
  <c r="M1615" i="5" s="1"/>
  <c r="K1616" i="5"/>
  <c r="L1616" i="5" s="1"/>
  <c r="M1616" i="5" s="1"/>
  <c r="K1617" i="5"/>
  <c r="L1617" i="5" s="1"/>
  <c r="M1617" i="5" s="1"/>
  <c r="K1618" i="5"/>
  <c r="L1618" i="5" s="1"/>
  <c r="M1618" i="5" s="1"/>
  <c r="K1619" i="5"/>
  <c r="K1620" i="5"/>
  <c r="L1620" i="5" s="1"/>
  <c r="M1620" i="5" s="1"/>
  <c r="K1621" i="5"/>
  <c r="L1621" i="5" s="1"/>
  <c r="M1621" i="5" s="1"/>
  <c r="K1622" i="5"/>
  <c r="L1622" i="5" s="1"/>
  <c r="M1622" i="5" s="1"/>
  <c r="K1623" i="5"/>
  <c r="L1623" i="5" s="1"/>
  <c r="M1623" i="5" s="1"/>
  <c r="K1624" i="5"/>
  <c r="L1624" i="5" s="1"/>
  <c r="M1624" i="5" s="1"/>
  <c r="K1625" i="5"/>
  <c r="L1625" i="5" s="1"/>
  <c r="M1625" i="5" s="1"/>
  <c r="K1626" i="5"/>
  <c r="L1626" i="5" s="1"/>
  <c r="M1626" i="5" s="1"/>
  <c r="K1627" i="5"/>
  <c r="L1627" i="5" s="1"/>
  <c r="M1627" i="5" s="1"/>
  <c r="K1628" i="5"/>
  <c r="L1628" i="5" s="1"/>
  <c r="M1628" i="5" s="1"/>
  <c r="K1629" i="5"/>
  <c r="L1629" i="5" s="1"/>
  <c r="M1629" i="5" s="1"/>
  <c r="K1630" i="5"/>
  <c r="L1630" i="5" s="1"/>
  <c r="M1630" i="5" s="1"/>
  <c r="K1631" i="5"/>
  <c r="L1631" i="5" s="1"/>
  <c r="M1631" i="5" s="1"/>
  <c r="K1632" i="5"/>
  <c r="L1632" i="5" s="1"/>
  <c r="M1632" i="5" s="1"/>
  <c r="K1633" i="5"/>
  <c r="L1633" i="5" s="1"/>
  <c r="M1633" i="5" s="1"/>
  <c r="K1634" i="5"/>
  <c r="L1634" i="5" s="1"/>
  <c r="M1634" i="5" s="1"/>
  <c r="K1635" i="5"/>
  <c r="L1635" i="5" s="1"/>
  <c r="M1635" i="5" s="1"/>
  <c r="K1636" i="5"/>
  <c r="L1636" i="5" s="1"/>
  <c r="M1636" i="5" s="1"/>
  <c r="K1637" i="5"/>
  <c r="L1637" i="5" s="1"/>
  <c r="M1637" i="5" s="1"/>
  <c r="K1638" i="5"/>
  <c r="L1638" i="5" s="1"/>
  <c r="M1638" i="5" s="1"/>
  <c r="K1639" i="5"/>
  <c r="L1639" i="5" s="1"/>
  <c r="M1639" i="5" s="1"/>
  <c r="K1640" i="5"/>
  <c r="L1640" i="5" s="1"/>
  <c r="M1640" i="5" s="1"/>
  <c r="K1641" i="5"/>
  <c r="L1641" i="5" s="1"/>
  <c r="M1641" i="5" s="1"/>
  <c r="K1642" i="5"/>
  <c r="L1642" i="5" s="1"/>
  <c r="M1642" i="5" s="1"/>
  <c r="K1643" i="5"/>
  <c r="L1643" i="5" s="1"/>
  <c r="M1643" i="5" s="1"/>
  <c r="K1644" i="5"/>
  <c r="L1644" i="5" s="1"/>
  <c r="M1644" i="5" s="1"/>
  <c r="K1645" i="5"/>
  <c r="L1645" i="5" s="1"/>
  <c r="M1645" i="5" s="1"/>
  <c r="K1646" i="5"/>
  <c r="L1646" i="5" s="1"/>
  <c r="M1646" i="5" s="1"/>
  <c r="K1647" i="5"/>
  <c r="L1647" i="5" s="1"/>
  <c r="M1647" i="5" s="1"/>
  <c r="K1648" i="5"/>
  <c r="L1648" i="5" s="1"/>
  <c r="M1648" i="5" s="1"/>
  <c r="K1649" i="5"/>
  <c r="L1649" i="5" s="1"/>
  <c r="M1649" i="5" s="1"/>
  <c r="K1650" i="5"/>
  <c r="L1650" i="5" s="1"/>
  <c r="M1650" i="5" s="1"/>
  <c r="K1651" i="5"/>
  <c r="L1651" i="5" s="1"/>
  <c r="M1651" i="5" s="1"/>
  <c r="K1652" i="5"/>
  <c r="L1652" i="5" s="1"/>
  <c r="M1652" i="5" s="1"/>
  <c r="K1653" i="5"/>
  <c r="L1653" i="5" s="1"/>
  <c r="M1653" i="5" s="1"/>
  <c r="K1654" i="5"/>
  <c r="L1654" i="5" s="1"/>
  <c r="M1654" i="5" s="1"/>
  <c r="K1655" i="5"/>
  <c r="L1655" i="5" s="1"/>
  <c r="M1655" i="5" s="1"/>
  <c r="K1656" i="5"/>
  <c r="L1656" i="5" s="1"/>
  <c r="M1656" i="5" s="1"/>
  <c r="K1657" i="5"/>
  <c r="L1657" i="5" s="1"/>
  <c r="M1657" i="5" s="1"/>
  <c r="K1658" i="5"/>
  <c r="L1658" i="5" s="1"/>
  <c r="M1658" i="5" s="1"/>
  <c r="K1659" i="5"/>
  <c r="L1659" i="5" s="1"/>
  <c r="M1659" i="5" s="1"/>
  <c r="K1660" i="5"/>
  <c r="L1660" i="5" s="1"/>
  <c r="M1660" i="5" s="1"/>
  <c r="K1661" i="5"/>
  <c r="L1661" i="5" s="1"/>
  <c r="M1661" i="5" s="1"/>
  <c r="K1662" i="5"/>
  <c r="L1662" i="5" s="1"/>
  <c r="M1662" i="5" s="1"/>
  <c r="K1663" i="5"/>
  <c r="L1663" i="5" s="1"/>
  <c r="M1663" i="5" s="1"/>
  <c r="K1664" i="5"/>
  <c r="L1664" i="5" s="1"/>
  <c r="M1664" i="5" s="1"/>
  <c r="K1665" i="5"/>
  <c r="L1665" i="5" s="1"/>
  <c r="M1665" i="5" s="1"/>
  <c r="K1666" i="5"/>
  <c r="L1666" i="5" s="1"/>
  <c r="M1666" i="5" s="1"/>
  <c r="K1667" i="5"/>
  <c r="L1667" i="5" s="1"/>
  <c r="M1667" i="5" s="1"/>
  <c r="K1668" i="5"/>
  <c r="L1668" i="5" s="1"/>
  <c r="M1668" i="5" s="1"/>
  <c r="K1669" i="5"/>
  <c r="L1669" i="5" s="1"/>
  <c r="M1669" i="5" s="1"/>
  <c r="K1670" i="5"/>
  <c r="L1670" i="5" s="1"/>
  <c r="M1670" i="5" s="1"/>
  <c r="K1671" i="5"/>
  <c r="L1671" i="5" s="1"/>
  <c r="M1671" i="5" s="1"/>
  <c r="K1672" i="5"/>
  <c r="L1672" i="5" s="1"/>
  <c r="M1672" i="5" s="1"/>
  <c r="K1673" i="5"/>
  <c r="L1673" i="5" s="1"/>
  <c r="M1673" i="5" s="1"/>
  <c r="K1674" i="5"/>
  <c r="L1674" i="5" s="1"/>
  <c r="M1674" i="5" s="1"/>
  <c r="K1675" i="5"/>
  <c r="L1675" i="5" s="1"/>
  <c r="M1675" i="5" s="1"/>
  <c r="K1676" i="5"/>
  <c r="L1676" i="5" s="1"/>
  <c r="M1676" i="5" s="1"/>
  <c r="K1677" i="5"/>
  <c r="L1677" i="5" s="1"/>
  <c r="M1677" i="5" s="1"/>
  <c r="K1678" i="5"/>
  <c r="L1678" i="5" s="1"/>
  <c r="M1678" i="5" s="1"/>
  <c r="K1679" i="5"/>
  <c r="L1679" i="5" s="1"/>
  <c r="M1679" i="5" s="1"/>
  <c r="K1680" i="5"/>
  <c r="L1680" i="5" s="1"/>
  <c r="M1680" i="5" s="1"/>
  <c r="K1681" i="5"/>
  <c r="L1681" i="5" s="1"/>
  <c r="M1681" i="5" s="1"/>
  <c r="K1682" i="5"/>
  <c r="L1682" i="5" s="1"/>
  <c r="M1682" i="5" s="1"/>
  <c r="K1683" i="5"/>
  <c r="K1684" i="5"/>
  <c r="L1684" i="5" s="1"/>
  <c r="M1684" i="5" s="1"/>
  <c r="K1685" i="5"/>
  <c r="L1685" i="5" s="1"/>
  <c r="M1685" i="5" s="1"/>
  <c r="K1686" i="5"/>
  <c r="L1686" i="5" s="1"/>
  <c r="M1686" i="5" s="1"/>
  <c r="K1687" i="5"/>
  <c r="L1687" i="5" s="1"/>
  <c r="M1687" i="5" s="1"/>
  <c r="K1688" i="5"/>
  <c r="L1688" i="5" s="1"/>
  <c r="M1688" i="5" s="1"/>
  <c r="K1689" i="5"/>
  <c r="L1689" i="5" s="1"/>
  <c r="M1689" i="5" s="1"/>
  <c r="K1690" i="5"/>
  <c r="L1690" i="5" s="1"/>
  <c r="M1690" i="5" s="1"/>
  <c r="K1691" i="5"/>
  <c r="L1691" i="5" s="1"/>
  <c r="M1691" i="5" s="1"/>
  <c r="K1692" i="5"/>
  <c r="L1692" i="5" s="1"/>
  <c r="M1692" i="5" s="1"/>
  <c r="K1693" i="5"/>
  <c r="L1693" i="5" s="1"/>
  <c r="M1693" i="5" s="1"/>
  <c r="K1694" i="5"/>
  <c r="L1694" i="5" s="1"/>
  <c r="M1694" i="5" s="1"/>
  <c r="K1695" i="5"/>
  <c r="L1695" i="5" s="1"/>
  <c r="M1695" i="5" s="1"/>
  <c r="K1696" i="5"/>
  <c r="L1696" i="5" s="1"/>
  <c r="M1696" i="5" s="1"/>
  <c r="K1697" i="5"/>
  <c r="L1697" i="5" s="1"/>
  <c r="M1697" i="5" s="1"/>
  <c r="K1698" i="5"/>
  <c r="L1698" i="5" s="1"/>
  <c r="M1698" i="5" s="1"/>
  <c r="K1699" i="5"/>
  <c r="L1699" i="5" s="1"/>
  <c r="M1699" i="5" s="1"/>
  <c r="K1700" i="5"/>
  <c r="L1700" i="5" s="1"/>
  <c r="M1700" i="5" s="1"/>
  <c r="K1701" i="5"/>
  <c r="L1701" i="5" s="1"/>
  <c r="M1701" i="5" s="1"/>
  <c r="K1702" i="5"/>
  <c r="L1702" i="5" s="1"/>
  <c r="M1702" i="5" s="1"/>
  <c r="K1703" i="5"/>
  <c r="L1703" i="5" s="1"/>
  <c r="M1703" i="5" s="1"/>
  <c r="K1704" i="5"/>
  <c r="L1704" i="5" s="1"/>
  <c r="M1704" i="5" s="1"/>
  <c r="K1705" i="5"/>
  <c r="L1705" i="5" s="1"/>
  <c r="M1705" i="5" s="1"/>
  <c r="K1706" i="5"/>
  <c r="L1706" i="5" s="1"/>
  <c r="M1706" i="5" s="1"/>
  <c r="K1707" i="5"/>
  <c r="L1707" i="5" s="1"/>
  <c r="M1707" i="5" s="1"/>
  <c r="K1708" i="5"/>
  <c r="L1708" i="5" s="1"/>
  <c r="M1708" i="5" s="1"/>
  <c r="K1709" i="5"/>
  <c r="L1709" i="5" s="1"/>
  <c r="M1709" i="5" s="1"/>
  <c r="K1710" i="5"/>
  <c r="L1710" i="5" s="1"/>
  <c r="M1710" i="5" s="1"/>
  <c r="K1711" i="5"/>
  <c r="L1711" i="5" s="1"/>
  <c r="M1711" i="5" s="1"/>
  <c r="K1712" i="5"/>
  <c r="L1712" i="5" s="1"/>
  <c r="M1712" i="5" s="1"/>
  <c r="K1713" i="5"/>
  <c r="L1713" i="5" s="1"/>
  <c r="M1713" i="5" s="1"/>
  <c r="K1714" i="5"/>
  <c r="L1714" i="5" s="1"/>
  <c r="M1714" i="5" s="1"/>
  <c r="K1715" i="5"/>
  <c r="L1715" i="5" s="1"/>
  <c r="M1715" i="5" s="1"/>
  <c r="K1716" i="5"/>
  <c r="L1716" i="5" s="1"/>
  <c r="M1716" i="5" s="1"/>
  <c r="K1717" i="5"/>
  <c r="L1717" i="5" s="1"/>
  <c r="M1717" i="5" s="1"/>
  <c r="K1718" i="5"/>
  <c r="L1718" i="5" s="1"/>
  <c r="M1718" i="5" s="1"/>
  <c r="K1719" i="5"/>
  <c r="L1719" i="5" s="1"/>
  <c r="M1719" i="5" s="1"/>
  <c r="K1720" i="5"/>
  <c r="L1720" i="5" s="1"/>
  <c r="M1720" i="5" s="1"/>
  <c r="K1721" i="5"/>
  <c r="L1721" i="5" s="1"/>
  <c r="M1721" i="5" s="1"/>
  <c r="K1722" i="5"/>
  <c r="L1722" i="5" s="1"/>
  <c r="M1722" i="5" s="1"/>
  <c r="K1723" i="5"/>
  <c r="L1723" i="5" s="1"/>
  <c r="M1723" i="5" s="1"/>
  <c r="K1724" i="5"/>
  <c r="L1724" i="5" s="1"/>
  <c r="M1724" i="5" s="1"/>
  <c r="K1725" i="5"/>
  <c r="L1725" i="5" s="1"/>
  <c r="M1725" i="5" s="1"/>
  <c r="K1726" i="5"/>
  <c r="L1726" i="5" s="1"/>
  <c r="M1726" i="5" s="1"/>
  <c r="K1727" i="5"/>
  <c r="L1727" i="5" s="1"/>
  <c r="M1727" i="5" s="1"/>
  <c r="K1728" i="5"/>
  <c r="L1728" i="5" s="1"/>
  <c r="M1728" i="5" s="1"/>
  <c r="K1729" i="5"/>
  <c r="L1729" i="5" s="1"/>
  <c r="M1729" i="5" s="1"/>
  <c r="K1730" i="5"/>
  <c r="L1730" i="5" s="1"/>
  <c r="M1730" i="5" s="1"/>
  <c r="K1731" i="5"/>
  <c r="L1731" i="5" s="1"/>
  <c r="M1731" i="5" s="1"/>
  <c r="K1732" i="5"/>
  <c r="L1732" i="5" s="1"/>
  <c r="M1732" i="5" s="1"/>
  <c r="K1733" i="5"/>
  <c r="L1733" i="5" s="1"/>
  <c r="M1733" i="5" s="1"/>
  <c r="K1734" i="5"/>
  <c r="L1734" i="5" s="1"/>
  <c r="M1734" i="5" s="1"/>
  <c r="K1735" i="5"/>
  <c r="L1735" i="5" s="1"/>
  <c r="M1735" i="5" s="1"/>
  <c r="K1736" i="5"/>
  <c r="L1736" i="5" s="1"/>
  <c r="M1736" i="5" s="1"/>
  <c r="K1737" i="5"/>
  <c r="L1737" i="5" s="1"/>
  <c r="M1737" i="5" s="1"/>
  <c r="K1738" i="5"/>
  <c r="L1738" i="5" s="1"/>
  <c r="M1738" i="5" s="1"/>
  <c r="K1739" i="5"/>
  <c r="L1739" i="5" s="1"/>
  <c r="M1739" i="5" s="1"/>
  <c r="K1740" i="5"/>
  <c r="L1740" i="5" s="1"/>
  <c r="M1740" i="5" s="1"/>
  <c r="K1741" i="5"/>
  <c r="L1741" i="5" s="1"/>
  <c r="M1741" i="5" s="1"/>
  <c r="K1742" i="5"/>
  <c r="L1742" i="5" s="1"/>
  <c r="M1742" i="5" s="1"/>
  <c r="K1743" i="5"/>
  <c r="L1743" i="5" s="1"/>
  <c r="M1743" i="5" s="1"/>
  <c r="K1744" i="5"/>
  <c r="L1744" i="5" s="1"/>
  <c r="M1744" i="5" s="1"/>
  <c r="K1745" i="5"/>
  <c r="L1745" i="5" s="1"/>
  <c r="M1745" i="5" s="1"/>
  <c r="K1746" i="5"/>
  <c r="L1746" i="5" s="1"/>
  <c r="M1746" i="5" s="1"/>
  <c r="K1747" i="5"/>
  <c r="K1748" i="5"/>
  <c r="L1748" i="5" s="1"/>
  <c r="M1748" i="5" s="1"/>
  <c r="K1749" i="5"/>
  <c r="L1749" i="5" s="1"/>
  <c r="M1749" i="5" s="1"/>
  <c r="K1750" i="5"/>
  <c r="L1750" i="5" s="1"/>
  <c r="M1750" i="5" s="1"/>
  <c r="K1751" i="5"/>
  <c r="L1751" i="5" s="1"/>
  <c r="M1751" i="5" s="1"/>
  <c r="K1752" i="5"/>
  <c r="L1752" i="5" s="1"/>
  <c r="M1752" i="5" s="1"/>
  <c r="K1753" i="5"/>
  <c r="L1753" i="5" s="1"/>
  <c r="M1753" i="5" s="1"/>
  <c r="K1754" i="5"/>
  <c r="L1754" i="5" s="1"/>
  <c r="M1754" i="5" s="1"/>
  <c r="K1755" i="5"/>
  <c r="L1755" i="5" s="1"/>
  <c r="M1755" i="5" s="1"/>
  <c r="K1756" i="5"/>
  <c r="L1756" i="5" s="1"/>
  <c r="M1756" i="5" s="1"/>
  <c r="K1757" i="5"/>
  <c r="L1757" i="5" s="1"/>
  <c r="M1757" i="5" s="1"/>
  <c r="K1758" i="5"/>
  <c r="L1758" i="5" s="1"/>
  <c r="M1758" i="5" s="1"/>
  <c r="K1759" i="5"/>
  <c r="L1759" i="5" s="1"/>
  <c r="M1759" i="5" s="1"/>
  <c r="K1760" i="5"/>
  <c r="L1760" i="5" s="1"/>
  <c r="M1760" i="5" s="1"/>
  <c r="K1761" i="5"/>
  <c r="L1761" i="5" s="1"/>
  <c r="M1761" i="5" s="1"/>
  <c r="K1762" i="5"/>
  <c r="L1762" i="5" s="1"/>
  <c r="M1762" i="5" s="1"/>
  <c r="K1763" i="5"/>
  <c r="L1763" i="5" s="1"/>
  <c r="M1763" i="5" s="1"/>
  <c r="K1764" i="5"/>
  <c r="L1764" i="5" s="1"/>
  <c r="M1764" i="5" s="1"/>
  <c r="K1765" i="5"/>
  <c r="L1765" i="5" s="1"/>
  <c r="M1765" i="5" s="1"/>
  <c r="K1766" i="5"/>
  <c r="L1766" i="5" s="1"/>
  <c r="M1766" i="5" s="1"/>
  <c r="K1767" i="5"/>
  <c r="L1767" i="5" s="1"/>
  <c r="M1767" i="5" s="1"/>
  <c r="K1768" i="5"/>
  <c r="L1768" i="5" s="1"/>
  <c r="M1768" i="5" s="1"/>
  <c r="K1769" i="5"/>
  <c r="L1769" i="5" s="1"/>
  <c r="M1769" i="5" s="1"/>
  <c r="K1770" i="5"/>
  <c r="L1770" i="5" s="1"/>
  <c r="M1770" i="5" s="1"/>
  <c r="K1771" i="5"/>
  <c r="L1771" i="5" s="1"/>
  <c r="M1771" i="5" s="1"/>
  <c r="K1772" i="5"/>
  <c r="L1772" i="5" s="1"/>
  <c r="M1772" i="5" s="1"/>
  <c r="K1773" i="5"/>
  <c r="L1773" i="5" s="1"/>
  <c r="M1773" i="5" s="1"/>
  <c r="K1774" i="5"/>
  <c r="L1774" i="5" s="1"/>
  <c r="M1774" i="5" s="1"/>
  <c r="K1775" i="5"/>
  <c r="L1775" i="5" s="1"/>
  <c r="M1775" i="5" s="1"/>
  <c r="K1776" i="5"/>
  <c r="L1776" i="5" s="1"/>
  <c r="M1776" i="5" s="1"/>
  <c r="K1777" i="5"/>
  <c r="L1777" i="5" s="1"/>
  <c r="M1777" i="5" s="1"/>
  <c r="K1778" i="5"/>
  <c r="L1778" i="5" s="1"/>
  <c r="M1778" i="5" s="1"/>
  <c r="K1779" i="5"/>
  <c r="L1779" i="5" s="1"/>
  <c r="M1779" i="5" s="1"/>
  <c r="K1780" i="5"/>
  <c r="L1780" i="5" s="1"/>
  <c r="M1780" i="5" s="1"/>
  <c r="K1781" i="5"/>
  <c r="L1781" i="5" s="1"/>
  <c r="M1781" i="5" s="1"/>
  <c r="K1782" i="5"/>
  <c r="L1782" i="5" s="1"/>
  <c r="M1782" i="5" s="1"/>
  <c r="K1783" i="5"/>
  <c r="L1783" i="5" s="1"/>
  <c r="M1783" i="5" s="1"/>
  <c r="K1784" i="5"/>
  <c r="L1784" i="5" s="1"/>
  <c r="M1784" i="5" s="1"/>
  <c r="K1785" i="5"/>
  <c r="L1785" i="5" s="1"/>
  <c r="M1785" i="5" s="1"/>
  <c r="K1786" i="5"/>
  <c r="L1786" i="5" s="1"/>
  <c r="M1786" i="5" s="1"/>
  <c r="K1787" i="5"/>
  <c r="L1787" i="5" s="1"/>
  <c r="M1787" i="5" s="1"/>
  <c r="K1788" i="5"/>
  <c r="L1788" i="5" s="1"/>
  <c r="M1788" i="5" s="1"/>
  <c r="K1789" i="5"/>
  <c r="L1789" i="5" s="1"/>
  <c r="M1789" i="5" s="1"/>
  <c r="K1790" i="5"/>
  <c r="L1790" i="5" s="1"/>
  <c r="M1790" i="5" s="1"/>
  <c r="K1791" i="5"/>
  <c r="L1791" i="5" s="1"/>
  <c r="M1791" i="5" s="1"/>
  <c r="K1792" i="5"/>
  <c r="L1792" i="5" s="1"/>
  <c r="M1792" i="5" s="1"/>
  <c r="K1793" i="5"/>
  <c r="L1793" i="5" s="1"/>
  <c r="M1793" i="5" s="1"/>
  <c r="K1794" i="5"/>
  <c r="L1794" i="5" s="1"/>
  <c r="M1794" i="5" s="1"/>
  <c r="K1795" i="5"/>
  <c r="L1795" i="5" s="1"/>
  <c r="M1795" i="5" s="1"/>
  <c r="K1796" i="5"/>
  <c r="L1796" i="5" s="1"/>
  <c r="M1796" i="5" s="1"/>
  <c r="K1797" i="5"/>
  <c r="L1797" i="5" s="1"/>
  <c r="M1797" i="5" s="1"/>
  <c r="K1798" i="5"/>
  <c r="L1798" i="5" s="1"/>
  <c r="M1798" i="5" s="1"/>
  <c r="K1799" i="5"/>
  <c r="L1799" i="5" s="1"/>
  <c r="M1799" i="5" s="1"/>
  <c r="K1800" i="5"/>
  <c r="L1800" i="5" s="1"/>
  <c r="M1800" i="5" s="1"/>
  <c r="K1801" i="5"/>
  <c r="L1801" i="5" s="1"/>
  <c r="M1801" i="5" s="1"/>
  <c r="K1802" i="5"/>
  <c r="L1802" i="5" s="1"/>
  <c r="M1802" i="5" s="1"/>
  <c r="K1803" i="5"/>
  <c r="L1803" i="5" s="1"/>
  <c r="M1803" i="5" s="1"/>
  <c r="K1804" i="5"/>
  <c r="L1804" i="5" s="1"/>
  <c r="M1804" i="5" s="1"/>
  <c r="K1805" i="5"/>
  <c r="L1805" i="5" s="1"/>
  <c r="M1805" i="5" s="1"/>
  <c r="K1806" i="5"/>
  <c r="L1806" i="5" s="1"/>
  <c r="M1806" i="5" s="1"/>
  <c r="K1807" i="5"/>
  <c r="L1807" i="5" s="1"/>
  <c r="M1807" i="5" s="1"/>
  <c r="K1808" i="5"/>
  <c r="L1808" i="5" s="1"/>
  <c r="M1808" i="5" s="1"/>
  <c r="K1809" i="5"/>
  <c r="L1809" i="5" s="1"/>
  <c r="M1809" i="5" s="1"/>
  <c r="K1810" i="5"/>
  <c r="L1810" i="5" s="1"/>
  <c r="M1810" i="5" s="1"/>
  <c r="K1811" i="5"/>
  <c r="K1812" i="5"/>
  <c r="L1812" i="5" s="1"/>
  <c r="M1812" i="5" s="1"/>
  <c r="K1813" i="5"/>
  <c r="L1813" i="5" s="1"/>
  <c r="M1813" i="5" s="1"/>
  <c r="K1814" i="5"/>
  <c r="L1814" i="5" s="1"/>
  <c r="M1814" i="5" s="1"/>
  <c r="K1815" i="5"/>
  <c r="L1815" i="5" s="1"/>
  <c r="M1815" i="5" s="1"/>
  <c r="K1816" i="5"/>
  <c r="L1816" i="5" s="1"/>
  <c r="M1816" i="5" s="1"/>
  <c r="K1817" i="5"/>
  <c r="L1817" i="5" s="1"/>
  <c r="M1817" i="5" s="1"/>
  <c r="K1818" i="5"/>
  <c r="L1818" i="5" s="1"/>
  <c r="M1818" i="5" s="1"/>
  <c r="K1819" i="5"/>
  <c r="L1819" i="5" s="1"/>
  <c r="M1819" i="5" s="1"/>
  <c r="K1820" i="5"/>
  <c r="L1820" i="5" s="1"/>
  <c r="M1820" i="5" s="1"/>
  <c r="K1821" i="5"/>
  <c r="L1821" i="5" s="1"/>
  <c r="M1821" i="5" s="1"/>
  <c r="K1822" i="5"/>
  <c r="L1822" i="5" s="1"/>
  <c r="M1822" i="5" s="1"/>
  <c r="K1823" i="5"/>
  <c r="L1823" i="5" s="1"/>
  <c r="M1823" i="5" s="1"/>
  <c r="K1824" i="5"/>
  <c r="L1824" i="5" s="1"/>
  <c r="M1824" i="5" s="1"/>
  <c r="K1825" i="5"/>
  <c r="L1825" i="5" s="1"/>
  <c r="M1825" i="5" s="1"/>
  <c r="K1826" i="5"/>
  <c r="L1826" i="5" s="1"/>
  <c r="M1826" i="5" s="1"/>
  <c r="K1827" i="5"/>
  <c r="L1827" i="5" s="1"/>
  <c r="M1827" i="5" s="1"/>
  <c r="K1828" i="5"/>
  <c r="L1828" i="5" s="1"/>
  <c r="M1828" i="5" s="1"/>
  <c r="K1829" i="5"/>
  <c r="L1829" i="5" s="1"/>
  <c r="M1829" i="5" s="1"/>
  <c r="K1830" i="5"/>
  <c r="L1830" i="5" s="1"/>
  <c r="M1830" i="5" s="1"/>
  <c r="K1831" i="5"/>
  <c r="L1831" i="5" s="1"/>
  <c r="M1831" i="5" s="1"/>
  <c r="K1832" i="5"/>
  <c r="L1832" i="5" s="1"/>
  <c r="M1832" i="5" s="1"/>
  <c r="K1833" i="5"/>
  <c r="L1833" i="5" s="1"/>
  <c r="M1833" i="5" s="1"/>
  <c r="K1834" i="5"/>
  <c r="L1834" i="5" s="1"/>
  <c r="M1834" i="5" s="1"/>
  <c r="K1835" i="5"/>
  <c r="L1835" i="5" s="1"/>
  <c r="M1835" i="5" s="1"/>
  <c r="K1836" i="5"/>
  <c r="L1836" i="5" s="1"/>
  <c r="M1836" i="5" s="1"/>
  <c r="K1837" i="5"/>
  <c r="L1837" i="5" s="1"/>
  <c r="M1837" i="5" s="1"/>
  <c r="K1838" i="5"/>
  <c r="L1838" i="5" s="1"/>
  <c r="M1838" i="5" s="1"/>
  <c r="K1839" i="5"/>
  <c r="L1839" i="5" s="1"/>
  <c r="M1839" i="5" s="1"/>
  <c r="K1840" i="5"/>
  <c r="L1840" i="5" s="1"/>
  <c r="M1840" i="5" s="1"/>
  <c r="K1841" i="5"/>
  <c r="L1841" i="5" s="1"/>
  <c r="M1841" i="5" s="1"/>
  <c r="K1842" i="5"/>
  <c r="L1842" i="5" s="1"/>
  <c r="M1842" i="5" s="1"/>
  <c r="K1843" i="5"/>
  <c r="L1843" i="5" s="1"/>
  <c r="M1843" i="5" s="1"/>
  <c r="K1844" i="5"/>
  <c r="L1844" i="5" s="1"/>
  <c r="M1844" i="5" s="1"/>
  <c r="K1845" i="5"/>
  <c r="L1845" i="5" s="1"/>
  <c r="M1845" i="5" s="1"/>
  <c r="K1846" i="5"/>
  <c r="L1846" i="5" s="1"/>
  <c r="M1846" i="5" s="1"/>
  <c r="K1847" i="5"/>
  <c r="L1847" i="5" s="1"/>
  <c r="M1847" i="5" s="1"/>
  <c r="K1848" i="5"/>
  <c r="L1848" i="5" s="1"/>
  <c r="M1848" i="5" s="1"/>
  <c r="K1849" i="5"/>
  <c r="L1849" i="5" s="1"/>
  <c r="M1849" i="5" s="1"/>
  <c r="K1850" i="5"/>
  <c r="L1850" i="5" s="1"/>
  <c r="M1850" i="5" s="1"/>
  <c r="K1851" i="5"/>
  <c r="L1851" i="5" s="1"/>
  <c r="M1851" i="5" s="1"/>
  <c r="K1852" i="5"/>
  <c r="L1852" i="5" s="1"/>
  <c r="M1852" i="5" s="1"/>
  <c r="K1853" i="5"/>
  <c r="L1853" i="5" s="1"/>
  <c r="M1853" i="5" s="1"/>
  <c r="K1854" i="5"/>
  <c r="L1854" i="5" s="1"/>
  <c r="M1854" i="5" s="1"/>
  <c r="K1855" i="5"/>
  <c r="L1855" i="5" s="1"/>
  <c r="M1855" i="5" s="1"/>
  <c r="K1856" i="5"/>
  <c r="L1856" i="5" s="1"/>
  <c r="M1856" i="5" s="1"/>
  <c r="K1857" i="5"/>
  <c r="L1857" i="5" s="1"/>
  <c r="M1857" i="5" s="1"/>
  <c r="K1858" i="5"/>
  <c r="L1858" i="5" s="1"/>
  <c r="M1858" i="5" s="1"/>
  <c r="K1859" i="5"/>
  <c r="L1859" i="5" s="1"/>
  <c r="M1859" i="5" s="1"/>
  <c r="K1860" i="5"/>
  <c r="L1860" i="5" s="1"/>
  <c r="M1860" i="5" s="1"/>
  <c r="K1861" i="5"/>
  <c r="L1861" i="5" s="1"/>
  <c r="M1861" i="5" s="1"/>
  <c r="K1862" i="5"/>
  <c r="L1862" i="5" s="1"/>
  <c r="M1862" i="5" s="1"/>
  <c r="K1863" i="5"/>
  <c r="L1863" i="5" s="1"/>
  <c r="M1863" i="5" s="1"/>
  <c r="K1864" i="5"/>
  <c r="L1864" i="5" s="1"/>
  <c r="M1864" i="5" s="1"/>
  <c r="K1865" i="5"/>
  <c r="L1865" i="5" s="1"/>
  <c r="M1865" i="5" s="1"/>
  <c r="K1866" i="5"/>
  <c r="L1866" i="5" s="1"/>
  <c r="M1866" i="5" s="1"/>
  <c r="K1867" i="5"/>
  <c r="L1867" i="5" s="1"/>
  <c r="M1867" i="5" s="1"/>
  <c r="K1868" i="5"/>
  <c r="L1868" i="5" s="1"/>
  <c r="M1868" i="5" s="1"/>
  <c r="K1869" i="5"/>
  <c r="L1869" i="5" s="1"/>
  <c r="M1869" i="5" s="1"/>
  <c r="K1870" i="5"/>
  <c r="L1870" i="5" s="1"/>
  <c r="M1870" i="5" s="1"/>
  <c r="K1871" i="5"/>
  <c r="L1871" i="5" s="1"/>
  <c r="M1871" i="5" s="1"/>
  <c r="K1872" i="5"/>
  <c r="L1872" i="5" s="1"/>
  <c r="M1872" i="5" s="1"/>
  <c r="K1873" i="5"/>
  <c r="L1873" i="5" s="1"/>
  <c r="M1873" i="5" s="1"/>
  <c r="K1874" i="5"/>
  <c r="L1874" i="5" s="1"/>
  <c r="M1874" i="5" s="1"/>
  <c r="K1875" i="5"/>
  <c r="K1876" i="5"/>
  <c r="L1876" i="5" s="1"/>
  <c r="M1876" i="5" s="1"/>
  <c r="K1877" i="5"/>
  <c r="L1877" i="5" s="1"/>
  <c r="M1877" i="5" s="1"/>
  <c r="K1878" i="5"/>
  <c r="L1878" i="5" s="1"/>
  <c r="M1878" i="5" s="1"/>
  <c r="K1879" i="5"/>
  <c r="L1879" i="5" s="1"/>
  <c r="M1879" i="5" s="1"/>
  <c r="K1880" i="5"/>
  <c r="L1880" i="5" s="1"/>
  <c r="M1880" i="5" s="1"/>
  <c r="K1881" i="5"/>
  <c r="L1881" i="5" s="1"/>
  <c r="M1881" i="5" s="1"/>
  <c r="K1882" i="5"/>
  <c r="L1882" i="5" s="1"/>
  <c r="M1882" i="5" s="1"/>
  <c r="K1883" i="5"/>
  <c r="L1883" i="5" s="1"/>
  <c r="M1883" i="5" s="1"/>
  <c r="K1884" i="5"/>
  <c r="L1884" i="5" s="1"/>
  <c r="M1884" i="5" s="1"/>
  <c r="K1885" i="5"/>
  <c r="L1885" i="5" s="1"/>
  <c r="M1885" i="5" s="1"/>
  <c r="K1886" i="5"/>
  <c r="L1886" i="5" s="1"/>
  <c r="M1886" i="5" s="1"/>
  <c r="K1887" i="5"/>
  <c r="L1887" i="5" s="1"/>
  <c r="M1887" i="5" s="1"/>
  <c r="K1888" i="5"/>
  <c r="L1888" i="5" s="1"/>
  <c r="M1888" i="5" s="1"/>
  <c r="K1889" i="5"/>
  <c r="L1889" i="5" s="1"/>
  <c r="M1889" i="5" s="1"/>
  <c r="K1890" i="5"/>
  <c r="L1890" i="5" s="1"/>
  <c r="M1890" i="5" s="1"/>
  <c r="K1891" i="5"/>
  <c r="L1891" i="5" s="1"/>
  <c r="M1891" i="5" s="1"/>
  <c r="K1892" i="5"/>
  <c r="L1892" i="5" s="1"/>
  <c r="M1892" i="5" s="1"/>
  <c r="K1893" i="5"/>
  <c r="L1893" i="5" s="1"/>
  <c r="M1893" i="5" s="1"/>
  <c r="K1894" i="5"/>
  <c r="L1894" i="5" s="1"/>
  <c r="M1894" i="5" s="1"/>
  <c r="K1895" i="5"/>
  <c r="L1895" i="5" s="1"/>
  <c r="M1895" i="5" s="1"/>
  <c r="K1896" i="5"/>
  <c r="L1896" i="5" s="1"/>
  <c r="M1896" i="5" s="1"/>
  <c r="K1897" i="5"/>
  <c r="L1897" i="5" s="1"/>
  <c r="M1897" i="5" s="1"/>
  <c r="K1898" i="5"/>
  <c r="L1898" i="5" s="1"/>
  <c r="M1898" i="5" s="1"/>
  <c r="K1899" i="5"/>
  <c r="L1899" i="5" s="1"/>
  <c r="M1899" i="5" s="1"/>
  <c r="K1900" i="5"/>
  <c r="L1900" i="5" s="1"/>
  <c r="M1900" i="5" s="1"/>
  <c r="K1901" i="5"/>
  <c r="L1901" i="5" s="1"/>
  <c r="M1901" i="5" s="1"/>
  <c r="K1902" i="5"/>
  <c r="L1902" i="5" s="1"/>
  <c r="M1902" i="5" s="1"/>
  <c r="K1903" i="5"/>
  <c r="L1903" i="5" s="1"/>
  <c r="M1903" i="5" s="1"/>
  <c r="K1904" i="5"/>
  <c r="L1904" i="5" s="1"/>
  <c r="M1904" i="5" s="1"/>
  <c r="K1905" i="5"/>
  <c r="L1905" i="5" s="1"/>
  <c r="M1905" i="5" s="1"/>
  <c r="K1906" i="5"/>
  <c r="L1906" i="5" s="1"/>
  <c r="M1906" i="5" s="1"/>
  <c r="K1907" i="5"/>
  <c r="L1907" i="5" s="1"/>
  <c r="M1907" i="5" s="1"/>
  <c r="K1908" i="5"/>
  <c r="L1908" i="5" s="1"/>
  <c r="M1908" i="5" s="1"/>
  <c r="K1909" i="5"/>
  <c r="L1909" i="5" s="1"/>
  <c r="M1909" i="5" s="1"/>
  <c r="K1910" i="5"/>
  <c r="L1910" i="5" s="1"/>
  <c r="M1910" i="5" s="1"/>
  <c r="K1911" i="5"/>
  <c r="L1911" i="5" s="1"/>
  <c r="M1911" i="5" s="1"/>
  <c r="K1912" i="5"/>
  <c r="L1912" i="5" s="1"/>
  <c r="M1912" i="5" s="1"/>
  <c r="K1913" i="5"/>
  <c r="L1913" i="5" s="1"/>
  <c r="M1913" i="5" s="1"/>
  <c r="K1914" i="5"/>
  <c r="L1914" i="5" s="1"/>
  <c r="M1914" i="5" s="1"/>
  <c r="K1915" i="5"/>
  <c r="L1915" i="5" s="1"/>
  <c r="M1915" i="5" s="1"/>
  <c r="K1916" i="5"/>
  <c r="L1916" i="5" s="1"/>
  <c r="M1916" i="5" s="1"/>
  <c r="K1917" i="5"/>
  <c r="L1917" i="5" s="1"/>
  <c r="M1917" i="5" s="1"/>
  <c r="K1918" i="5"/>
  <c r="L1918" i="5" s="1"/>
  <c r="M1918" i="5" s="1"/>
  <c r="K1919" i="5"/>
  <c r="L1919" i="5" s="1"/>
  <c r="M1919" i="5" s="1"/>
  <c r="K1920" i="5"/>
  <c r="L1920" i="5" s="1"/>
  <c r="M1920" i="5" s="1"/>
  <c r="K1921" i="5"/>
  <c r="L1921" i="5" s="1"/>
  <c r="M1921" i="5" s="1"/>
  <c r="K1922" i="5"/>
  <c r="L1922" i="5" s="1"/>
  <c r="M1922" i="5" s="1"/>
  <c r="K1923" i="5"/>
  <c r="L1923" i="5" s="1"/>
  <c r="M1923" i="5" s="1"/>
  <c r="K1924" i="5"/>
  <c r="L1924" i="5" s="1"/>
  <c r="M1924" i="5" s="1"/>
  <c r="K1925" i="5"/>
  <c r="L1925" i="5" s="1"/>
  <c r="M1925" i="5" s="1"/>
  <c r="K1926" i="5"/>
  <c r="L1926" i="5" s="1"/>
  <c r="M1926" i="5" s="1"/>
  <c r="K1927" i="5"/>
  <c r="L1927" i="5" s="1"/>
  <c r="M1927" i="5" s="1"/>
  <c r="K1928" i="5"/>
  <c r="L1928" i="5" s="1"/>
  <c r="M1928" i="5" s="1"/>
  <c r="K1929" i="5"/>
  <c r="L1929" i="5" s="1"/>
  <c r="M1929" i="5" s="1"/>
  <c r="K1930" i="5"/>
  <c r="L1930" i="5" s="1"/>
  <c r="M1930" i="5" s="1"/>
  <c r="K1931" i="5"/>
  <c r="L1931" i="5" s="1"/>
  <c r="M1931" i="5" s="1"/>
  <c r="K1932" i="5"/>
  <c r="L1932" i="5" s="1"/>
  <c r="M1932" i="5" s="1"/>
  <c r="K1933" i="5"/>
  <c r="L1933" i="5" s="1"/>
  <c r="M1933" i="5" s="1"/>
  <c r="K1934" i="5"/>
  <c r="L1934" i="5" s="1"/>
  <c r="M1934" i="5" s="1"/>
  <c r="K1935" i="5"/>
  <c r="L1935" i="5" s="1"/>
  <c r="M1935" i="5" s="1"/>
  <c r="K1936" i="5"/>
  <c r="L1936" i="5" s="1"/>
  <c r="M1936" i="5" s="1"/>
  <c r="K1937" i="5"/>
  <c r="L1937" i="5" s="1"/>
  <c r="M1937" i="5" s="1"/>
  <c r="K1938" i="5"/>
  <c r="L1938" i="5" s="1"/>
  <c r="M1938" i="5" s="1"/>
  <c r="K1939" i="5"/>
  <c r="K1940" i="5"/>
  <c r="L1940" i="5" s="1"/>
  <c r="M1940" i="5" s="1"/>
  <c r="K1941" i="5"/>
  <c r="L1941" i="5" s="1"/>
  <c r="M1941" i="5" s="1"/>
  <c r="K1942" i="5"/>
  <c r="L1942" i="5" s="1"/>
  <c r="M1942" i="5" s="1"/>
  <c r="K1943" i="5"/>
  <c r="L1943" i="5" s="1"/>
  <c r="M1943" i="5" s="1"/>
  <c r="K1944" i="5"/>
  <c r="L1944" i="5" s="1"/>
  <c r="M1944" i="5" s="1"/>
  <c r="K1945" i="5"/>
  <c r="L1945" i="5" s="1"/>
  <c r="M1945" i="5" s="1"/>
  <c r="K1946" i="5"/>
  <c r="L1946" i="5" s="1"/>
  <c r="M1946" i="5" s="1"/>
  <c r="K1947" i="5"/>
  <c r="L1947" i="5" s="1"/>
  <c r="M1947" i="5" s="1"/>
  <c r="K1948" i="5"/>
  <c r="L1948" i="5" s="1"/>
  <c r="M1948" i="5" s="1"/>
  <c r="K1949" i="5"/>
  <c r="L1949" i="5" s="1"/>
  <c r="M1949" i="5" s="1"/>
  <c r="K1950" i="5"/>
  <c r="L1950" i="5" s="1"/>
  <c r="M1950" i="5" s="1"/>
  <c r="K1951" i="5"/>
  <c r="L1951" i="5" s="1"/>
  <c r="M1951" i="5" s="1"/>
  <c r="K1952" i="5"/>
  <c r="L1952" i="5" s="1"/>
  <c r="M1952" i="5" s="1"/>
  <c r="K1953" i="5"/>
  <c r="L1953" i="5" s="1"/>
  <c r="M1953" i="5" s="1"/>
  <c r="K1954" i="5"/>
  <c r="L1954" i="5" s="1"/>
  <c r="M1954" i="5" s="1"/>
  <c r="K1955" i="5"/>
  <c r="L1955" i="5" s="1"/>
  <c r="M1955" i="5" s="1"/>
  <c r="K1956" i="5"/>
  <c r="L1956" i="5" s="1"/>
  <c r="M1956" i="5" s="1"/>
  <c r="K1957" i="5"/>
  <c r="L1957" i="5" s="1"/>
  <c r="M1957" i="5" s="1"/>
  <c r="K1958" i="5"/>
  <c r="L1958" i="5" s="1"/>
  <c r="M1958" i="5" s="1"/>
  <c r="K1959" i="5"/>
  <c r="L1959" i="5" s="1"/>
  <c r="M1959" i="5" s="1"/>
  <c r="K1960" i="5"/>
  <c r="L1960" i="5" s="1"/>
  <c r="M1960" i="5" s="1"/>
  <c r="K1961" i="5"/>
  <c r="L1961" i="5" s="1"/>
  <c r="M1961" i="5" s="1"/>
  <c r="K1962" i="5"/>
  <c r="L1962" i="5" s="1"/>
  <c r="M1962" i="5" s="1"/>
  <c r="K1963" i="5"/>
  <c r="L1963" i="5" s="1"/>
  <c r="M1963" i="5" s="1"/>
  <c r="K1964" i="5"/>
  <c r="L1964" i="5" s="1"/>
  <c r="M1964" i="5" s="1"/>
  <c r="K1965" i="5"/>
  <c r="L1965" i="5" s="1"/>
  <c r="M1965" i="5" s="1"/>
  <c r="K1966" i="5"/>
  <c r="L1966" i="5" s="1"/>
  <c r="M1966" i="5" s="1"/>
  <c r="K1967" i="5"/>
  <c r="L1967" i="5" s="1"/>
  <c r="M1967" i="5" s="1"/>
  <c r="K1968" i="5"/>
  <c r="L1968" i="5" s="1"/>
  <c r="M1968" i="5" s="1"/>
  <c r="K1969" i="5"/>
  <c r="L1969" i="5" s="1"/>
  <c r="M1969" i="5" s="1"/>
  <c r="K1970" i="5"/>
  <c r="L1970" i="5" s="1"/>
  <c r="M1970" i="5" s="1"/>
  <c r="K1971" i="5"/>
  <c r="L1971" i="5" s="1"/>
  <c r="M1971" i="5" s="1"/>
  <c r="K1972" i="5"/>
  <c r="L1972" i="5" s="1"/>
  <c r="M1972" i="5" s="1"/>
  <c r="K1973" i="5"/>
  <c r="L1973" i="5" s="1"/>
  <c r="M1973" i="5" s="1"/>
  <c r="K1974" i="5"/>
  <c r="L1974" i="5" s="1"/>
  <c r="M1974" i="5" s="1"/>
  <c r="K1975" i="5"/>
  <c r="L1975" i="5" s="1"/>
  <c r="M1975" i="5" s="1"/>
  <c r="K1976" i="5"/>
  <c r="L1976" i="5" s="1"/>
  <c r="M1976" i="5" s="1"/>
  <c r="K1977" i="5"/>
  <c r="L1977" i="5" s="1"/>
  <c r="M1977" i="5" s="1"/>
  <c r="K1978" i="5"/>
  <c r="L1978" i="5" s="1"/>
  <c r="M1978" i="5" s="1"/>
  <c r="K1979" i="5"/>
  <c r="L1979" i="5" s="1"/>
  <c r="M1979" i="5" s="1"/>
  <c r="K1980" i="5"/>
  <c r="L1980" i="5" s="1"/>
  <c r="M1980" i="5" s="1"/>
  <c r="K1981" i="5"/>
  <c r="L1981" i="5" s="1"/>
  <c r="M1981" i="5" s="1"/>
  <c r="K1982" i="5"/>
  <c r="L1982" i="5" s="1"/>
  <c r="M1982" i="5" s="1"/>
  <c r="K1983" i="5"/>
  <c r="L1983" i="5" s="1"/>
  <c r="M1983" i="5" s="1"/>
  <c r="K1984" i="5"/>
  <c r="L1984" i="5" s="1"/>
  <c r="M1984" i="5" s="1"/>
  <c r="K1985" i="5"/>
  <c r="L1985" i="5" s="1"/>
  <c r="M1985" i="5" s="1"/>
  <c r="K1986" i="5"/>
  <c r="L1986" i="5" s="1"/>
  <c r="M1986" i="5" s="1"/>
  <c r="K1987" i="5"/>
  <c r="L1987" i="5" s="1"/>
  <c r="M1987" i="5" s="1"/>
  <c r="K1988" i="5"/>
  <c r="L1988" i="5" s="1"/>
  <c r="M1988" i="5" s="1"/>
  <c r="K1989" i="5"/>
  <c r="L1989" i="5" s="1"/>
  <c r="M1989" i="5" s="1"/>
  <c r="K1990" i="5"/>
  <c r="L1990" i="5" s="1"/>
  <c r="M1990" i="5" s="1"/>
  <c r="K1991" i="5"/>
  <c r="L1991" i="5" s="1"/>
  <c r="M1991" i="5" s="1"/>
  <c r="K1992" i="5"/>
  <c r="L1992" i="5" s="1"/>
  <c r="M1992" i="5" s="1"/>
  <c r="K1993" i="5"/>
  <c r="L1993" i="5" s="1"/>
  <c r="M1993" i="5" s="1"/>
  <c r="K1994" i="5"/>
  <c r="L1994" i="5" s="1"/>
  <c r="M1994" i="5" s="1"/>
  <c r="K1995" i="5"/>
  <c r="L1995" i="5" s="1"/>
  <c r="M1995" i="5" s="1"/>
  <c r="K1996" i="5"/>
  <c r="L1996" i="5" s="1"/>
  <c r="M1996" i="5" s="1"/>
  <c r="K1997" i="5"/>
  <c r="L1997" i="5" s="1"/>
  <c r="M1997" i="5" s="1"/>
  <c r="K1998" i="5"/>
  <c r="L1998" i="5" s="1"/>
  <c r="M1998" i="5" s="1"/>
  <c r="K1999" i="5"/>
  <c r="L1999" i="5" s="1"/>
  <c r="M1999" i="5" s="1"/>
  <c r="K2000" i="5"/>
  <c r="L2000" i="5" s="1"/>
  <c r="M2000" i="5" s="1"/>
  <c r="K2001" i="5"/>
  <c r="L2001" i="5" s="1"/>
  <c r="M2001" i="5" s="1"/>
  <c r="K2002" i="5"/>
  <c r="L2002" i="5" s="1"/>
  <c r="M2002" i="5" s="1"/>
  <c r="K2003" i="5"/>
  <c r="K2004" i="5"/>
  <c r="L2004" i="5" s="1"/>
  <c r="M2004" i="5" s="1"/>
  <c r="K2005" i="5"/>
  <c r="L2005" i="5" s="1"/>
  <c r="M2005" i="5" s="1"/>
  <c r="K2006" i="5"/>
  <c r="L2006" i="5" s="1"/>
  <c r="M2006" i="5" s="1"/>
  <c r="K2007" i="5"/>
  <c r="L2007" i="5" s="1"/>
  <c r="M2007" i="5" s="1"/>
  <c r="K2008" i="5"/>
  <c r="L2008" i="5" s="1"/>
  <c r="M2008" i="5" s="1"/>
  <c r="K2009" i="5"/>
  <c r="L2009" i="5" s="1"/>
  <c r="M2009" i="5" s="1"/>
  <c r="K2010" i="5"/>
  <c r="L2010" i="5" s="1"/>
  <c r="M2010" i="5" s="1"/>
  <c r="K2011" i="5"/>
  <c r="L2011" i="5" s="1"/>
  <c r="M2011" i="5" s="1"/>
  <c r="K2012" i="5"/>
  <c r="L2012" i="5" s="1"/>
  <c r="M2012" i="5" s="1"/>
  <c r="K2013" i="5"/>
  <c r="L2013" i="5" s="1"/>
  <c r="M2013" i="5" s="1"/>
  <c r="K2014" i="5"/>
  <c r="L2014" i="5" s="1"/>
  <c r="M2014" i="5" s="1"/>
  <c r="K2015" i="5"/>
  <c r="L2015" i="5" s="1"/>
  <c r="M2015" i="5" s="1"/>
  <c r="K2016" i="5"/>
  <c r="L2016" i="5" s="1"/>
  <c r="M2016" i="5" s="1"/>
  <c r="K2017" i="5"/>
  <c r="L2017" i="5" s="1"/>
  <c r="M2017" i="5" s="1"/>
  <c r="K2018" i="5"/>
  <c r="L2018" i="5" s="1"/>
  <c r="M2018" i="5" s="1"/>
  <c r="K2019" i="5"/>
  <c r="L2019" i="5" s="1"/>
  <c r="M2019" i="5" s="1"/>
  <c r="K2020" i="5"/>
  <c r="L2020" i="5" s="1"/>
  <c r="M2020" i="5" s="1"/>
  <c r="K2021" i="5"/>
  <c r="L2021" i="5" s="1"/>
  <c r="M2021" i="5" s="1"/>
  <c r="K2022" i="5"/>
  <c r="L2022" i="5" s="1"/>
  <c r="M2022" i="5" s="1"/>
  <c r="K2023" i="5"/>
  <c r="L2023" i="5" s="1"/>
  <c r="M2023" i="5" s="1"/>
  <c r="K2024" i="5"/>
  <c r="L2024" i="5" s="1"/>
  <c r="M2024" i="5" s="1"/>
  <c r="K2025" i="5"/>
  <c r="L2025" i="5" s="1"/>
  <c r="M2025" i="5" s="1"/>
  <c r="K2026" i="5"/>
  <c r="L2026" i="5" s="1"/>
  <c r="M2026" i="5" s="1"/>
  <c r="K2027" i="5"/>
  <c r="L2027" i="5" s="1"/>
  <c r="M2027" i="5" s="1"/>
  <c r="K2028" i="5"/>
  <c r="L2028" i="5" s="1"/>
  <c r="M2028" i="5" s="1"/>
  <c r="K2029" i="5"/>
  <c r="L2029" i="5" s="1"/>
  <c r="M2029" i="5" s="1"/>
  <c r="K2030" i="5"/>
  <c r="L2030" i="5" s="1"/>
  <c r="M2030" i="5" s="1"/>
  <c r="K2031" i="5"/>
  <c r="L2031" i="5" s="1"/>
  <c r="M2031" i="5" s="1"/>
  <c r="K2032" i="5"/>
  <c r="L2032" i="5" s="1"/>
  <c r="M2032" i="5" s="1"/>
  <c r="K2033" i="5"/>
  <c r="L2033" i="5" s="1"/>
  <c r="M2033" i="5" s="1"/>
  <c r="K2034" i="5"/>
  <c r="L2034" i="5" s="1"/>
  <c r="M2034" i="5" s="1"/>
  <c r="K2035" i="5"/>
  <c r="L2035" i="5" s="1"/>
  <c r="M2035" i="5" s="1"/>
  <c r="K2036" i="5"/>
  <c r="L2036" i="5" s="1"/>
  <c r="M2036" i="5" s="1"/>
  <c r="K2037" i="5"/>
  <c r="L2037" i="5" s="1"/>
  <c r="M2037" i="5" s="1"/>
  <c r="K2038" i="5"/>
  <c r="L2038" i="5" s="1"/>
  <c r="M2038" i="5" s="1"/>
  <c r="K2039" i="5"/>
  <c r="L2039" i="5" s="1"/>
  <c r="M2039" i="5" s="1"/>
  <c r="K2040" i="5"/>
  <c r="L2040" i="5" s="1"/>
  <c r="M2040" i="5" s="1"/>
  <c r="K2041" i="5"/>
  <c r="L2041" i="5" s="1"/>
  <c r="M2041" i="5" s="1"/>
  <c r="K2042" i="5"/>
  <c r="L2042" i="5" s="1"/>
  <c r="M2042" i="5" s="1"/>
  <c r="K2043" i="5"/>
  <c r="L2043" i="5" s="1"/>
  <c r="M2043" i="5" s="1"/>
  <c r="K2044" i="5"/>
  <c r="L2044" i="5" s="1"/>
  <c r="M2044" i="5" s="1"/>
  <c r="K2045" i="5"/>
  <c r="L2045" i="5" s="1"/>
  <c r="M2045" i="5" s="1"/>
  <c r="K2046" i="5"/>
  <c r="L2046" i="5" s="1"/>
  <c r="M2046" i="5" s="1"/>
  <c r="K2047" i="5"/>
  <c r="L2047" i="5" s="1"/>
  <c r="M2047" i="5" s="1"/>
  <c r="K2048" i="5"/>
  <c r="L2048" i="5" s="1"/>
  <c r="M2048" i="5" s="1"/>
  <c r="K2049" i="5"/>
  <c r="L2049" i="5" s="1"/>
  <c r="M2049" i="5" s="1"/>
  <c r="K2050" i="5"/>
  <c r="L2050" i="5" s="1"/>
  <c r="M2050" i="5" s="1"/>
  <c r="K2051" i="5"/>
  <c r="L2051" i="5" s="1"/>
  <c r="M2051" i="5" s="1"/>
  <c r="K2052" i="5"/>
  <c r="L2052" i="5" s="1"/>
  <c r="M2052" i="5" s="1"/>
  <c r="K2053" i="5"/>
  <c r="L2053" i="5" s="1"/>
  <c r="M2053" i="5" s="1"/>
  <c r="K2054" i="5"/>
  <c r="L2054" i="5" s="1"/>
  <c r="M2054" i="5" s="1"/>
  <c r="K2055" i="5"/>
  <c r="L2055" i="5" s="1"/>
  <c r="M2055" i="5" s="1"/>
  <c r="K2056" i="5"/>
  <c r="L2056" i="5" s="1"/>
  <c r="M2056" i="5" s="1"/>
  <c r="K2057" i="5"/>
  <c r="L2057" i="5" s="1"/>
  <c r="M2057" i="5" s="1"/>
  <c r="K2058" i="5"/>
  <c r="L2058" i="5" s="1"/>
  <c r="M2058" i="5" s="1"/>
  <c r="K2059" i="5"/>
  <c r="L2059" i="5" s="1"/>
  <c r="M2059" i="5" s="1"/>
  <c r="K2060" i="5"/>
  <c r="L2060" i="5" s="1"/>
  <c r="M2060" i="5" s="1"/>
  <c r="K2061" i="5"/>
  <c r="L2061" i="5" s="1"/>
  <c r="M2061" i="5" s="1"/>
  <c r="K2062" i="5"/>
  <c r="L2062" i="5" s="1"/>
  <c r="M2062" i="5" s="1"/>
  <c r="K2063" i="5"/>
  <c r="L2063" i="5" s="1"/>
  <c r="M2063" i="5" s="1"/>
  <c r="K2064" i="5"/>
  <c r="L2064" i="5" s="1"/>
  <c r="M2064" i="5" s="1"/>
  <c r="K2065" i="5"/>
  <c r="L2065" i="5" s="1"/>
  <c r="M2065" i="5" s="1"/>
  <c r="K2066" i="5"/>
  <c r="L2066" i="5" s="1"/>
  <c r="M2066" i="5" s="1"/>
  <c r="K2067" i="5"/>
  <c r="K2068" i="5"/>
  <c r="L2068" i="5" s="1"/>
  <c r="M2068" i="5" s="1"/>
  <c r="K2069" i="5"/>
  <c r="L2069" i="5" s="1"/>
  <c r="M2069" i="5" s="1"/>
  <c r="K2070" i="5"/>
  <c r="L2070" i="5" s="1"/>
  <c r="M2070" i="5" s="1"/>
  <c r="K2071" i="5"/>
  <c r="L2071" i="5" s="1"/>
  <c r="M2071" i="5" s="1"/>
  <c r="K2072" i="5"/>
  <c r="L2072" i="5" s="1"/>
  <c r="M2072" i="5" s="1"/>
  <c r="K2073" i="5"/>
  <c r="L2073" i="5" s="1"/>
  <c r="M2073" i="5" s="1"/>
  <c r="K2074" i="5"/>
  <c r="L2074" i="5" s="1"/>
  <c r="M2074" i="5" s="1"/>
  <c r="K2075" i="5"/>
  <c r="L2075" i="5" s="1"/>
  <c r="M2075" i="5" s="1"/>
  <c r="K2076" i="5"/>
  <c r="L2076" i="5" s="1"/>
  <c r="M2076" i="5" s="1"/>
  <c r="K2077" i="5"/>
  <c r="L2077" i="5" s="1"/>
  <c r="M2077" i="5" s="1"/>
  <c r="K2078" i="5"/>
  <c r="L2078" i="5" s="1"/>
  <c r="M2078" i="5" s="1"/>
  <c r="K2079" i="5"/>
  <c r="L2079" i="5" s="1"/>
  <c r="M2079" i="5" s="1"/>
  <c r="K2080" i="5"/>
  <c r="L2080" i="5" s="1"/>
  <c r="M2080" i="5" s="1"/>
  <c r="K2081" i="5"/>
  <c r="L2081" i="5" s="1"/>
  <c r="M2081" i="5" s="1"/>
  <c r="K2082" i="5"/>
  <c r="L2082" i="5" s="1"/>
  <c r="M2082" i="5" s="1"/>
  <c r="K2083" i="5"/>
  <c r="L2083" i="5" s="1"/>
  <c r="M2083" i="5" s="1"/>
  <c r="K2084" i="5"/>
  <c r="L2084" i="5" s="1"/>
  <c r="M2084" i="5" s="1"/>
  <c r="K2085" i="5"/>
  <c r="L2085" i="5" s="1"/>
  <c r="M2085" i="5" s="1"/>
  <c r="K2086" i="5"/>
  <c r="L2086" i="5" s="1"/>
  <c r="M2086" i="5" s="1"/>
  <c r="K2087" i="5"/>
  <c r="L2087" i="5" s="1"/>
  <c r="M2087" i="5" s="1"/>
  <c r="K2088" i="5"/>
  <c r="L2088" i="5" s="1"/>
  <c r="M2088" i="5" s="1"/>
  <c r="K2089" i="5"/>
  <c r="L2089" i="5" s="1"/>
  <c r="M2089" i="5" s="1"/>
  <c r="K2090" i="5"/>
  <c r="L2090" i="5" s="1"/>
  <c r="M2090" i="5" s="1"/>
  <c r="K2091" i="5"/>
  <c r="L2091" i="5" s="1"/>
  <c r="M2091" i="5" s="1"/>
  <c r="K2092" i="5"/>
  <c r="L2092" i="5" s="1"/>
  <c r="M2092" i="5" s="1"/>
  <c r="K2093" i="5"/>
  <c r="L2093" i="5" s="1"/>
  <c r="M2093" i="5" s="1"/>
  <c r="K2094" i="5"/>
  <c r="L2094" i="5" s="1"/>
  <c r="M2094" i="5" s="1"/>
  <c r="K2095" i="5"/>
  <c r="L2095" i="5" s="1"/>
  <c r="M2095" i="5" s="1"/>
  <c r="K2096" i="5"/>
  <c r="L2096" i="5" s="1"/>
  <c r="M2096" i="5" s="1"/>
  <c r="K2097" i="5"/>
  <c r="L2097" i="5" s="1"/>
  <c r="M2097" i="5" s="1"/>
  <c r="K2098" i="5"/>
  <c r="L2098" i="5" s="1"/>
  <c r="M2098" i="5" s="1"/>
  <c r="K2099" i="5"/>
  <c r="L2099" i="5" s="1"/>
  <c r="M2099" i="5" s="1"/>
  <c r="K2100" i="5"/>
  <c r="L2100" i="5" s="1"/>
  <c r="M2100" i="5" s="1"/>
  <c r="K2101" i="5"/>
  <c r="L2101" i="5" s="1"/>
  <c r="M2101" i="5" s="1"/>
  <c r="K2102" i="5"/>
  <c r="L2102" i="5" s="1"/>
  <c r="M2102" i="5" s="1"/>
  <c r="K2103" i="5"/>
  <c r="L2103" i="5" s="1"/>
  <c r="M2103" i="5" s="1"/>
  <c r="K2104" i="5"/>
  <c r="L2104" i="5" s="1"/>
  <c r="M2104" i="5" s="1"/>
  <c r="K2105" i="5"/>
  <c r="L2105" i="5" s="1"/>
  <c r="M2105" i="5" s="1"/>
  <c r="K2106" i="5"/>
  <c r="L2106" i="5" s="1"/>
  <c r="M2106" i="5" s="1"/>
  <c r="K2107" i="5"/>
  <c r="L2107" i="5" s="1"/>
  <c r="M2107" i="5" s="1"/>
  <c r="K2108" i="5"/>
  <c r="L2108" i="5" s="1"/>
  <c r="M2108" i="5" s="1"/>
  <c r="K2109" i="5"/>
  <c r="L2109" i="5" s="1"/>
  <c r="M2109" i="5" s="1"/>
  <c r="K2110" i="5"/>
  <c r="L2110" i="5" s="1"/>
  <c r="M2110" i="5" s="1"/>
  <c r="K2111" i="5"/>
  <c r="L2111" i="5" s="1"/>
  <c r="M2111" i="5" s="1"/>
  <c r="K2112" i="5"/>
  <c r="L2112" i="5" s="1"/>
  <c r="M2112" i="5" s="1"/>
  <c r="K2113" i="5"/>
  <c r="L2113" i="5" s="1"/>
  <c r="M2113" i="5" s="1"/>
  <c r="K2114" i="5"/>
  <c r="L2114" i="5" s="1"/>
  <c r="M2114" i="5" s="1"/>
  <c r="K2115" i="5"/>
  <c r="L2115" i="5" s="1"/>
  <c r="M2115" i="5" s="1"/>
  <c r="K2116" i="5"/>
  <c r="L2116" i="5" s="1"/>
  <c r="M2116" i="5" s="1"/>
  <c r="K2117" i="5"/>
  <c r="L2117" i="5" s="1"/>
  <c r="M2117" i="5" s="1"/>
  <c r="K2118" i="5"/>
  <c r="L2118" i="5" s="1"/>
  <c r="M2118" i="5" s="1"/>
  <c r="K2119" i="5"/>
  <c r="L2119" i="5" s="1"/>
  <c r="M2119" i="5" s="1"/>
  <c r="K2120" i="5"/>
  <c r="L2120" i="5" s="1"/>
  <c r="M2120" i="5" s="1"/>
  <c r="K2121" i="5"/>
  <c r="L2121" i="5" s="1"/>
  <c r="M2121" i="5" s="1"/>
  <c r="K2122" i="5"/>
  <c r="L2122" i="5" s="1"/>
  <c r="M2122" i="5" s="1"/>
  <c r="K2123" i="5"/>
  <c r="L2123" i="5" s="1"/>
  <c r="M2123" i="5" s="1"/>
  <c r="K2124" i="5"/>
  <c r="L2124" i="5" s="1"/>
  <c r="M2124" i="5" s="1"/>
  <c r="K2125" i="5"/>
  <c r="L2125" i="5" s="1"/>
  <c r="M2125" i="5" s="1"/>
  <c r="K2126" i="5"/>
  <c r="L2126" i="5" s="1"/>
  <c r="M2126" i="5" s="1"/>
  <c r="K2127" i="5"/>
  <c r="L2127" i="5" s="1"/>
  <c r="M2127" i="5" s="1"/>
  <c r="K2128" i="5"/>
  <c r="L2128" i="5" s="1"/>
  <c r="M2128" i="5" s="1"/>
  <c r="K2129" i="5"/>
  <c r="L2129" i="5" s="1"/>
  <c r="M2129" i="5" s="1"/>
  <c r="K2130" i="5"/>
  <c r="L2130" i="5" s="1"/>
  <c r="M2130" i="5" s="1"/>
  <c r="K2131" i="5"/>
  <c r="K2132" i="5"/>
  <c r="L2132" i="5" s="1"/>
  <c r="M2132" i="5" s="1"/>
  <c r="K2133" i="5"/>
  <c r="L2133" i="5" s="1"/>
  <c r="M2133" i="5" s="1"/>
  <c r="K2134" i="5"/>
  <c r="L2134" i="5" s="1"/>
  <c r="M2134" i="5" s="1"/>
  <c r="K2135" i="5"/>
  <c r="L2135" i="5" s="1"/>
  <c r="M2135" i="5" s="1"/>
  <c r="K2136" i="5"/>
  <c r="L2136" i="5" s="1"/>
  <c r="M2136" i="5" s="1"/>
  <c r="K2137" i="5"/>
  <c r="L2137" i="5" s="1"/>
  <c r="M2137" i="5" s="1"/>
  <c r="K2138" i="5"/>
  <c r="L2138" i="5" s="1"/>
  <c r="M2138" i="5" s="1"/>
  <c r="K2139" i="5"/>
  <c r="L2139" i="5" s="1"/>
  <c r="M2139" i="5" s="1"/>
  <c r="K2140" i="5"/>
  <c r="L2140" i="5" s="1"/>
  <c r="M2140" i="5" s="1"/>
  <c r="K2141" i="5"/>
  <c r="L2141" i="5" s="1"/>
  <c r="M2141" i="5" s="1"/>
  <c r="K2142" i="5"/>
  <c r="L2142" i="5" s="1"/>
  <c r="M2142" i="5" s="1"/>
  <c r="K2143" i="5"/>
  <c r="L2143" i="5" s="1"/>
  <c r="M2143" i="5" s="1"/>
  <c r="K2144" i="5"/>
  <c r="L2144" i="5" s="1"/>
  <c r="M2144" i="5" s="1"/>
  <c r="K2145" i="5"/>
  <c r="L2145" i="5" s="1"/>
  <c r="M2145" i="5" s="1"/>
  <c r="K2146" i="5"/>
  <c r="L2146" i="5" s="1"/>
  <c r="M2146" i="5" s="1"/>
  <c r="K2147" i="5"/>
  <c r="L2147" i="5" s="1"/>
  <c r="M2147" i="5" s="1"/>
  <c r="K2148" i="5"/>
  <c r="L2148" i="5" s="1"/>
  <c r="M2148" i="5" s="1"/>
  <c r="K2149" i="5"/>
  <c r="L2149" i="5" s="1"/>
  <c r="M2149" i="5" s="1"/>
  <c r="K2150" i="5"/>
  <c r="L2150" i="5" s="1"/>
  <c r="M2150" i="5" s="1"/>
  <c r="K2151" i="5"/>
  <c r="L2151" i="5" s="1"/>
  <c r="M2151" i="5" s="1"/>
  <c r="K2152" i="5"/>
  <c r="L2152" i="5" s="1"/>
  <c r="M2152" i="5" s="1"/>
  <c r="K2153" i="5"/>
  <c r="L2153" i="5" s="1"/>
  <c r="M2153" i="5" s="1"/>
  <c r="K2154" i="5"/>
  <c r="L2154" i="5" s="1"/>
  <c r="M2154" i="5" s="1"/>
  <c r="K2155" i="5"/>
  <c r="L2155" i="5" s="1"/>
  <c r="M2155" i="5" s="1"/>
  <c r="K2156" i="5"/>
  <c r="L2156" i="5" s="1"/>
  <c r="M2156" i="5" s="1"/>
  <c r="K2157" i="5"/>
  <c r="L2157" i="5" s="1"/>
  <c r="M2157" i="5" s="1"/>
  <c r="K2158" i="5"/>
  <c r="L2158" i="5" s="1"/>
  <c r="M2158" i="5" s="1"/>
  <c r="K2159" i="5"/>
  <c r="L2159" i="5" s="1"/>
  <c r="M2159" i="5" s="1"/>
  <c r="K2160" i="5"/>
  <c r="L2160" i="5" s="1"/>
  <c r="M2160" i="5" s="1"/>
  <c r="K2161" i="5"/>
  <c r="L2161" i="5" s="1"/>
  <c r="M2161" i="5" s="1"/>
  <c r="K2162" i="5"/>
  <c r="L2162" i="5" s="1"/>
  <c r="M2162" i="5" s="1"/>
  <c r="K2163" i="5"/>
  <c r="L2163" i="5" s="1"/>
  <c r="M2163" i="5" s="1"/>
  <c r="K2164" i="5"/>
  <c r="L2164" i="5" s="1"/>
  <c r="M2164" i="5" s="1"/>
  <c r="K2165" i="5"/>
  <c r="L2165" i="5" s="1"/>
  <c r="M2165" i="5" s="1"/>
  <c r="K2166" i="5"/>
  <c r="L2166" i="5" s="1"/>
  <c r="M2166" i="5" s="1"/>
  <c r="K2167" i="5"/>
  <c r="L2167" i="5" s="1"/>
  <c r="M2167" i="5" s="1"/>
  <c r="K2168" i="5"/>
  <c r="L2168" i="5" s="1"/>
  <c r="M2168" i="5" s="1"/>
  <c r="K2169" i="5"/>
  <c r="L2169" i="5" s="1"/>
  <c r="M2169" i="5" s="1"/>
  <c r="K2170" i="5"/>
  <c r="L2170" i="5" s="1"/>
  <c r="M2170" i="5" s="1"/>
  <c r="K2171" i="5"/>
  <c r="L2171" i="5" s="1"/>
  <c r="M2171" i="5" s="1"/>
  <c r="K2172" i="5"/>
  <c r="L2172" i="5" s="1"/>
  <c r="M2172" i="5" s="1"/>
  <c r="K2173" i="5"/>
  <c r="L2173" i="5" s="1"/>
  <c r="M2173" i="5" s="1"/>
  <c r="K2174" i="5"/>
  <c r="L2174" i="5" s="1"/>
  <c r="M2174" i="5" s="1"/>
  <c r="K2175" i="5"/>
  <c r="L2175" i="5" s="1"/>
  <c r="M2175" i="5" s="1"/>
  <c r="K2176" i="5"/>
  <c r="L2176" i="5" s="1"/>
  <c r="M2176" i="5" s="1"/>
  <c r="K2177" i="5"/>
  <c r="L2177" i="5" s="1"/>
  <c r="M2177" i="5" s="1"/>
  <c r="K2178" i="5"/>
  <c r="L2178" i="5" s="1"/>
  <c r="M2178" i="5" s="1"/>
  <c r="K2179" i="5"/>
  <c r="L2179" i="5" s="1"/>
  <c r="M2179" i="5" s="1"/>
  <c r="K2180" i="5"/>
  <c r="L2180" i="5" s="1"/>
  <c r="M2180" i="5" s="1"/>
  <c r="K2181" i="5"/>
  <c r="L2181" i="5" s="1"/>
  <c r="M2181" i="5" s="1"/>
  <c r="K2182" i="5"/>
  <c r="L2182" i="5" s="1"/>
  <c r="M2182" i="5" s="1"/>
  <c r="K2183" i="5"/>
  <c r="L2183" i="5" s="1"/>
  <c r="M2183" i="5" s="1"/>
  <c r="K2184" i="5"/>
  <c r="L2184" i="5" s="1"/>
  <c r="M2184" i="5" s="1"/>
  <c r="K2185" i="5"/>
  <c r="L2185" i="5" s="1"/>
  <c r="M2185" i="5" s="1"/>
  <c r="K2186" i="5"/>
  <c r="L2186" i="5" s="1"/>
  <c r="M2186" i="5" s="1"/>
  <c r="K2187" i="5"/>
  <c r="L2187" i="5" s="1"/>
  <c r="M2187" i="5" s="1"/>
  <c r="K2188" i="5"/>
  <c r="L2188" i="5" s="1"/>
  <c r="M2188" i="5" s="1"/>
  <c r="K2189" i="5"/>
  <c r="L2189" i="5" s="1"/>
  <c r="M2189" i="5" s="1"/>
  <c r="K2190" i="5"/>
  <c r="L2190" i="5" s="1"/>
  <c r="M2190" i="5" s="1"/>
  <c r="K2191" i="5"/>
  <c r="L2191" i="5" s="1"/>
  <c r="M2191" i="5" s="1"/>
  <c r="K2192" i="5"/>
  <c r="L2192" i="5" s="1"/>
  <c r="M2192" i="5" s="1"/>
  <c r="K2193" i="5"/>
  <c r="L2193" i="5" s="1"/>
  <c r="M2193" i="5" s="1"/>
  <c r="K2194" i="5"/>
  <c r="L2194" i="5" s="1"/>
  <c r="M2194" i="5" s="1"/>
  <c r="K2195" i="5"/>
  <c r="K2196" i="5"/>
  <c r="L2196" i="5" s="1"/>
  <c r="M2196" i="5" s="1"/>
  <c r="K2197" i="5"/>
  <c r="L2197" i="5" s="1"/>
  <c r="M2197" i="5" s="1"/>
  <c r="K2198" i="5"/>
  <c r="L2198" i="5" s="1"/>
  <c r="M2198" i="5" s="1"/>
  <c r="K2199" i="5"/>
  <c r="L2199" i="5" s="1"/>
  <c r="M2199" i="5" s="1"/>
  <c r="K2200" i="5"/>
  <c r="L2200" i="5" s="1"/>
  <c r="M2200" i="5" s="1"/>
  <c r="K2201" i="5"/>
  <c r="L2201" i="5" s="1"/>
  <c r="M2201" i="5" s="1"/>
  <c r="K2202" i="5"/>
  <c r="L2202" i="5" s="1"/>
  <c r="M2202" i="5" s="1"/>
  <c r="K2203" i="5"/>
  <c r="L2203" i="5" s="1"/>
  <c r="M2203" i="5" s="1"/>
  <c r="K2204" i="5"/>
  <c r="L2204" i="5" s="1"/>
  <c r="M2204" i="5" s="1"/>
  <c r="K2205" i="5"/>
  <c r="L2205" i="5" s="1"/>
  <c r="M2205" i="5" s="1"/>
  <c r="K2206" i="5"/>
  <c r="L2206" i="5" s="1"/>
  <c r="M2206" i="5" s="1"/>
  <c r="K2207" i="5"/>
  <c r="L2207" i="5" s="1"/>
  <c r="M2207" i="5" s="1"/>
  <c r="K2208" i="5"/>
  <c r="L2208" i="5" s="1"/>
  <c r="M2208" i="5" s="1"/>
  <c r="K2209" i="5"/>
  <c r="L2209" i="5" s="1"/>
  <c r="M2209" i="5" s="1"/>
  <c r="K2210" i="5"/>
  <c r="L2210" i="5" s="1"/>
  <c r="M2210" i="5" s="1"/>
  <c r="K2211" i="5"/>
  <c r="L2211" i="5" s="1"/>
  <c r="M2211" i="5" s="1"/>
  <c r="K2212" i="5"/>
  <c r="L2212" i="5" s="1"/>
  <c r="M2212" i="5" s="1"/>
  <c r="K2213" i="5"/>
  <c r="L2213" i="5" s="1"/>
  <c r="M2213" i="5" s="1"/>
  <c r="K2214" i="5"/>
  <c r="L2214" i="5" s="1"/>
  <c r="M2214" i="5" s="1"/>
  <c r="K2215" i="5"/>
  <c r="L2215" i="5" s="1"/>
  <c r="M2215" i="5" s="1"/>
  <c r="K2216" i="5"/>
  <c r="L2216" i="5" s="1"/>
  <c r="M2216" i="5" s="1"/>
  <c r="K2217" i="5"/>
  <c r="L2217" i="5" s="1"/>
  <c r="M2217" i="5" s="1"/>
  <c r="K2218" i="5"/>
  <c r="L2218" i="5" s="1"/>
  <c r="M2218" i="5" s="1"/>
  <c r="K2219" i="5"/>
  <c r="L2219" i="5" s="1"/>
  <c r="M2219" i="5" s="1"/>
  <c r="K2220" i="5"/>
  <c r="L2220" i="5" s="1"/>
  <c r="M2220" i="5" s="1"/>
  <c r="K2221" i="5"/>
  <c r="L2221" i="5" s="1"/>
  <c r="M2221" i="5" s="1"/>
  <c r="K2222" i="5"/>
  <c r="L2222" i="5" s="1"/>
  <c r="M2222" i="5" s="1"/>
  <c r="K2223" i="5"/>
  <c r="L2223" i="5" s="1"/>
  <c r="M2223" i="5" s="1"/>
  <c r="K2224" i="5"/>
  <c r="L2224" i="5" s="1"/>
  <c r="M2224" i="5" s="1"/>
  <c r="K2225" i="5"/>
  <c r="L2225" i="5" s="1"/>
  <c r="M2225" i="5" s="1"/>
  <c r="K2226" i="5"/>
  <c r="K2227" i="5"/>
  <c r="K2228" i="5"/>
  <c r="L2228" i="5" s="1"/>
  <c r="M2228" i="5" s="1"/>
  <c r="K2229" i="5"/>
  <c r="L2229" i="5" s="1"/>
  <c r="M2229" i="5" s="1"/>
  <c r="K2230" i="5"/>
  <c r="L2230" i="5" s="1"/>
  <c r="M2230" i="5" s="1"/>
  <c r="K2231" i="5"/>
  <c r="L2231" i="5" s="1"/>
  <c r="M2231" i="5" s="1"/>
  <c r="K2232" i="5"/>
  <c r="L2232" i="5" s="1"/>
  <c r="M2232" i="5" s="1"/>
  <c r="K2233" i="5"/>
  <c r="L2233" i="5" s="1"/>
  <c r="M2233" i="5" s="1"/>
  <c r="K2234" i="5"/>
  <c r="L2234" i="5" s="1"/>
  <c r="M2234" i="5" s="1"/>
  <c r="K2235" i="5"/>
  <c r="L2235" i="5" s="1"/>
  <c r="M2235" i="5" s="1"/>
  <c r="K2236" i="5"/>
  <c r="L2236" i="5" s="1"/>
  <c r="M2236" i="5" s="1"/>
  <c r="K2237" i="5"/>
  <c r="L2237" i="5" s="1"/>
  <c r="M2237" i="5" s="1"/>
  <c r="K2238" i="5"/>
  <c r="L2238" i="5" s="1"/>
  <c r="M2238" i="5" s="1"/>
  <c r="K2239" i="5"/>
  <c r="L2239" i="5" s="1"/>
  <c r="M2239" i="5" s="1"/>
  <c r="K2240" i="5"/>
  <c r="L2240" i="5" s="1"/>
  <c r="M2240" i="5" s="1"/>
  <c r="K2241" i="5"/>
  <c r="L2241" i="5" s="1"/>
  <c r="M2241" i="5" s="1"/>
  <c r="K2242" i="5"/>
  <c r="L2242" i="5" s="1"/>
  <c r="M2242" i="5" s="1"/>
  <c r="K2243" i="5"/>
  <c r="L2243" i="5" s="1"/>
  <c r="M2243" i="5" s="1"/>
  <c r="K2244" i="5"/>
  <c r="L2244" i="5" s="1"/>
  <c r="M2244" i="5" s="1"/>
  <c r="K2245" i="5"/>
  <c r="L2245" i="5" s="1"/>
  <c r="M2245" i="5" s="1"/>
  <c r="K2246" i="5"/>
  <c r="L2246" i="5" s="1"/>
  <c r="M2246" i="5" s="1"/>
  <c r="K2247" i="5"/>
  <c r="L2247" i="5" s="1"/>
  <c r="M2247" i="5" s="1"/>
  <c r="K2248" i="5"/>
  <c r="L2248" i="5" s="1"/>
  <c r="M2248" i="5" s="1"/>
  <c r="K2249" i="5"/>
  <c r="L2249" i="5" s="1"/>
  <c r="M2249" i="5" s="1"/>
  <c r="K2250" i="5"/>
  <c r="L2250" i="5" s="1"/>
  <c r="M2250" i="5" s="1"/>
  <c r="K2251" i="5"/>
  <c r="L2251" i="5" s="1"/>
  <c r="M2251" i="5" s="1"/>
  <c r="K2252" i="5"/>
  <c r="L2252" i="5" s="1"/>
  <c r="M2252" i="5" s="1"/>
  <c r="K2253" i="5"/>
  <c r="L2253" i="5" s="1"/>
  <c r="M2253" i="5" s="1"/>
  <c r="K2254" i="5"/>
  <c r="L2254" i="5" s="1"/>
  <c r="M2254" i="5" s="1"/>
  <c r="K2255" i="5"/>
  <c r="L2255" i="5" s="1"/>
  <c r="M2255" i="5" s="1"/>
  <c r="K2256" i="5"/>
  <c r="L2256" i="5" s="1"/>
  <c r="M2256" i="5" s="1"/>
  <c r="K2257" i="5"/>
  <c r="L2257" i="5" s="1"/>
  <c r="M2257" i="5" s="1"/>
  <c r="K2258" i="5"/>
  <c r="K2259" i="5"/>
  <c r="K2260" i="5"/>
  <c r="L2260" i="5" s="1"/>
  <c r="M2260" i="5" s="1"/>
  <c r="K2261" i="5"/>
  <c r="L2261" i="5" s="1"/>
  <c r="M2261" i="5" s="1"/>
  <c r="K2262" i="5"/>
  <c r="L2262" i="5" s="1"/>
  <c r="M2262" i="5" s="1"/>
  <c r="K2263" i="5"/>
  <c r="L2263" i="5" s="1"/>
  <c r="M2263" i="5" s="1"/>
  <c r="K2264" i="5"/>
  <c r="L2264" i="5" s="1"/>
  <c r="M2264" i="5" s="1"/>
  <c r="K2265" i="5"/>
  <c r="L2265" i="5" s="1"/>
  <c r="M2265" i="5" s="1"/>
  <c r="K2266" i="5"/>
  <c r="L2266" i="5" s="1"/>
  <c r="M2266" i="5" s="1"/>
  <c r="K2267" i="5"/>
  <c r="L2267" i="5" s="1"/>
  <c r="M2267" i="5" s="1"/>
  <c r="K2268" i="5"/>
  <c r="L2268" i="5" s="1"/>
  <c r="M2268" i="5" s="1"/>
  <c r="K2269" i="5"/>
  <c r="L2269" i="5" s="1"/>
  <c r="M2269" i="5" s="1"/>
  <c r="K2270" i="5"/>
  <c r="L2270" i="5" s="1"/>
  <c r="M2270" i="5" s="1"/>
  <c r="K2271" i="5"/>
  <c r="L2271" i="5" s="1"/>
  <c r="M2271" i="5" s="1"/>
  <c r="K2272" i="5"/>
  <c r="L2272" i="5" s="1"/>
  <c r="M2272" i="5" s="1"/>
  <c r="K2273" i="5"/>
  <c r="L2273" i="5" s="1"/>
  <c r="M2273" i="5" s="1"/>
  <c r="K2274" i="5"/>
  <c r="L2274" i="5" s="1"/>
  <c r="M2274" i="5" s="1"/>
  <c r="K2275" i="5"/>
  <c r="L2275" i="5" s="1"/>
  <c r="M2275" i="5" s="1"/>
  <c r="K2276" i="5"/>
  <c r="L2276" i="5" s="1"/>
  <c r="M2276" i="5" s="1"/>
  <c r="K2277" i="5"/>
  <c r="L2277" i="5" s="1"/>
  <c r="M2277" i="5" s="1"/>
  <c r="K2278" i="5"/>
  <c r="L2278" i="5" s="1"/>
  <c r="M2278" i="5" s="1"/>
  <c r="K2279" i="5"/>
  <c r="L2279" i="5" s="1"/>
  <c r="M2279" i="5" s="1"/>
  <c r="K2280" i="5"/>
  <c r="L2280" i="5" s="1"/>
  <c r="M2280" i="5" s="1"/>
  <c r="K2281" i="5"/>
  <c r="L2281" i="5" s="1"/>
  <c r="M2281" i="5" s="1"/>
  <c r="K2282" i="5"/>
  <c r="L2282" i="5" s="1"/>
  <c r="M2282" i="5" s="1"/>
  <c r="K2283" i="5"/>
  <c r="L2283" i="5" s="1"/>
  <c r="M2283" i="5" s="1"/>
  <c r="K2284" i="5"/>
  <c r="L2284" i="5" s="1"/>
  <c r="M2284" i="5" s="1"/>
  <c r="K2285" i="5"/>
  <c r="L2285" i="5" s="1"/>
  <c r="M2285" i="5" s="1"/>
  <c r="K2286" i="5"/>
  <c r="L2286" i="5" s="1"/>
  <c r="M2286" i="5" s="1"/>
  <c r="K2287" i="5"/>
  <c r="L2287" i="5" s="1"/>
  <c r="M2287" i="5" s="1"/>
  <c r="K2288" i="5"/>
  <c r="L2288" i="5" s="1"/>
  <c r="M2288" i="5" s="1"/>
  <c r="K2289" i="5"/>
  <c r="L2289" i="5" s="1"/>
  <c r="M2289" i="5" s="1"/>
  <c r="K2290" i="5"/>
  <c r="K2291" i="5"/>
  <c r="K2292" i="5"/>
  <c r="L2292" i="5" s="1"/>
  <c r="M2292" i="5" s="1"/>
  <c r="K2293" i="5"/>
  <c r="L2293" i="5" s="1"/>
  <c r="M2293" i="5" s="1"/>
  <c r="K2294" i="5"/>
  <c r="L2294" i="5" s="1"/>
  <c r="M2294" i="5" s="1"/>
  <c r="K2295" i="5"/>
  <c r="L2295" i="5" s="1"/>
  <c r="M2295" i="5" s="1"/>
  <c r="K2296" i="5"/>
  <c r="L2296" i="5" s="1"/>
  <c r="M2296" i="5" s="1"/>
  <c r="K2297" i="5"/>
  <c r="L2297" i="5" s="1"/>
  <c r="M2297" i="5" s="1"/>
  <c r="K2298" i="5"/>
  <c r="L2298" i="5" s="1"/>
  <c r="M2298" i="5" s="1"/>
  <c r="K2299" i="5"/>
  <c r="L2299" i="5" s="1"/>
  <c r="M2299" i="5" s="1"/>
  <c r="K2300" i="5"/>
  <c r="L2300" i="5" s="1"/>
  <c r="M2300" i="5" s="1"/>
  <c r="K2301" i="5"/>
  <c r="L2301" i="5" s="1"/>
  <c r="M2301" i="5" s="1"/>
  <c r="K2302" i="5"/>
  <c r="L2302" i="5" s="1"/>
  <c r="M2302" i="5" s="1"/>
  <c r="K2303" i="5"/>
  <c r="L2303" i="5" s="1"/>
  <c r="M2303" i="5" s="1"/>
  <c r="K2304" i="5"/>
  <c r="L2304" i="5" s="1"/>
  <c r="M2304" i="5" s="1"/>
  <c r="K2305" i="5"/>
  <c r="L2305" i="5" s="1"/>
  <c r="M2305" i="5" s="1"/>
  <c r="K2306" i="5"/>
  <c r="L2306" i="5" s="1"/>
  <c r="M2306" i="5" s="1"/>
  <c r="K2307" i="5"/>
  <c r="L2307" i="5" s="1"/>
  <c r="M2307" i="5" s="1"/>
  <c r="K2308" i="5"/>
  <c r="L2308" i="5" s="1"/>
  <c r="M2308" i="5" s="1"/>
  <c r="K2309" i="5"/>
  <c r="L2309" i="5" s="1"/>
  <c r="M2309" i="5" s="1"/>
  <c r="K2310" i="5"/>
  <c r="L2310" i="5" s="1"/>
  <c r="M2310" i="5" s="1"/>
  <c r="K2311" i="5"/>
  <c r="L2311" i="5" s="1"/>
  <c r="M2311" i="5" s="1"/>
  <c r="K2312" i="5"/>
  <c r="L2312" i="5" s="1"/>
  <c r="M2312" i="5" s="1"/>
  <c r="K2313" i="5"/>
  <c r="L2313" i="5" s="1"/>
  <c r="M2313" i="5" s="1"/>
  <c r="K2314" i="5"/>
  <c r="L2314" i="5" s="1"/>
  <c r="M2314" i="5" s="1"/>
  <c r="K2315" i="5"/>
  <c r="L2315" i="5" s="1"/>
  <c r="M2315" i="5" s="1"/>
  <c r="K2316" i="5"/>
  <c r="L2316" i="5" s="1"/>
  <c r="M2316" i="5" s="1"/>
  <c r="K2317" i="5"/>
  <c r="L2317" i="5" s="1"/>
  <c r="M2317" i="5" s="1"/>
  <c r="K2318" i="5"/>
  <c r="L2318" i="5" s="1"/>
  <c r="M2318" i="5" s="1"/>
  <c r="K2319" i="5"/>
  <c r="L2319" i="5" s="1"/>
  <c r="M2319" i="5" s="1"/>
  <c r="K2320" i="5"/>
  <c r="L2320" i="5" s="1"/>
  <c r="M2320" i="5" s="1"/>
  <c r="K2321" i="5"/>
  <c r="L2321" i="5" s="1"/>
  <c r="M2321" i="5" s="1"/>
  <c r="K2322" i="5"/>
  <c r="K2323" i="5"/>
  <c r="K2324" i="5"/>
  <c r="L2324" i="5" s="1"/>
  <c r="M2324" i="5" s="1"/>
  <c r="K2325" i="5"/>
  <c r="L2325" i="5" s="1"/>
  <c r="M2325" i="5" s="1"/>
  <c r="K2326" i="5"/>
  <c r="L2326" i="5" s="1"/>
  <c r="M2326" i="5" s="1"/>
  <c r="K2327" i="5"/>
  <c r="L2327" i="5" s="1"/>
  <c r="M2327" i="5" s="1"/>
  <c r="K2328" i="5"/>
  <c r="L2328" i="5" s="1"/>
  <c r="M2328" i="5" s="1"/>
  <c r="K2329" i="5"/>
  <c r="L2329" i="5" s="1"/>
  <c r="M2329" i="5" s="1"/>
  <c r="K2330" i="5"/>
  <c r="L2330" i="5" s="1"/>
  <c r="M2330" i="5" s="1"/>
  <c r="K2331" i="5"/>
  <c r="L2331" i="5" s="1"/>
  <c r="M2331" i="5" s="1"/>
  <c r="K2332" i="5"/>
  <c r="L2332" i="5" s="1"/>
  <c r="M2332" i="5" s="1"/>
  <c r="K2333" i="5"/>
  <c r="L2333" i="5" s="1"/>
  <c r="M2333" i="5" s="1"/>
  <c r="K2334" i="5"/>
  <c r="L2334" i="5" s="1"/>
  <c r="M2334" i="5" s="1"/>
  <c r="K2335" i="5"/>
  <c r="L2335" i="5" s="1"/>
  <c r="M2335" i="5" s="1"/>
  <c r="K2336" i="5"/>
  <c r="L2336" i="5" s="1"/>
  <c r="M2336" i="5" s="1"/>
  <c r="K2337" i="5"/>
  <c r="L2337" i="5" s="1"/>
  <c r="M2337" i="5" s="1"/>
  <c r="K2338" i="5"/>
  <c r="L2338" i="5" s="1"/>
  <c r="M2338" i="5" s="1"/>
  <c r="K2339" i="5"/>
  <c r="L2339" i="5" s="1"/>
  <c r="M2339" i="5" s="1"/>
  <c r="K2340" i="5"/>
  <c r="L2340" i="5" s="1"/>
  <c r="M2340" i="5" s="1"/>
  <c r="K2341" i="5"/>
  <c r="L2341" i="5" s="1"/>
  <c r="M2341" i="5" s="1"/>
  <c r="K2342" i="5"/>
  <c r="L2342" i="5" s="1"/>
  <c r="M2342" i="5" s="1"/>
  <c r="K2343" i="5"/>
  <c r="L2343" i="5" s="1"/>
  <c r="M2343" i="5" s="1"/>
  <c r="K2344" i="5"/>
  <c r="L2344" i="5" s="1"/>
  <c r="M2344" i="5" s="1"/>
  <c r="K2345" i="5"/>
  <c r="L2345" i="5" s="1"/>
  <c r="M2345" i="5" s="1"/>
  <c r="K2346" i="5"/>
  <c r="L2346" i="5" s="1"/>
  <c r="M2346" i="5" s="1"/>
  <c r="K2347" i="5"/>
  <c r="L2347" i="5" s="1"/>
  <c r="M2347" i="5" s="1"/>
  <c r="K2348" i="5"/>
  <c r="L2348" i="5" s="1"/>
  <c r="M2348" i="5" s="1"/>
  <c r="K2349" i="5"/>
  <c r="L2349" i="5" s="1"/>
  <c r="M2349" i="5" s="1"/>
  <c r="K2350" i="5"/>
  <c r="L2350" i="5" s="1"/>
  <c r="M2350" i="5" s="1"/>
  <c r="K2351" i="5"/>
  <c r="L2351" i="5" s="1"/>
  <c r="M2351" i="5" s="1"/>
  <c r="K2352" i="5"/>
  <c r="L2352" i="5" s="1"/>
  <c r="M2352" i="5" s="1"/>
  <c r="K2353" i="5"/>
  <c r="L2353" i="5" s="1"/>
  <c r="M2353" i="5" s="1"/>
  <c r="K2354" i="5"/>
  <c r="K2355" i="5"/>
  <c r="K2356" i="5"/>
  <c r="L2356" i="5" s="1"/>
  <c r="M2356" i="5" s="1"/>
  <c r="K2357" i="5"/>
  <c r="L2357" i="5" s="1"/>
  <c r="M2357" i="5" s="1"/>
  <c r="K2358" i="5"/>
  <c r="L2358" i="5" s="1"/>
  <c r="M2358" i="5" s="1"/>
  <c r="K2359" i="5"/>
  <c r="L2359" i="5" s="1"/>
  <c r="M2359" i="5" s="1"/>
  <c r="K2360" i="5"/>
  <c r="L2360" i="5" s="1"/>
  <c r="M2360" i="5" s="1"/>
  <c r="K2361" i="5"/>
  <c r="L2361" i="5" s="1"/>
  <c r="M2361" i="5" s="1"/>
  <c r="K2362" i="5"/>
  <c r="L2362" i="5" s="1"/>
  <c r="M2362" i="5" s="1"/>
  <c r="K2363" i="5"/>
  <c r="L2363" i="5" s="1"/>
  <c r="M2363" i="5" s="1"/>
  <c r="K2364" i="5"/>
  <c r="L2364" i="5" s="1"/>
  <c r="M2364" i="5" s="1"/>
  <c r="K2365" i="5"/>
  <c r="L2365" i="5" s="1"/>
  <c r="M2365" i="5" s="1"/>
  <c r="K2366" i="5"/>
  <c r="L2366" i="5" s="1"/>
  <c r="M2366" i="5" s="1"/>
  <c r="K2367" i="5"/>
  <c r="L2367" i="5" s="1"/>
  <c r="M2367" i="5" s="1"/>
  <c r="K2368" i="5"/>
  <c r="L2368" i="5" s="1"/>
  <c r="M2368" i="5" s="1"/>
  <c r="K2369" i="5"/>
  <c r="L2369" i="5" s="1"/>
  <c r="M2369" i="5" s="1"/>
  <c r="K2370" i="5"/>
  <c r="L2370" i="5" s="1"/>
  <c r="M2370" i="5" s="1"/>
  <c r="K2371" i="5"/>
  <c r="L2371" i="5" s="1"/>
  <c r="M2371" i="5" s="1"/>
  <c r="K2372" i="5"/>
  <c r="L2372" i="5" s="1"/>
  <c r="M2372" i="5" s="1"/>
  <c r="K2373" i="5"/>
  <c r="L2373" i="5" s="1"/>
  <c r="M2373" i="5" s="1"/>
  <c r="K2374" i="5"/>
  <c r="L2374" i="5" s="1"/>
  <c r="M2374" i="5" s="1"/>
  <c r="K2375" i="5"/>
  <c r="L2375" i="5" s="1"/>
  <c r="M2375" i="5" s="1"/>
  <c r="K2376" i="5"/>
  <c r="L2376" i="5" s="1"/>
  <c r="M2376" i="5" s="1"/>
  <c r="K2377" i="5"/>
  <c r="L2377" i="5" s="1"/>
  <c r="M2377" i="5" s="1"/>
  <c r="K2378" i="5"/>
  <c r="L2378" i="5" s="1"/>
  <c r="M2378" i="5" s="1"/>
  <c r="K2379" i="5"/>
  <c r="L2379" i="5" s="1"/>
  <c r="M2379" i="5" s="1"/>
  <c r="K2380" i="5"/>
  <c r="L2380" i="5" s="1"/>
  <c r="M2380" i="5" s="1"/>
  <c r="K2381" i="5"/>
  <c r="L2381" i="5" s="1"/>
  <c r="M2381" i="5" s="1"/>
  <c r="K2382" i="5"/>
  <c r="L2382" i="5" s="1"/>
  <c r="M2382" i="5" s="1"/>
  <c r="K2383" i="5"/>
  <c r="L2383" i="5" s="1"/>
  <c r="M2383" i="5" s="1"/>
  <c r="K2384" i="5"/>
  <c r="L2384" i="5" s="1"/>
  <c r="M2384" i="5" s="1"/>
  <c r="K2385" i="5"/>
  <c r="L2385" i="5" s="1"/>
  <c r="M2385" i="5" s="1"/>
  <c r="K2386" i="5"/>
  <c r="K2387" i="5"/>
  <c r="K2388" i="5"/>
  <c r="L2388" i="5" s="1"/>
  <c r="M2388" i="5" s="1"/>
  <c r="K2389" i="5"/>
  <c r="L2389" i="5" s="1"/>
  <c r="M2389" i="5" s="1"/>
  <c r="K2390" i="5"/>
  <c r="L2390" i="5" s="1"/>
  <c r="M2390" i="5" s="1"/>
  <c r="K2391" i="5"/>
  <c r="L2391" i="5" s="1"/>
  <c r="M2391" i="5" s="1"/>
  <c r="K2392" i="5"/>
  <c r="L2392" i="5" s="1"/>
  <c r="M2392" i="5" s="1"/>
  <c r="K2393" i="5"/>
  <c r="L2393" i="5" s="1"/>
  <c r="M2393" i="5" s="1"/>
  <c r="K2394" i="5"/>
  <c r="L2394" i="5" s="1"/>
  <c r="M2394" i="5" s="1"/>
  <c r="K2395" i="5"/>
  <c r="L2395" i="5" s="1"/>
  <c r="M2395" i="5" s="1"/>
  <c r="K2396" i="5"/>
  <c r="L2396" i="5" s="1"/>
  <c r="M2396" i="5" s="1"/>
  <c r="K2397" i="5"/>
  <c r="L2397" i="5" s="1"/>
  <c r="M2397" i="5" s="1"/>
  <c r="K2398" i="5"/>
  <c r="L2398" i="5" s="1"/>
  <c r="M2398" i="5" s="1"/>
  <c r="K2399" i="5"/>
  <c r="L2399" i="5" s="1"/>
  <c r="M2399" i="5" s="1"/>
  <c r="K2400" i="5"/>
  <c r="L2400" i="5" s="1"/>
  <c r="M2400" i="5" s="1"/>
  <c r="K2401" i="5"/>
  <c r="L2401" i="5" s="1"/>
  <c r="M2401" i="5" s="1"/>
  <c r="K2402" i="5"/>
  <c r="L2402" i="5" s="1"/>
  <c r="M2402" i="5" s="1"/>
  <c r="K2403" i="5"/>
  <c r="L2403" i="5" s="1"/>
  <c r="M2403" i="5" s="1"/>
  <c r="K2404" i="5"/>
  <c r="L2404" i="5" s="1"/>
  <c r="M2404" i="5" s="1"/>
  <c r="K2405" i="5"/>
  <c r="L2405" i="5" s="1"/>
  <c r="M2405" i="5" s="1"/>
  <c r="K2406" i="5"/>
  <c r="L2406" i="5" s="1"/>
  <c r="M2406" i="5" s="1"/>
  <c r="K2407" i="5"/>
  <c r="L2407" i="5" s="1"/>
  <c r="M2407" i="5" s="1"/>
  <c r="K2408" i="5"/>
  <c r="L2408" i="5" s="1"/>
  <c r="M2408" i="5" s="1"/>
  <c r="K2409" i="5"/>
  <c r="L2409" i="5" s="1"/>
  <c r="M2409" i="5" s="1"/>
  <c r="K2410" i="5"/>
  <c r="L2410" i="5" s="1"/>
  <c r="M2410" i="5" s="1"/>
  <c r="K2411" i="5"/>
  <c r="L2411" i="5" s="1"/>
  <c r="M2411" i="5" s="1"/>
  <c r="K2412" i="5"/>
  <c r="L2412" i="5" s="1"/>
  <c r="M2412" i="5" s="1"/>
  <c r="K2413" i="5"/>
  <c r="L2413" i="5" s="1"/>
  <c r="M2413" i="5" s="1"/>
  <c r="K2414" i="5"/>
  <c r="L2414" i="5" s="1"/>
  <c r="M2414" i="5" s="1"/>
  <c r="K2415" i="5"/>
  <c r="L2415" i="5" s="1"/>
  <c r="M2415" i="5" s="1"/>
  <c r="K2416" i="5"/>
  <c r="L2416" i="5" s="1"/>
  <c r="M2416" i="5" s="1"/>
  <c r="K2417" i="5"/>
  <c r="L2417" i="5" s="1"/>
  <c r="M2417" i="5" s="1"/>
  <c r="K2418" i="5"/>
  <c r="K2419" i="5"/>
  <c r="K2420" i="5"/>
  <c r="L2420" i="5" s="1"/>
  <c r="M2420" i="5" s="1"/>
  <c r="K2421" i="5"/>
  <c r="L2421" i="5" s="1"/>
  <c r="M2421" i="5" s="1"/>
  <c r="K2422" i="5"/>
  <c r="L2422" i="5" s="1"/>
  <c r="M2422" i="5" s="1"/>
  <c r="K2423" i="5"/>
  <c r="L2423" i="5" s="1"/>
  <c r="M2423" i="5" s="1"/>
  <c r="K2424" i="5"/>
  <c r="L2424" i="5" s="1"/>
  <c r="M2424" i="5" s="1"/>
  <c r="K2425" i="5"/>
  <c r="L2425" i="5" s="1"/>
  <c r="M2425" i="5" s="1"/>
  <c r="K2426" i="5"/>
  <c r="L2426" i="5" s="1"/>
  <c r="M2426" i="5" s="1"/>
  <c r="K2427" i="5"/>
  <c r="L2427" i="5" s="1"/>
  <c r="M2427" i="5" s="1"/>
  <c r="K2428" i="5"/>
  <c r="L2428" i="5" s="1"/>
  <c r="M2428" i="5" s="1"/>
  <c r="K2429" i="5"/>
  <c r="L2429" i="5" s="1"/>
  <c r="M2429" i="5" s="1"/>
  <c r="K2430" i="5"/>
  <c r="L2430" i="5" s="1"/>
  <c r="M2430" i="5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" i="5"/>
  <c r="I3" i="5"/>
  <c r="I2" i="5"/>
  <c r="I2430" i="5"/>
  <c r="I2429" i="5"/>
  <c r="I2428" i="5"/>
  <c r="I2427" i="5"/>
  <c r="I2426" i="5"/>
  <c r="I2425" i="5"/>
  <c r="I2424" i="5"/>
  <c r="I2423" i="5"/>
  <c r="I2422" i="5"/>
  <c r="I2421" i="5"/>
  <c r="I2420" i="5"/>
  <c r="I2419" i="5"/>
  <c r="I2418" i="5"/>
  <c r="I2417" i="5"/>
  <c r="I2416" i="5"/>
  <c r="I2415" i="5"/>
  <c r="I2414" i="5"/>
  <c r="I2413" i="5"/>
  <c r="I2412" i="5"/>
  <c r="I2411" i="5"/>
  <c r="I2410" i="5"/>
  <c r="I2409" i="5"/>
  <c r="I2408" i="5"/>
  <c r="I2407" i="5"/>
  <c r="I2406" i="5"/>
  <c r="I2405" i="5"/>
  <c r="I2404" i="5"/>
  <c r="I2403" i="5"/>
  <c r="I2402" i="5"/>
  <c r="I2401" i="5"/>
  <c r="I2400" i="5"/>
  <c r="I2399" i="5"/>
  <c r="I2398" i="5"/>
  <c r="I2397" i="5"/>
  <c r="I2396" i="5"/>
  <c r="I2395" i="5"/>
  <c r="I2394" i="5"/>
  <c r="I2393" i="5"/>
  <c r="I2392" i="5"/>
  <c r="I2391" i="5"/>
  <c r="I2390" i="5"/>
  <c r="I2389" i="5"/>
  <c r="I2388" i="5"/>
  <c r="I2387" i="5"/>
  <c r="I2386" i="5"/>
  <c r="I2385" i="5"/>
  <c r="I2384" i="5"/>
  <c r="I2383" i="5"/>
  <c r="I2382" i="5"/>
  <c r="I2381" i="5"/>
  <c r="I2380" i="5"/>
  <c r="I2379" i="5"/>
  <c r="I2378" i="5"/>
  <c r="I2377" i="5"/>
  <c r="I2376" i="5"/>
  <c r="I2375" i="5"/>
  <c r="I2374" i="5"/>
  <c r="I2373" i="5"/>
  <c r="I2372" i="5"/>
  <c r="I2371" i="5"/>
  <c r="I2370" i="5"/>
  <c r="I2369" i="5"/>
  <c r="I2368" i="5"/>
  <c r="I2367" i="5"/>
  <c r="I2366" i="5"/>
  <c r="I2365" i="5"/>
  <c r="I2364" i="5"/>
  <c r="I2363" i="5"/>
  <c r="I2362" i="5"/>
  <c r="I2361" i="5"/>
  <c r="I2360" i="5"/>
  <c r="I2359" i="5"/>
  <c r="I2358" i="5"/>
  <c r="I2357" i="5"/>
  <c r="I2356" i="5"/>
  <c r="I2355" i="5"/>
  <c r="I2354" i="5"/>
  <c r="I2353" i="5"/>
  <c r="I2352" i="5"/>
  <c r="I2351" i="5"/>
  <c r="I2350" i="5"/>
  <c r="I2349" i="5"/>
  <c r="I2348" i="5"/>
  <c r="I2347" i="5"/>
  <c r="I2346" i="5"/>
  <c r="I2345" i="5"/>
  <c r="I2344" i="5"/>
  <c r="I2343" i="5"/>
  <c r="I2342" i="5"/>
  <c r="I2341" i="5"/>
  <c r="I2340" i="5"/>
  <c r="I2339" i="5"/>
  <c r="I2338" i="5"/>
  <c r="I2337" i="5"/>
  <c r="I2336" i="5"/>
  <c r="I2335" i="5"/>
  <c r="I2334" i="5"/>
  <c r="I2333" i="5"/>
  <c r="I2332" i="5"/>
  <c r="I2331" i="5"/>
  <c r="I2330" i="5"/>
  <c r="I2329" i="5"/>
  <c r="I2328" i="5"/>
  <c r="I2327" i="5"/>
  <c r="I2326" i="5"/>
  <c r="I2325" i="5"/>
  <c r="I2324" i="5"/>
  <c r="I2323" i="5"/>
  <c r="I2322" i="5"/>
  <c r="I2321" i="5"/>
  <c r="I2320" i="5"/>
  <c r="I2319" i="5"/>
  <c r="I2318" i="5"/>
  <c r="I2317" i="5"/>
  <c r="I2316" i="5"/>
  <c r="I2315" i="5"/>
  <c r="I2314" i="5"/>
  <c r="I2313" i="5"/>
  <c r="I2312" i="5"/>
  <c r="I2311" i="5"/>
  <c r="I2310" i="5"/>
  <c r="I2309" i="5"/>
  <c r="I2308" i="5"/>
  <c r="I2307" i="5"/>
  <c r="I2306" i="5"/>
  <c r="I2305" i="5"/>
  <c r="I2304" i="5"/>
  <c r="I2303" i="5"/>
  <c r="I2302" i="5"/>
  <c r="I2301" i="5"/>
  <c r="I2300" i="5"/>
  <c r="I2299" i="5"/>
  <c r="I2298" i="5"/>
  <c r="I2297" i="5"/>
  <c r="I2296" i="5"/>
  <c r="I2295" i="5"/>
  <c r="I2294" i="5"/>
  <c r="I2293" i="5"/>
  <c r="I2292" i="5"/>
  <c r="I2291" i="5"/>
  <c r="I2290" i="5"/>
  <c r="I2289" i="5"/>
  <c r="I2288" i="5"/>
  <c r="I2287" i="5"/>
  <c r="I2286" i="5"/>
  <c r="I2285" i="5"/>
  <c r="I2284" i="5"/>
  <c r="I2283" i="5"/>
  <c r="I2282" i="5"/>
  <c r="I2281" i="5"/>
  <c r="I2280" i="5"/>
  <c r="I2279" i="5"/>
  <c r="I2278" i="5"/>
  <c r="I2277" i="5"/>
  <c r="I2276" i="5"/>
  <c r="I2275" i="5"/>
  <c r="I2274" i="5"/>
  <c r="I2273" i="5"/>
  <c r="I2272" i="5"/>
  <c r="I2271" i="5"/>
  <c r="I2270" i="5"/>
  <c r="I2269" i="5"/>
  <c r="I2268" i="5"/>
  <c r="I2267" i="5"/>
  <c r="I2266" i="5"/>
  <c r="I2265" i="5"/>
  <c r="I2264" i="5"/>
  <c r="I2263" i="5"/>
  <c r="I2262" i="5"/>
  <c r="I2261" i="5"/>
  <c r="I2260" i="5"/>
  <c r="I2259" i="5"/>
  <c r="I2258" i="5"/>
  <c r="I2257" i="5"/>
  <c r="I2256" i="5"/>
  <c r="I2255" i="5"/>
  <c r="I2254" i="5"/>
  <c r="I2253" i="5"/>
  <c r="I2252" i="5"/>
  <c r="I2251" i="5"/>
  <c r="I2250" i="5"/>
  <c r="I2249" i="5"/>
  <c r="I2248" i="5"/>
  <c r="I2247" i="5"/>
  <c r="I2246" i="5"/>
  <c r="I2245" i="5"/>
  <c r="I2244" i="5"/>
  <c r="I2243" i="5"/>
  <c r="I2242" i="5"/>
  <c r="I2241" i="5"/>
  <c r="I2240" i="5"/>
  <c r="I2239" i="5"/>
  <c r="I2238" i="5"/>
  <c r="I2237" i="5"/>
  <c r="I2236" i="5"/>
  <c r="I2235" i="5"/>
  <c r="I2234" i="5"/>
  <c r="I2233" i="5"/>
  <c r="I2232" i="5"/>
  <c r="I2231" i="5"/>
  <c r="I2230" i="5"/>
  <c r="I2229" i="5"/>
  <c r="I2228" i="5"/>
  <c r="I2227" i="5"/>
  <c r="I2226" i="5"/>
  <c r="I2225" i="5"/>
  <c r="I2224" i="5"/>
  <c r="I2223" i="5"/>
  <c r="I2222" i="5"/>
  <c r="I2221" i="5"/>
  <c r="I2220" i="5"/>
  <c r="I2219" i="5"/>
  <c r="I2218" i="5"/>
  <c r="I2217" i="5"/>
  <c r="I2216" i="5"/>
  <c r="I2215" i="5"/>
  <c r="I2214" i="5"/>
  <c r="I2213" i="5"/>
  <c r="I2212" i="5"/>
  <c r="I2211" i="5"/>
  <c r="I2210" i="5"/>
  <c r="I2209" i="5"/>
  <c r="I2208" i="5"/>
  <c r="I2207" i="5"/>
  <c r="I2206" i="5"/>
  <c r="I2205" i="5"/>
  <c r="I2204" i="5"/>
  <c r="I2203" i="5"/>
  <c r="I2202" i="5"/>
  <c r="I2201" i="5"/>
  <c r="I2200" i="5"/>
  <c r="I2199" i="5"/>
  <c r="I2198" i="5"/>
  <c r="I2197" i="5"/>
  <c r="I2196" i="5"/>
  <c r="I2195" i="5"/>
  <c r="I2194" i="5"/>
  <c r="I2193" i="5"/>
  <c r="I2192" i="5"/>
  <c r="I2191" i="5"/>
  <c r="I2190" i="5"/>
  <c r="I2189" i="5"/>
  <c r="I2188" i="5"/>
  <c r="I2187" i="5"/>
  <c r="I2186" i="5"/>
  <c r="I2185" i="5"/>
  <c r="I2184" i="5"/>
  <c r="I2183" i="5"/>
  <c r="I2182" i="5"/>
  <c r="I2181" i="5"/>
  <c r="I2180" i="5"/>
  <c r="I2179" i="5"/>
  <c r="I2178" i="5"/>
  <c r="I2177" i="5"/>
  <c r="I2176" i="5"/>
  <c r="I2175" i="5"/>
  <c r="I2174" i="5"/>
  <c r="I2173" i="5"/>
  <c r="I2172" i="5"/>
  <c r="I2171" i="5"/>
  <c r="I2170" i="5"/>
  <c r="I2169" i="5"/>
  <c r="I2168" i="5"/>
  <c r="I2167" i="5"/>
  <c r="I2166" i="5"/>
  <c r="I2165" i="5"/>
  <c r="I2164" i="5"/>
  <c r="I2163" i="5"/>
  <c r="I2162" i="5"/>
  <c r="I2161" i="5"/>
  <c r="I2160" i="5"/>
  <c r="I2159" i="5"/>
  <c r="I2158" i="5"/>
  <c r="I2157" i="5"/>
  <c r="I2156" i="5"/>
  <c r="I2155" i="5"/>
  <c r="I2154" i="5"/>
  <c r="I2153" i="5"/>
  <c r="I2152" i="5"/>
  <c r="I2151" i="5"/>
  <c r="I2150" i="5"/>
  <c r="I2149" i="5"/>
  <c r="I2148" i="5"/>
  <c r="I2147" i="5"/>
  <c r="I2146" i="5"/>
  <c r="I2145" i="5"/>
  <c r="I2144" i="5"/>
  <c r="I2143" i="5"/>
  <c r="I2142" i="5"/>
  <c r="I2141" i="5"/>
  <c r="I2140" i="5"/>
  <c r="I2139" i="5"/>
  <c r="I2138" i="5"/>
  <c r="I2137" i="5"/>
  <c r="I2136" i="5"/>
  <c r="I2135" i="5"/>
  <c r="I2134" i="5"/>
  <c r="I2133" i="5"/>
  <c r="I2132" i="5"/>
  <c r="I2131" i="5"/>
  <c r="I2130" i="5"/>
  <c r="I2129" i="5"/>
  <c r="I2128" i="5"/>
  <c r="I2127" i="5"/>
  <c r="I2126" i="5"/>
  <c r="I2125" i="5"/>
  <c r="I2124" i="5"/>
  <c r="I2123" i="5"/>
  <c r="I2122" i="5"/>
  <c r="I2121" i="5"/>
  <c r="I2120" i="5"/>
  <c r="I2119" i="5"/>
  <c r="I2118" i="5"/>
  <c r="I2117" i="5"/>
  <c r="I2116" i="5"/>
  <c r="I2115" i="5"/>
  <c r="I2114" i="5"/>
  <c r="I2113" i="5"/>
  <c r="I2112" i="5"/>
  <c r="I2111" i="5"/>
  <c r="I2110" i="5"/>
  <c r="I2109" i="5"/>
  <c r="I2108" i="5"/>
  <c r="I2107" i="5"/>
  <c r="I2106" i="5"/>
  <c r="I2105" i="5"/>
  <c r="I2104" i="5"/>
  <c r="I2103" i="5"/>
  <c r="I2102" i="5"/>
  <c r="I2101" i="5"/>
  <c r="I2100" i="5"/>
  <c r="I2099" i="5"/>
  <c r="I2098" i="5"/>
  <c r="I2097" i="5"/>
  <c r="I2096" i="5"/>
  <c r="I2095" i="5"/>
  <c r="I2094" i="5"/>
  <c r="I2093" i="5"/>
  <c r="I2092" i="5"/>
  <c r="I2091" i="5"/>
  <c r="I2090" i="5"/>
  <c r="I2089" i="5"/>
  <c r="I2088" i="5"/>
  <c r="I2087" i="5"/>
  <c r="I2086" i="5"/>
  <c r="I2085" i="5"/>
  <c r="I2084" i="5"/>
  <c r="I2083" i="5"/>
  <c r="I2082" i="5"/>
  <c r="I2081" i="5"/>
  <c r="I2080" i="5"/>
  <c r="I2079" i="5"/>
  <c r="I2078" i="5"/>
  <c r="I2077" i="5"/>
  <c r="I2076" i="5"/>
  <c r="I2075" i="5"/>
  <c r="I2074" i="5"/>
  <c r="I2073" i="5"/>
  <c r="I2072" i="5"/>
  <c r="I2071" i="5"/>
  <c r="I2070" i="5"/>
  <c r="I2069" i="5"/>
  <c r="I2068" i="5"/>
  <c r="I2067" i="5"/>
  <c r="I2066" i="5"/>
  <c r="I2065" i="5"/>
  <c r="I2064" i="5"/>
  <c r="I2063" i="5"/>
  <c r="I2062" i="5"/>
  <c r="I2061" i="5"/>
  <c r="I2060" i="5"/>
  <c r="I2059" i="5"/>
  <c r="I2058" i="5"/>
  <c r="I2057" i="5"/>
  <c r="I2056" i="5"/>
  <c r="I2055" i="5"/>
  <c r="I2054" i="5"/>
  <c r="I2053" i="5"/>
  <c r="I2052" i="5"/>
  <c r="I2051" i="5"/>
  <c r="I2050" i="5"/>
  <c r="I2049" i="5"/>
  <c r="I2048" i="5"/>
  <c r="I2047" i="5"/>
  <c r="I2046" i="5"/>
  <c r="I2045" i="5"/>
  <c r="I2044" i="5"/>
  <c r="I2043" i="5"/>
  <c r="I2042" i="5"/>
  <c r="I2041" i="5"/>
  <c r="I2040" i="5"/>
  <c r="I2039" i="5"/>
  <c r="I2038" i="5"/>
  <c r="I2037" i="5"/>
  <c r="I2036" i="5"/>
  <c r="I2035" i="5"/>
  <c r="I2034" i="5"/>
  <c r="I2033" i="5"/>
  <c r="I2032" i="5"/>
  <c r="I2031" i="5"/>
  <c r="I2030" i="5"/>
  <c r="I2029" i="5"/>
  <c r="I2028" i="5"/>
  <c r="I2027" i="5"/>
  <c r="I2026" i="5"/>
  <c r="I2025" i="5"/>
  <c r="I2024" i="5"/>
  <c r="I2023" i="5"/>
  <c r="I2022" i="5"/>
  <c r="I2021" i="5"/>
  <c r="I2020" i="5"/>
  <c r="I2019" i="5"/>
  <c r="I2018" i="5"/>
  <c r="I2017" i="5"/>
  <c r="I2016" i="5"/>
  <c r="I2015" i="5"/>
  <c r="I2014" i="5"/>
  <c r="I2013" i="5"/>
  <c r="I2012" i="5"/>
  <c r="I2011" i="5"/>
  <c r="I2010" i="5"/>
  <c r="I2009" i="5"/>
  <c r="I2008" i="5"/>
  <c r="I2007" i="5"/>
  <c r="I2006" i="5"/>
  <c r="I2005" i="5"/>
  <c r="I2004" i="5"/>
  <c r="I2003" i="5"/>
  <c r="I2002" i="5"/>
  <c r="I2001" i="5"/>
  <c r="I2000" i="5"/>
  <c r="I1999" i="5"/>
  <c r="I1998" i="5"/>
  <c r="I1997" i="5"/>
  <c r="I1996" i="5"/>
  <c r="I1995" i="5"/>
  <c r="I1994" i="5"/>
  <c r="I1993" i="5"/>
  <c r="I1992" i="5"/>
  <c r="I1991" i="5"/>
  <c r="I1990" i="5"/>
  <c r="I1989" i="5"/>
  <c r="I1988" i="5"/>
  <c r="I1987" i="5"/>
  <c r="I1986" i="5"/>
  <c r="I1985" i="5"/>
  <c r="I1984" i="5"/>
  <c r="I1983" i="5"/>
  <c r="I1982" i="5"/>
  <c r="I1981" i="5"/>
  <c r="I1980" i="5"/>
  <c r="I1979" i="5"/>
  <c r="I1978" i="5"/>
  <c r="I1977" i="5"/>
  <c r="I1976" i="5"/>
  <c r="I1975" i="5"/>
  <c r="I1974" i="5"/>
  <c r="I1973" i="5"/>
  <c r="I1972" i="5"/>
  <c r="I1971" i="5"/>
  <c r="I1970" i="5"/>
  <c r="I1969" i="5"/>
  <c r="I1968" i="5"/>
  <c r="I1967" i="5"/>
  <c r="I1966" i="5"/>
  <c r="I1965" i="5"/>
  <c r="I1964" i="5"/>
  <c r="I1963" i="5"/>
  <c r="I1962" i="5"/>
  <c r="I1961" i="5"/>
  <c r="I1960" i="5"/>
  <c r="I1959" i="5"/>
  <c r="I1958" i="5"/>
  <c r="I1957" i="5"/>
  <c r="I1956" i="5"/>
  <c r="I1955" i="5"/>
  <c r="I1954" i="5"/>
  <c r="I1953" i="5"/>
  <c r="I1952" i="5"/>
  <c r="I1951" i="5"/>
  <c r="I1950" i="5"/>
  <c r="I1949" i="5"/>
  <c r="I1948" i="5"/>
  <c r="I1947" i="5"/>
  <c r="I1946" i="5"/>
  <c r="I1945" i="5"/>
  <c r="I1944" i="5"/>
  <c r="I1943" i="5"/>
  <c r="I1942" i="5"/>
  <c r="I1941" i="5"/>
  <c r="I1940" i="5"/>
  <c r="I1939" i="5"/>
  <c r="I1938" i="5"/>
  <c r="I1937" i="5"/>
  <c r="I1936" i="5"/>
  <c r="I1935" i="5"/>
  <c r="I1934" i="5"/>
  <c r="I1933" i="5"/>
  <c r="I1932" i="5"/>
  <c r="I1931" i="5"/>
  <c r="I1930" i="5"/>
  <c r="I1929" i="5"/>
  <c r="I1928" i="5"/>
  <c r="I1927" i="5"/>
  <c r="I1926" i="5"/>
  <c r="I1925" i="5"/>
  <c r="I1924" i="5"/>
  <c r="I1923" i="5"/>
  <c r="I1922" i="5"/>
  <c r="I1921" i="5"/>
  <c r="I1920" i="5"/>
  <c r="I1919" i="5"/>
  <c r="I1918" i="5"/>
  <c r="I1917" i="5"/>
  <c r="I1916" i="5"/>
  <c r="I1915" i="5"/>
  <c r="I1914" i="5"/>
  <c r="I1913" i="5"/>
  <c r="I1912" i="5"/>
  <c r="I1911" i="5"/>
  <c r="I1910" i="5"/>
  <c r="I1909" i="5"/>
  <c r="I1908" i="5"/>
  <c r="I1907" i="5"/>
  <c r="I1906" i="5"/>
  <c r="I1905" i="5"/>
  <c r="I1904" i="5"/>
  <c r="I1903" i="5"/>
  <c r="I1902" i="5"/>
  <c r="I1901" i="5"/>
  <c r="I1900" i="5"/>
  <c r="I1899" i="5"/>
  <c r="I1898" i="5"/>
  <c r="I1897" i="5"/>
  <c r="I1896" i="5"/>
  <c r="I1895" i="5"/>
  <c r="I1894" i="5"/>
  <c r="I1893" i="5"/>
  <c r="I1892" i="5"/>
  <c r="I1891" i="5"/>
  <c r="I1890" i="5"/>
  <c r="I1889" i="5"/>
  <c r="I1888" i="5"/>
  <c r="I1887" i="5"/>
  <c r="I1886" i="5"/>
  <c r="I1885" i="5"/>
  <c r="I1884" i="5"/>
  <c r="I1883" i="5"/>
  <c r="I1882" i="5"/>
  <c r="I1881" i="5"/>
  <c r="I1880" i="5"/>
  <c r="I1879" i="5"/>
  <c r="I1878" i="5"/>
  <c r="I1877" i="5"/>
  <c r="I1876" i="5"/>
  <c r="I1875" i="5"/>
  <c r="I1874" i="5"/>
  <c r="I1873" i="5"/>
  <c r="I1872" i="5"/>
  <c r="I1871" i="5"/>
  <c r="I1870" i="5"/>
  <c r="I1869" i="5"/>
  <c r="I1868" i="5"/>
  <c r="I1867" i="5"/>
  <c r="I1866" i="5"/>
  <c r="I1865" i="5"/>
  <c r="I1864" i="5"/>
  <c r="I1863" i="5"/>
  <c r="I1862" i="5"/>
  <c r="I1861" i="5"/>
  <c r="I1860" i="5"/>
  <c r="I1859" i="5"/>
  <c r="I1858" i="5"/>
  <c r="I1857" i="5"/>
  <c r="I1856" i="5"/>
  <c r="I1855" i="5"/>
  <c r="I1854" i="5"/>
  <c r="I1853" i="5"/>
  <c r="I1852" i="5"/>
  <c r="I1851" i="5"/>
  <c r="I1850" i="5"/>
  <c r="I1849" i="5"/>
  <c r="I1848" i="5"/>
  <c r="I1847" i="5"/>
  <c r="I1846" i="5"/>
  <c r="I1845" i="5"/>
  <c r="I1844" i="5"/>
  <c r="I1843" i="5"/>
  <c r="I1842" i="5"/>
  <c r="I1841" i="5"/>
  <c r="I1840" i="5"/>
  <c r="I1839" i="5"/>
  <c r="I1838" i="5"/>
  <c r="I1837" i="5"/>
  <c r="I1836" i="5"/>
  <c r="I1835" i="5"/>
  <c r="I1834" i="5"/>
  <c r="I1833" i="5"/>
  <c r="I1832" i="5"/>
  <c r="I1831" i="5"/>
  <c r="I1830" i="5"/>
  <c r="I1829" i="5"/>
  <c r="I1828" i="5"/>
  <c r="I1827" i="5"/>
  <c r="I1826" i="5"/>
  <c r="I1825" i="5"/>
  <c r="I1824" i="5"/>
  <c r="I1823" i="5"/>
  <c r="I1822" i="5"/>
  <c r="I1821" i="5"/>
  <c r="I1820" i="5"/>
  <c r="I1819" i="5"/>
  <c r="I1818" i="5"/>
  <c r="I1817" i="5"/>
  <c r="I1816" i="5"/>
  <c r="I1815" i="5"/>
  <c r="I1814" i="5"/>
  <c r="I1813" i="5"/>
  <c r="I1812" i="5"/>
  <c r="I1811" i="5"/>
  <c r="I1810" i="5"/>
  <c r="I1809" i="5"/>
  <c r="I1808" i="5"/>
  <c r="I1807" i="5"/>
  <c r="I1806" i="5"/>
  <c r="I1805" i="5"/>
  <c r="I1804" i="5"/>
  <c r="I1803" i="5"/>
  <c r="I1802" i="5"/>
  <c r="I1801" i="5"/>
  <c r="I1800" i="5"/>
  <c r="I1799" i="5"/>
  <c r="I1798" i="5"/>
  <c r="I1797" i="5"/>
  <c r="I1796" i="5"/>
  <c r="I1795" i="5"/>
  <c r="I1794" i="5"/>
  <c r="I1793" i="5"/>
  <c r="I1792" i="5"/>
  <c r="I1791" i="5"/>
  <c r="I1790" i="5"/>
  <c r="I1789" i="5"/>
  <c r="I1788" i="5"/>
  <c r="I1787" i="5"/>
  <c r="I1786" i="5"/>
  <c r="I1785" i="5"/>
  <c r="I1784" i="5"/>
  <c r="I1783" i="5"/>
  <c r="I1782" i="5"/>
  <c r="I1781" i="5"/>
  <c r="I1780" i="5"/>
  <c r="I1779" i="5"/>
  <c r="I1778" i="5"/>
  <c r="I1777" i="5"/>
  <c r="I1776" i="5"/>
  <c r="I1775" i="5"/>
  <c r="I1774" i="5"/>
  <c r="I1773" i="5"/>
  <c r="I1772" i="5"/>
  <c r="I1771" i="5"/>
  <c r="I1770" i="5"/>
  <c r="I1769" i="5"/>
  <c r="I1768" i="5"/>
  <c r="I1767" i="5"/>
  <c r="I1766" i="5"/>
  <c r="I1765" i="5"/>
  <c r="I1764" i="5"/>
  <c r="I1763" i="5"/>
  <c r="I1762" i="5"/>
  <c r="I1761" i="5"/>
  <c r="I1760" i="5"/>
  <c r="I1759" i="5"/>
  <c r="I1758" i="5"/>
  <c r="I1757" i="5"/>
  <c r="I1756" i="5"/>
  <c r="I1755" i="5"/>
  <c r="I1754" i="5"/>
  <c r="I1753" i="5"/>
  <c r="I1752" i="5"/>
  <c r="I1751" i="5"/>
  <c r="I1750" i="5"/>
  <c r="I1749" i="5"/>
  <c r="I1748" i="5"/>
  <c r="I1747" i="5"/>
  <c r="I1746" i="5"/>
  <c r="I1745" i="5"/>
  <c r="I1744" i="5"/>
  <c r="I1743" i="5"/>
  <c r="I1742" i="5"/>
  <c r="I1741" i="5"/>
  <c r="I1740" i="5"/>
  <c r="I1739" i="5"/>
  <c r="I1738" i="5"/>
  <c r="I1737" i="5"/>
  <c r="I1736" i="5"/>
  <c r="I1735" i="5"/>
  <c r="I1734" i="5"/>
  <c r="I1733" i="5"/>
  <c r="I1732" i="5"/>
  <c r="I1731" i="5"/>
  <c r="I1730" i="5"/>
  <c r="I1729" i="5"/>
  <c r="I1728" i="5"/>
  <c r="I1727" i="5"/>
  <c r="I1726" i="5"/>
  <c r="I1725" i="5"/>
  <c r="I1724" i="5"/>
  <c r="I1723" i="5"/>
  <c r="I1722" i="5"/>
  <c r="I1721" i="5"/>
  <c r="I1720" i="5"/>
  <c r="I1719" i="5"/>
  <c r="I1718" i="5"/>
  <c r="I1717" i="5"/>
  <c r="I1716" i="5"/>
  <c r="I1715" i="5"/>
  <c r="I1714" i="5"/>
  <c r="I1713" i="5"/>
  <c r="I1712" i="5"/>
  <c r="I1711" i="5"/>
  <c r="I1710" i="5"/>
  <c r="I1709" i="5"/>
  <c r="I1708" i="5"/>
  <c r="I1707" i="5"/>
  <c r="I1706" i="5"/>
  <c r="I1705" i="5"/>
  <c r="I1704" i="5"/>
  <c r="I1703" i="5"/>
  <c r="I1702" i="5"/>
  <c r="I1701" i="5"/>
  <c r="I1700" i="5"/>
  <c r="I1699" i="5"/>
  <c r="I1698" i="5"/>
  <c r="I1697" i="5"/>
  <c r="I1696" i="5"/>
  <c r="I1695" i="5"/>
  <c r="I1694" i="5"/>
  <c r="I1693" i="5"/>
  <c r="I1692" i="5"/>
  <c r="I1691" i="5"/>
  <c r="I1690" i="5"/>
  <c r="I1689" i="5"/>
  <c r="I1688" i="5"/>
  <c r="I1687" i="5"/>
  <c r="I1686" i="5"/>
  <c r="I1685" i="5"/>
  <c r="I1684" i="5"/>
  <c r="I1683" i="5"/>
  <c r="I1682" i="5"/>
  <c r="I1681" i="5"/>
  <c r="I1680" i="5"/>
  <c r="I1679" i="5"/>
  <c r="I1678" i="5"/>
  <c r="I1677" i="5"/>
  <c r="I1676" i="5"/>
  <c r="I1675" i="5"/>
  <c r="I1674" i="5"/>
  <c r="I1673" i="5"/>
  <c r="I1672" i="5"/>
  <c r="I1671" i="5"/>
  <c r="I1670" i="5"/>
  <c r="I1669" i="5"/>
  <c r="I1668" i="5"/>
  <c r="I1667" i="5"/>
  <c r="I1666" i="5"/>
  <c r="I1665" i="5"/>
  <c r="I1664" i="5"/>
  <c r="I1663" i="5"/>
  <c r="I1662" i="5"/>
  <c r="I1661" i="5"/>
  <c r="I1660" i="5"/>
  <c r="I1659" i="5"/>
  <c r="I1658" i="5"/>
  <c r="I1657" i="5"/>
  <c r="I1656" i="5"/>
  <c r="I1655" i="5"/>
  <c r="I1654" i="5"/>
  <c r="I1653" i="5"/>
  <c r="I1652" i="5"/>
  <c r="I1651" i="5"/>
  <c r="I1650" i="5"/>
  <c r="I1649" i="5"/>
  <c r="I1648" i="5"/>
  <c r="I1647" i="5"/>
  <c r="I1646" i="5"/>
  <c r="I1645" i="5"/>
  <c r="I1644" i="5"/>
  <c r="I1643" i="5"/>
  <c r="I1642" i="5"/>
  <c r="I1641" i="5"/>
  <c r="I1640" i="5"/>
  <c r="I1639" i="5"/>
  <c r="I1638" i="5"/>
  <c r="I1637" i="5"/>
  <c r="I1636" i="5"/>
  <c r="I1635" i="5"/>
  <c r="I1634" i="5"/>
  <c r="I1633" i="5"/>
  <c r="I1632" i="5"/>
  <c r="I1631" i="5"/>
  <c r="I1630" i="5"/>
  <c r="I1629" i="5"/>
  <c r="I1628" i="5"/>
  <c r="I1627" i="5"/>
  <c r="I1626" i="5"/>
  <c r="I1625" i="5"/>
  <c r="I1624" i="5"/>
  <c r="I1623" i="5"/>
  <c r="I1622" i="5"/>
  <c r="I1621" i="5"/>
  <c r="I1620" i="5"/>
  <c r="I1619" i="5"/>
  <c r="I1618" i="5"/>
  <c r="I1617" i="5"/>
  <c r="I1616" i="5"/>
  <c r="I1615" i="5"/>
  <c r="I1614" i="5"/>
  <c r="I1613" i="5"/>
  <c r="I1612" i="5"/>
  <c r="I1611" i="5"/>
  <c r="I1610" i="5"/>
  <c r="I1609" i="5"/>
  <c r="I1608" i="5"/>
  <c r="I1607" i="5"/>
  <c r="I1606" i="5"/>
  <c r="I1605" i="5"/>
  <c r="I1604" i="5"/>
  <c r="I1603" i="5"/>
  <c r="I1602" i="5"/>
  <c r="I1601" i="5"/>
  <c r="I1600" i="5"/>
  <c r="I1599" i="5"/>
  <c r="I1598" i="5"/>
  <c r="I1597" i="5"/>
  <c r="I1596" i="5"/>
  <c r="I1595" i="5"/>
  <c r="I1594" i="5"/>
  <c r="I1593" i="5"/>
  <c r="I1592" i="5"/>
  <c r="I1591" i="5"/>
  <c r="I1590" i="5"/>
  <c r="I1589" i="5"/>
  <c r="I1588" i="5"/>
  <c r="I1587" i="5"/>
  <c r="I1586" i="5"/>
  <c r="I1585" i="5"/>
  <c r="I1584" i="5"/>
  <c r="I1583" i="5"/>
  <c r="I1582" i="5"/>
  <c r="I1581" i="5"/>
  <c r="I1580" i="5"/>
  <c r="I1579" i="5"/>
  <c r="I1578" i="5"/>
  <c r="I1577" i="5"/>
  <c r="I1576" i="5"/>
  <c r="I1575" i="5"/>
  <c r="I1574" i="5"/>
  <c r="I1573" i="5"/>
  <c r="I1572" i="5"/>
  <c r="I1571" i="5"/>
  <c r="I1570" i="5"/>
  <c r="I1569" i="5"/>
  <c r="I1568" i="5"/>
  <c r="I1567" i="5"/>
  <c r="I1566" i="5"/>
  <c r="I1565" i="5"/>
  <c r="I1564" i="5"/>
  <c r="I1563" i="5"/>
  <c r="I1562" i="5"/>
  <c r="I1561" i="5"/>
  <c r="I1560" i="5"/>
  <c r="I1559" i="5"/>
  <c r="I1558" i="5"/>
  <c r="I1557" i="5"/>
  <c r="I1556" i="5"/>
  <c r="I1555" i="5"/>
  <c r="I1554" i="5"/>
  <c r="I1553" i="5"/>
  <c r="I1552" i="5"/>
  <c r="I1551" i="5"/>
  <c r="I1550" i="5"/>
  <c r="I1549" i="5"/>
  <c r="I1548" i="5"/>
  <c r="I1547" i="5"/>
  <c r="I1546" i="5"/>
  <c r="I1545" i="5"/>
  <c r="I1544" i="5"/>
  <c r="I1543" i="5"/>
  <c r="I1542" i="5"/>
  <c r="I1541" i="5"/>
  <c r="I1540" i="5"/>
  <c r="I1539" i="5"/>
  <c r="I1538" i="5"/>
  <c r="I1537" i="5"/>
  <c r="I1536" i="5"/>
  <c r="I1535" i="5"/>
  <c r="I1534" i="5"/>
  <c r="I1533" i="5"/>
  <c r="I1532" i="5"/>
  <c r="I1531" i="5"/>
  <c r="I1530" i="5"/>
  <c r="I1529" i="5"/>
  <c r="I1528" i="5"/>
  <c r="I1527" i="5"/>
  <c r="I1526" i="5"/>
  <c r="I1525" i="5"/>
  <c r="I1524" i="5"/>
  <c r="I1523" i="5"/>
  <c r="I1522" i="5"/>
  <c r="I1521" i="5"/>
  <c r="I1520" i="5"/>
  <c r="I1519" i="5"/>
  <c r="I1518" i="5"/>
  <c r="I1517" i="5"/>
  <c r="I1516" i="5"/>
  <c r="I1515" i="5"/>
  <c r="I1514" i="5"/>
  <c r="I1513" i="5"/>
  <c r="I1512" i="5"/>
  <c r="I1511" i="5"/>
  <c r="I1510" i="5"/>
  <c r="I1509" i="5"/>
  <c r="I1508" i="5"/>
  <c r="I1507" i="5"/>
  <c r="I1506" i="5"/>
  <c r="I1505" i="5"/>
  <c r="I1504" i="5"/>
  <c r="I1503" i="5"/>
  <c r="I1502" i="5"/>
  <c r="I1501" i="5"/>
  <c r="I1500" i="5"/>
  <c r="I1499" i="5"/>
  <c r="I1498" i="5"/>
  <c r="I1497" i="5"/>
  <c r="I1496" i="5"/>
  <c r="I1495" i="5"/>
  <c r="I1494" i="5"/>
  <c r="I1493" i="5"/>
  <c r="I1492" i="5"/>
  <c r="I1491" i="5"/>
  <c r="I1490" i="5"/>
  <c r="I1489" i="5"/>
  <c r="I1488" i="5"/>
  <c r="I1487" i="5"/>
  <c r="I1486" i="5"/>
  <c r="I1485" i="5"/>
  <c r="I1484" i="5"/>
  <c r="I1483" i="5"/>
  <c r="I1482" i="5"/>
  <c r="I1481" i="5"/>
  <c r="I1480" i="5"/>
  <c r="I1479" i="5"/>
  <c r="I1478" i="5"/>
  <c r="I1477" i="5"/>
  <c r="I1476" i="5"/>
  <c r="I1475" i="5"/>
  <c r="I1474" i="5"/>
  <c r="I1473" i="5"/>
  <c r="I1472" i="5"/>
  <c r="I1471" i="5"/>
  <c r="I1470" i="5"/>
  <c r="I1469" i="5"/>
  <c r="I1468" i="5"/>
  <c r="I1467" i="5"/>
  <c r="I1466" i="5"/>
  <c r="I1465" i="5"/>
  <c r="I1464" i="5"/>
  <c r="I1463" i="5"/>
  <c r="I1462" i="5"/>
  <c r="I1461" i="5"/>
  <c r="I1460" i="5"/>
  <c r="I1459" i="5"/>
  <c r="I1458" i="5"/>
  <c r="I1457" i="5"/>
  <c r="I1456" i="5"/>
  <c r="I1455" i="5"/>
  <c r="I1454" i="5"/>
  <c r="I1453" i="5"/>
  <c r="I1452" i="5"/>
  <c r="I1451" i="5"/>
  <c r="I1450" i="5"/>
  <c r="I1449" i="5"/>
  <c r="I1448" i="5"/>
  <c r="I1447" i="5"/>
  <c r="I1446" i="5"/>
  <c r="I1445" i="5"/>
  <c r="I1444" i="5"/>
  <c r="I1443" i="5"/>
  <c r="I1442" i="5"/>
  <c r="I1441" i="5"/>
  <c r="I1440" i="5"/>
  <c r="I1439" i="5"/>
  <c r="I1438" i="5"/>
  <c r="I1437" i="5"/>
  <c r="I1436" i="5"/>
  <c r="I1435" i="5"/>
  <c r="I1434" i="5"/>
  <c r="I1433" i="5"/>
  <c r="I1432" i="5"/>
  <c r="I1431" i="5"/>
  <c r="I1430" i="5"/>
  <c r="I1429" i="5"/>
  <c r="I1428" i="5"/>
  <c r="I1427" i="5"/>
  <c r="I1426" i="5"/>
  <c r="I1425" i="5"/>
  <c r="I1424" i="5"/>
  <c r="I1423" i="5"/>
  <c r="I1422" i="5"/>
  <c r="I1421" i="5"/>
  <c r="I1420" i="5"/>
  <c r="I1419" i="5"/>
  <c r="I1418" i="5"/>
  <c r="I1417" i="5"/>
  <c r="I1416" i="5"/>
  <c r="I1415" i="5"/>
  <c r="I1414" i="5"/>
  <c r="I1413" i="5"/>
  <c r="I1412" i="5"/>
  <c r="I1411" i="5"/>
  <c r="I1410" i="5"/>
  <c r="I1409" i="5"/>
  <c r="I1408" i="5"/>
  <c r="I1407" i="5"/>
  <c r="I1406" i="5"/>
  <c r="I1405" i="5"/>
  <c r="I1404" i="5"/>
  <c r="I1403" i="5"/>
  <c r="I1402" i="5"/>
  <c r="I1401" i="5"/>
  <c r="I1400" i="5"/>
  <c r="I1399" i="5"/>
  <c r="I1398" i="5"/>
  <c r="I1397" i="5"/>
  <c r="I1396" i="5"/>
  <c r="I1395" i="5"/>
  <c r="I1394" i="5"/>
  <c r="I1393" i="5"/>
  <c r="I1392" i="5"/>
  <c r="I1391" i="5"/>
  <c r="I1390" i="5"/>
  <c r="I1389" i="5"/>
  <c r="I1388" i="5"/>
  <c r="I1387" i="5"/>
  <c r="I1386" i="5"/>
  <c r="I1385" i="5"/>
  <c r="I1384" i="5"/>
  <c r="I1383" i="5"/>
  <c r="I1382" i="5"/>
  <c r="I1381" i="5"/>
  <c r="I1380" i="5"/>
  <c r="I1379" i="5"/>
  <c r="I1378" i="5"/>
  <c r="I1377" i="5"/>
  <c r="I1376" i="5"/>
  <c r="I1375" i="5"/>
  <c r="I1374" i="5"/>
  <c r="I1373" i="5"/>
  <c r="I1372" i="5"/>
  <c r="I1371" i="5"/>
  <c r="I1370" i="5"/>
  <c r="I1369" i="5"/>
  <c r="I1368" i="5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I1311" i="5"/>
  <c r="I1310" i="5"/>
  <c r="I1309" i="5"/>
  <c r="I1308" i="5"/>
  <c r="I1307" i="5"/>
  <c r="I1306" i="5"/>
  <c r="I1305" i="5"/>
  <c r="I1304" i="5"/>
  <c r="I1303" i="5"/>
  <c r="I1302" i="5"/>
  <c r="I1301" i="5"/>
  <c r="I1300" i="5"/>
  <c r="I1299" i="5"/>
  <c r="I1298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I1268" i="5"/>
  <c r="I1267" i="5"/>
  <c r="I1266" i="5"/>
  <c r="I1265" i="5"/>
  <c r="I1264" i="5"/>
  <c r="I1263" i="5"/>
  <c r="I1262" i="5"/>
  <c r="I1261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" i="2"/>
  <c r="E18" i="15" l="1"/>
  <c r="E19" i="15"/>
  <c r="E17" i="15"/>
  <c r="E13" i="15"/>
  <c r="E16" i="15"/>
  <c r="E9" i="15"/>
  <c r="E6" i="15"/>
  <c r="E10" i="15"/>
  <c r="E5" i="15"/>
  <c r="E8" i="15"/>
  <c r="E12" i="15"/>
  <c r="E14" i="15"/>
  <c r="E15" i="15"/>
  <c r="E11" i="15"/>
  <c r="E7" i="15"/>
  <c r="F7" i="15" l="1"/>
  <c r="G7" i="15"/>
  <c r="H7" i="15" s="1"/>
  <c r="F9" i="15"/>
  <c r="F8" i="15"/>
  <c r="G8" i="15" s="1"/>
  <c r="H8" i="15" s="1"/>
  <c r="F6" i="15"/>
  <c r="G6" i="15" s="1"/>
  <c r="H6" i="15" s="1"/>
  <c r="F5" i="15"/>
  <c r="G5" i="15" s="1"/>
  <c r="H5" i="15" s="1"/>
  <c r="F12" i="15"/>
  <c r="G12" i="15" s="1"/>
  <c r="H12" i="15" s="1"/>
  <c r="F11" i="15"/>
  <c r="G11" i="15" s="1"/>
  <c r="H11" i="15" s="1"/>
  <c r="F10" i="15"/>
  <c r="G10" i="15" s="1"/>
  <c r="H10" i="15" s="1"/>
  <c r="F16" i="15"/>
  <c r="G16" i="15" s="1"/>
  <c r="H16" i="15" s="1"/>
  <c r="F13" i="15"/>
  <c r="G13" i="15" s="1"/>
  <c r="H13" i="15" s="1"/>
  <c r="F15" i="15"/>
  <c r="G15" i="15" s="1"/>
  <c r="H15" i="15" s="1"/>
  <c r="F18" i="15"/>
  <c r="G18" i="15" s="1"/>
  <c r="H18" i="15" s="1"/>
  <c r="F19" i="15"/>
  <c r="G19" i="15" s="1"/>
  <c r="H19" i="15" s="1"/>
  <c r="F14" i="15"/>
  <c r="G14" i="15" s="1"/>
  <c r="H14" i="15" s="1"/>
  <c r="G9" i="15"/>
  <c r="H9" i="15" s="1"/>
  <c r="F17" i="15"/>
  <c r="G17" i="15" s="1"/>
  <c r="H17" i="15" s="1"/>
</calcChain>
</file>

<file path=xl/sharedStrings.xml><?xml version="1.0" encoding="utf-8"?>
<sst xmlns="http://schemas.openxmlformats.org/spreadsheetml/2006/main" count="24533" uniqueCount="5146">
  <si>
    <t>Status</t>
  </si>
  <si>
    <t>OrderID</t>
  </si>
  <si>
    <t>OrderDate</t>
  </si>
  <si>
    <t>CustomerID</t>
  </si>
  <si>
    <t>Region</t>
  </si>
  <si>
    <t>SKU</t>
  </si>
  <si>
    <t>ProductName</t>
  </si>
  <si>
    <t>Category</t>
  </si>
  <si>
    <t>Qty_Ordered</t>
  </si>
  <si>
    <t>Unit_Price</t>
  </si>
  <si>
    <t>Order_Value</t>
  </si>
  <si>
    <t>Promised_Date</t>
  </si>
  <si>
    <t>ORD-00001</t>
  </si>
  <si>
    <t>CUST-115</t>
  </si>
  <si>
    <t>South</t>
  </si>
  <si>
    <t>SKU-006</t>
  </si>
  <si>
    <t>Running Shoes</t>
  </si>
  <si>
    <t>Apparel</t>
  </si>
  <si>
    <t>ORD-00002</t>
  </si>
  <si>
    <t>CUST-102</t>
  </si>
  <si>
    <t>SKU-007</t>
  </si>
  <si>
    <t>Non-stick Pan</t>
  </si>
  <si>
    <t>Home &amp; Kitchen</t>
  </si>
  <si>
    <t>ORD-00003</t>
  </si>
  <si>
    <t>CUST-104</t>
  </si>
  <si>
    <t>East</t>
  </si>
  <si>
    <t>SKU-009</t>
  </si>
  <si>
    <t>LED Lamp</t>
  </si>
  <si>
    <t>ORD-00004</t>
  </si>
  <si>
    <t>CUST-135</t>
  </si>
  <si>
    <t>West</t>
  </si>
  <si>
    <t>SKU-010</t>
  </si>
  <si>
    <t>Basmati Rice 5kg</t>
  </si>
  <si>
    <t>Groceries</t>
  </si>
  <si>
    <t>ORD-00005</t>
  </si>
  <si>
    <t>CUST-131</t>
  </si>
  <si>
    <t>SKU-011</t>
  </si>
  <si>
    <t>Cooking Oil 1L</t>
  </si>
  <si>
    <t>ORD-00006</t>
  </si>
  <si>
    <t>CUST-184</t>
  </si>
  <si>
    <t>SKU-013</t>
  </si>
  <si>
    <t>Yoga Mat</t>
  </si>
  <si>
    <t>Sports</t>
  </si>
  <si>
    <t>ORD-00007</t>
  </si>
  <si>
    <t>CUST-186</t>
  </si>
  <si>
    <t>North</t>
  </si>
  <si>
    <t>SKU-014</t>
  </si>
  <si>
    <t>Cricket Bat</t>
  </si>
  <si>
    <t>ORD-00008</t>
  </si>
  <si>
    <t>CUST-113</t>
  </si>
  <si>
    <t>SKU-015</t>
  </si>
  <si>
    <t>Football</t>
  </si>
  <si>
    <t>ORD-00009</t>
  </si>
  <si>
    <t>SKU-001</t>
  </si>
  <si>
    <t>Wireless Mouse</t>
  </si>
  <si>
    <t>Electronics</t>
  </si>
  <si>
    <t>ORD-00010</t>
  </si>
  <si>
    <t>CUST-156</t>
  </si>
  <si>
    <t>SKU-002</t>
  </si>
  <si>
    <t>Bluetooth Speaker</t>
  </si>
  <si>
    <t>ORD-00011</t>
  </si>
  <si>
    <t>CUST-196</t>
  </si>
  <si>
    <t>SKU-003</t>
  </si>
  <si>
    <t>USB-C Charger</t>
  </si>
  <si>
    <t>ORD-00012</t>
  </si>
  <si>
    <t>CUST-161</t>
  </si>
  <si>
    <t>SKU-004</t>
  </si>
  <si>
    <t>Cotton T-Shirt</t>
  </si>
  <si>
    <t>ORD-00013</t>
  </si>
  <si>
    <t>CUST-136</t>
  </si>
  <si>
    <t>ORD-00014</t>
  </si>
  <si>
    <t>CUST-107</t>
  </si>
  <si>
    <t>ORD-00015</t>
  </si>
  <si>
    <t>ORD-00016</t>
  </si>
  <si>
    <t>ORD-00017</t>
  </si>
  <si>
    <t>CUST-179</t>
  </si>
  <si>
    <t>ORD-00018</t>
  </si>
  <si>
    <t>CUST-133</t>
  </si>
  <si>
    <t>ORD-00019</t>
  </si>
  <si>
    <t>CUST-158</t>
  </si>
  <si>
    <t>ORD-00020</t>
  </si>
  <si>
    <t>CUST-109</t>
  </si>
  <si>
    <t>ORD-00021</t>
  </si>
  <si>
    <t>CUST-147</t>
  </si>
  <si>
    <t>ORD-00022</t>
  </si>
  <si>
    <t>CUST-178</t>
  </si>
  <si>
    <t>SKU-012</t>
  </si>
  <si>
    <t>Green Tea Pack</t>
  </si>
  <si>
    <t>ORD-00023</t>
  </si>
  <si>
    <t>CUST-195</t>
  </si>
  <si>
    <t>ORD-00024</t>
  </si>
  <si>
    <t>CUST-191</t>
  </si>
  <si>
    <t>ORD-00025</t>
  </si>
  <si>
    <t>CUST-132</t>
  </si>
  <si>
    <t>ORD-00026</t>
  </si>
  <si>
    <t>ORD-00027</t>
  </si>
  <si>
    <t>CUST-120</t>
  </si>
  <si>
    <t>SKU-005</t>
  </si>
  <si>
    <t>Denim Jacket</t>
  </si>
  <si>
    <t>ORD-00028</t>
  </si>
  <si>
    <t>CUST-114</t>
  </si>
  <si>
    <t>ORD-00029</t>
  </si>
  <si>
    <t>CUST-155</t>
  </si>
  <si>
    <t>ORD-00030</t>
  </si>
  <si>
    <t>CUST-105</t>
  </si>
  <si>
    <t>ORD-00031</t>
  </si>
  <si>
    <t>ORD-00032</t>
  </si>
  <si>
    <t>CUST-122</t>
  </si>
  <si>
    <t>ORD-00033</t>
  </si>
  <si>
    <t>CUST-185</t>
  </si>
  <si>
    <t>ORD-00034</t>
  </si>
  <si>
    <t>CUST-148</t>
  </si>
  <si>
    <t>ORD-00035</t>
  </si>
  <si>
    <t>CUST-129</t>
  </si>
  <si>
    <t>ORD-00036</t>
  </si>
  <si>
    <t>CUST-151</t>
  </si>
  <si>
    <t>ORD-00037</t>
  </si>
  <si>
    <t>CUST-182</t>
  </si>
  <si>
    <t>ORD-00038</t>
  </si>
  <si>
    <t>SKU-008</t>
  </si>
  <si>
    <t>Air Fryer</t>
  </si>
  <si>
    <t>ORD-00039</t>
  </si>
  <si>
    <t>CUST-176</t>
  </si>
  <si>
    <t>ORD-00040</t>
  </si>
  <si>
    <t>ORD-00041</t>
  </si>
  <si>
    <t>CUST-100</t>
  </si>
  <si>
    <t>ORD-00042</t>
  </si>
  <si>
    <t>ORD-00043</t>
  </si>
  <si>
    <t>CUST-141</t>
  </si>
  <si>
    <t>ORD-00044</t>
  </si>
  <si>
    <t>ORD-00045</t>
  </si>
  <si>
    <t>CUST-126</t>
  </si>
  <si>
    <t>ORD-00046</t>
  </si>
  <si>
    <t>ORD-00047</t>
  </si>
  <si>
    <t>ORD-00048</t>
  </si>
  <si>
    <t>CUST-118</t>
  </si>
  <si>
    <t>ORD-00049</t>
  </si>
  <si>
    <t>ORD-00050</t>
  </si>
  <si>
    <t>ORD-00051</t>
  </si>
  <si>
    <t>CUST-199</t>
  </si>
  <si>
    <t>ORD-00052</t>
  </si>
  <si>
    <t>CUST-106</t>
  </si>
  <si>
    <t>ORD-00053</t>
  </si>
  <si>
    <t>ORD-00054</t>
  </si>
  <si>
    <t>CUST-181</t>
  </si>
  <si>
    <t>ORD-00055</t>
  </si>
  <si>
    <t>CUST-142</t>
  </si>
  <si>
    <t>ORD-00056</t>
  </si>
  <si>
    <t>ORD-00057</t>
  </si>
  <si>
    <t>ORD-00058</t>
  </si>
  <si>
    <t>CUST-197</t>
  </si>
  <si>
    <t>ORD-00059</t>
  </si>
  <si>
    <t>CUST-168</t>
  </si>
  <si>
    <t>ORD-00060</t>
  </si>
  <si>
    <t>CUST-103</t>
  </si>
  <si>
    <t>ORD-00061</t>
  </si>
  <si>
    <t>CUST-159</t>
  </si>
  <si>
    <t>ORD-00062</t>
  </si>
  <si>
    <t>CUST-117</t>
  </si>
  <si>
    <t>ORD-00063</t>
  </si>
  <si>
    <t>ORD-00064</t>
  </si>
  <si>
    <t>ORD-00065</t>
  </si>
  <si>
    <t>ORD-00066</t>
  </si>
  <si>
    <t>ORD-00067</t>
  </si>
  <si>
    <t>ORD-00068</t>
  </si>
  <si>
    <t>ORD-00069</t>
  </si>
  <si>
    <t>CUST-150</t>
  </si>
  <si>
    <t>ORD-00070</t>
  </si>
  <si>
    <t>ORD-00071</t>
  </si>
  <si>
    <t>ORD-00072</t>
  </si>
  <si>
    <t>CUST-101</t>
  </si>
  <si>
    <t>ORD-00073</t>
  </si>
  <si>
    <t>CUST-190</t>
  </si>
  <si>
    <t>ORD-00074</t>
  </si>
  <si>
    <t>ORD-00075</t>
  </si>
  <si>
    <t>CUST-157</t>
  </si>
  <si>
    <t>ORD-00076</t>
  </si>
  <si>
    <t>ORD-00077</t>
  </si>
  <si>
    <t>CUST-171</t>
  </si>
  <si>
    <t>ORD-00078</t>
  </si>
  <si>
    <t>CUST-192</t>
  </si>
  <si>
    <t>ORD-00079</t>
  </si>
  <si>
    <t>ORD-00080</t>
  </si>
  <si>
    <t>CUST-145</t>
  </si>
  <si>
    <t>ORD-00081</t>
  </si>
  <si>
    <t>CUST-140</t>
  </si>
  <si>
    <t>ORD-00082</t>
  </si>
  <si>
    <t>ORD-00083</t>
  </si>
  <si>
    <t>ORD-00084</t>
  </si>
  <si>
    <t>ORD-00085</t>
  </si>
  <si>
    <t>ORD-00086</t>
  </si>
  <si>
    <t>CUST-173</t>
  </si>
  <si>
    <t>ORD-00087</t>
  </si>
  <si>
    <t>ORD-00088</t>
  </si>
  <si>
    <t>ORD-00089</t>
  </si>
  <si>
    <t>CUST-172</t>
  </si>
  <si>
    <t>ORD-00090</t>
  </si>
  <si>
    <t>ORD-00091</t>
  </si>
  <si>
    <t>CUST-152</t>
  </si>
  <si>
    <t>ORD-00092</t>
  </si>
  <si>
    <t>ORD-00093</t>
  </si>
  <si>
    <t>ORD-00094</t>
  </si>
  <si>
    <t>ORD-00095</t>
  </si>
  <si>
    <t>CUST-134</t>
  </si>
  <si>
    <t>ORD-00096</t>
  </si>
  <si>
    <t>ORD-00097</t>
  </si>
  <si>
    <t>ORD-00098</t>
  </si>
  <si>
    <t>ORD-00099</t>
  </si>
  <si>
    <t>CUST-144</t>
  </si>
  <si>
    <t>ORD-00100</t>
  </si>
  <si>
    <t>ORD-00101</t>
  </si>
  <si>
    <t>ORD-00102</t>
  </si>
  <si>
    <t>ORD-00103</t>
  </si>
  <si>
    <t>CUST-124</t>
  </si>
  <si>
    <t>ORD-00104</t>
  </si>
  <si>
    <t>ORD-00105</t>
  </si>
  <si>
    <t>ORD-00106</t>
  </si>
  <si>
    <t>CUST-170</t>
  </si>
  <si>
    <t>ORD-00107</t>
  </si>
  <si>
    <t>ORD-00108</t>
  </si>
  <si>
    <t>CUST-160</t>
  </si>
  <si>
    <t>ORD-00109</t>
  </si>
  <si>
    <t>CUST-108</t>
  </si>
  <si>
    <t>ORD-00110</t>
  </si>
  <si>
    <t>ORD-00111</t>
  </si>
  <si>
    <t>ORD-00112</t>
  </si>
  <si>
    <t>ORD-00113</t>
  </si>
  <si>
    <t>CUST-149</t>
  </si>
  <si>
    <t>ORD-00114</t>
  </si>
  <si>
    <t>CUST-112</t>
  </si>
  <si>
    <t>ORD-00115</t>
  </si>
  <si>
    <t>ORD-00116</t>
  </si>
  <si>
    <t>CUST-143</t>
  </si>
  <si>
    <t>ORD-00117</t>
  </si>
  <si>
    <t>CUST-169</t>
  </si>
  <si>
    <t>ORD-00118</t>
  </si>
  <si>
    <t>ORD-00119</t>
  </si>
  <si>
    <t>ORD-00120</t>
  </si>
  <si>
    <t>CUST-137</t>
  </si>
  <si>
    <t>ORD-00121</t>
  </si>
  <si>
    <t>CUST-121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</si>
  <si>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</si>
  <si>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</si>
  <si>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</si>
  <si>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</si>
  <si>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</si>
  <si>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</si>
  <si>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</si>
  <si>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CUST-128</t>
  </si>
  <si>
    <t>ORD-00129</t>
  </si>
  <si>
    <t>CUST-111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</si>
  <si>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</si>
  <si>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</si>
  <si>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</si>
  <si>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</si>
  <si>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</si>
  <si>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</si>
  <si>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</si>
  <si>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</si>
  <si>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</si>
  <si>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CUST-153</t>
  </si>
  <si>
    <t>ORD-00139</t>
  </si>
  <si>
    <t>CUST-130</t>
  </si>
  <si>
    <t>ORD-00140</t>
  </si>
  <si>
    <t>ORD-00141</t>
  </si>
  <si>
    <t>ORD-00142</t>
  </si>
  <si>
    <t>ORD-00143</t>
  </si>
  <si>
    <t>ORD-00144</t>
  </si>
  <si>
    <t>CUST-116</t>
  </si>
  <si>
    <t>ORD-00145</t>
  </si>
  <si>
    <t>ORD-00146</t>
  </si>
  <si>
    <t>ORD-00147</t>
  </si>
  <si>
    <t>CUST-193</t>
  </si>
  <si>
    <t>ORD-00148</t>
  </si>
  <si>
    <t>ORD-00149</t>
  </si>
  <si>
    <t>ORD-00150</t>
  </si>
  <si>
    <t>ORD-00151</t>
  </si>
  <si>
    <t>ORD-00152</t>
  </si>
  <si>
    <t>ORD-00153</t>
  </si>
  <si>
    <t>CUST-187</t>
  </si>
  <si>
    <t>ORD-00154</t>
  </si>
  <si>
    <t>ORD-00155</t>
  </si>
  <si>
    <t>CUST-175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</si>
  <si>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</si>
  <si>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</si>
  <si>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</si>
  <si>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</si>
  <si>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</si>
  <si>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</si>
  <si>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</si>
  <si>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</si>
  <si>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</si>
  <si>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</si>
  <si>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</si>
  <si>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</si>
  <si>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</si>
  <si>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</si>
  <si>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</si>
  <si>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</si>
  <si>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</si>
  <si>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</si>
  <si>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</si>
  <si>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</si>
  <si>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</si>
  <si>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CUST-167</t>
  </si>
  <si>
    <t>ORD-00177</t>
  </si>
  <si>
    <t>ORD-00178</t>
  </si>
  <si>
    <t>ORD-00179</t>
  </si>
  <si>
    <t>ORD-00180</t>
  </si>
  <si>
    <t>ORD-00181</t>
  </si>
  <si>
    <t>ORD-00182</t>
  </si>
  <si>
    <t>ORD-00183</t>
  </si>
  <si>
    <t>CUST-177</t>
  </si>
  <si>
    <t>ORD-00184</t>
  </si>
  <si>
    <t>ORD-00185</t>
  </si>
  <si>
    <t>ORD-00186</t>
  </si>
  <si>
    <t>ORD-00187</t>
  </si>
  <si>
    <t>ORD-00188</t>
  </si>
  <si>
    <t>CUST-139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</si>
  <si>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</si>
  <si>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</si>
  <si>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</si>
  <si>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</si>
  <si>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</si>
  <si>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</si>
  <si>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</si>
  <si>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</si>
  <si>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</si>
  <si>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</si>
  <si>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</si>
  <si>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</si>
  <si>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CUST-164</t>
  </si>
  <si>
    <t>ORD-00201</t>
  </si>
  <si>
    <t>ORD-00202</t>
  </si>
  <si>
    <t>ORD-00203</t>
  </si>
  <si>
    <t>ORD-00204</t>
  </si>
  <si>
    <t>ORD-00205</t>
  </si>
  <si>
    <t>CUST-163</t>
  </si>
  <si>
    <t>ORD-00206</t>
  </si>
  <si>
    <t>ORD-00207</t>
  </si>
  <si>
    <t>ORD-00208</t>
  </si>
  <si>
    <t>ORD-00209</t>
  </si>
  <si>
    <t>ORD-00210</t>
  </si>
  <si>
    <t>CUST-198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</si>
  <si>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</si>
  <si>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</si>
  <si>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</si>
  <si>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</si>
  <si>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</si>
  <si>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</si>
  <si>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</si>
  <si>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</si>
  <si>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</si>
  <si>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</si>
  <si>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</si>
  <si>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</si>
  <si>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CUST-146</t>
  </si>
  <si>
    <t>ORD-00223</t>
  </si>
  <si>
    <t>ORD-00224</t>
  </si>
  <si>
    <t>ORD-00225</t>
  </si>
  <si>
    <t>ORD-00226</t>
  </si>
  <si>
    <t>ORD-00227</t>
  </si>
  <si>
    <t>ORD-00228</t>
  </si>
  <si>
    <t>CUST-188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</si>
  <si>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</si>
  <si>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</si>
  <si>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</si>
  <si>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</si>
  <si>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</si>
  <si>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</si>
  <si>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</si>
  <si>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</si>
  <si>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</si>
  <si>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</si>
  <si>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</si>
  <si>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</si>
  <si>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</si>
  <si>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</si>
  <si>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</si>
  <si>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</si>
  <si>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</si>
  <si>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</si>
  <si>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</si>
  <si>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</si>
  <si>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</si>
  <si>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</si>
  <si>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</si>
  <si>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</si>
  <si>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</si>
  <si>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</si>
  <si>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</si>
  <si>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</si>
  <si>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</si>
  <si>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</si>
  <si>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</si>
  <si>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</si>
  <si>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</si>
  <si>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</si>
  <si>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</si>
  <si>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</si>
  <si>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CUST-166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</si>
  <si>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</si>
  <si>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</si>
  <si>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</si>
  <si>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</si>
  <si>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</si>
  <si>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</si>
  <si>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</si>
  <si>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</si>
  <si>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</si>
  <si>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</si>
  <si>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</si>
  <si>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</si>
  <si>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</si>
  <si>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</si>
  <si>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</si>
  <si>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</si>
  <si>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</si>
  <si>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CUST-165</t>
  </si>
  <si>
    <t>ORD-00282</t>
  </si>
  <si>
    <t>CUST-123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</si>
  <si>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</si>
  <si>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</si>
  <si>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</si>
  <si>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</si>
  <si>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</si>
  <si>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</si>
  <si>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</si>
  <si>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</si>
  <si>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</si>
  <si>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</si>
  <si>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CUST-189</t>
  </si>
  <si>
    <t>ORD-00293</t>
  </si>
  <si>
    <t>ORD-00294</t>
  </si>
  <si>
    <t>ORD-00295</t>
  </si>
  <si>
    <t>ORD-00296</t>
  </si>
  <si>
    <t>ORD-00297</t>
  </si>
  <si>
    <t>ORD-00298</t>
  </si>
  <si>
    <t>CUST-119</t>
  </si>
  <si>
    <t>ORD-00299</t>
  </si>
  <si>
    <t>ORD-00300</t>
  </si>
  <si>
    <t>ORD-00301</t>
  </si>
  <si>
    <t>CUST-194</t>
  </si>
  <si>
    <t>ORD-00302</t>
  </si>
  <si>
    <t>ORD-00303</t>
  </si>
  <si>
    <t>ORD-00304</t>
  </si>
  <si>
    <t>ORD-00305</t>
  </si>
  <si>
    <t>CUST-180</t>
  </si>
  <si>
    <t>ORD-00306</t>
  </si>
  <si>
    <t>ORD-00307</t>
  </si>
  <si>
    <t>ORD-00308</t>
  </si>
  <si>
    <t>CUST-138</t>
  </si>
  <si>
    <t>ORD-00309</t>
  </si>
  <si>
    <t>ORD-00310</t>
  </si>
  <si>
    <t>ORD-00311</t>
  </si>
  <si>
    <t>ORD-00312</t>
  </si>
  <si>
    <t>CUST-127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</si>
  <si>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</si>
  <si>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</si>
  <si>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</si>
  <si>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</si>
  <si>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</si>
  <si>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</si>
  <si>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</si>
  <si>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</si>
  <si>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</si>
  <si>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</si>
  <si>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</si>
  <si>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</si>
  <si>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</si>
  <si>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</si>
  <si>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</si>
  <si>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</si>
  <si>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CUST-183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</si>
  <si>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</si>
  <si>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</si>
  <si>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</si>
  <si>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</si>
  <si>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</si>
  <si>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</si>
  <si>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</si>
  <si>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</si>
  <si>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</si>
  <si>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</si>
  <si>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</si>
  <si>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</si>
  <si>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</si>
  <si>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</si>
  <si>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</si>
  <si>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</si>
  <si>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</si>
  <si>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</si>
  <si>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</si>
  <si>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</si>
  <si>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</si>
  <si>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</si>
  <si>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</si>
  <si>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</si>
  <si>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</si>
  <si>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</si>
  <si>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</si>
  <si>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</si>
  <si>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</si>
  <si>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</si>
  <si>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CUST-174</t>
  </si>
  <si>
    <t>ORD-00359</t>
  </si>
  <si>
    <t>ORD-00360</t>
  </si>
  <si>
    <t>ORD-00361</t>
  </si>
  <si>
    <t>ORD-00362</t>
  </si>
  <si>
    <t>ORD-00363</t>
  </si>
  <si>
    <t>CUST-110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</si>
  <si>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</si>
  <si>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</si>
  <si>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</si>
  <si>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</si>
  <si>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</si>
  <si>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</si>
  <si>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</si>
  <si>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</si>
  <si>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</si>
  <si>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</si>
  <si>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</si>
  <si>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</si>
  <si>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</si>
  <si>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</si>
  <si>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</si>
  <si>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</si>
  <si>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CUST-162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</si>
  <si>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</si>
  <si>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</si>
  <si>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</si>
  <si>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</si>
  <si>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</si>
  <si>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</si>
  <si>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</si>
  <si>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</si>
  <si>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</si>
  <si>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</si>
  <si>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</si>
  <si>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</si>
  <si>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</si>
  <si>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</si>
  <si>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</si>
  <si>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</si>
  <si>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</si>
  <si>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CUST-154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</si>
  <si>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</si>
  <si>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</si>
  <si>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</si>
  <si>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</si>
  <si>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</si>
  <si>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</si>
  <si>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</si>
  <si>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</si>
  <si>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</si>
  <si>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</si>
  <si>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</si>
  <si>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</si>
  <si>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</si>
  <si>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</si>
  <si>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</si>
  <si>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</si>
  <si>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</si>
  <si>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</si>
  <si>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</si>
  <si>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</si>
  <si>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</si>
  <si>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</si>
  <si>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</si>
  <si>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</si>
  <si>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</si>
  <si>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</si>
  <si>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</si>
  <si>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</si>
  <si>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</si>
  <si>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</si>
  <si>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</si>
  <si>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</si>
  <si>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</si>
  <si>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</si>
  <si>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</si>
  <si>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</si>
  <si>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</si>
  <si>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</si>
  <si>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</si>
  <si>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</si>
  <si>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</si>
  <si>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</si>
  <si>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</si>
  <si>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</si>
  <si>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</si>
  <si>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</si>
  <si>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</si>
  <si>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</si>
  <si>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</si>
  <si>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CUST-125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</si>
  <si>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</si>
  <si>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</si>
  <si>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</si>
  <si>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</si>
  <si>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</si>
  <si>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</si>
  <si>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</si>
  <si>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</si>
  <si>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</si>
  <si>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</si>
  <si>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</si>
  <si>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</si>
  <si>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</si>
  <si>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</si>
  <si>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</si>
  <si>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</si>
  <si>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</si>
  <si>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</si>
  <si>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</si>
  <si>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</si>
  <si>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</si>
  <si>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</si>
  <si>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</si>
  <si>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</si>
  <si>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</si>
  <si>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</si>
  <si>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</si>
  <si>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</si>
  <si>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</si>
  <si>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</si>
  <si>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</si>
  <si>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</si>
  <si>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</si>
  <si>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</si>
  <si>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</si>
  <si>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</si>
  <si>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</si>
  <si>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</si>
  <si>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</si>
  <si>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</si>
  <si>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</si>
  <si>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</si>
  <si>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</si>
  <si>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</si>
  <si>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</si>
  <si>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</si>
  <si>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</si>
  <si>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</si>
  <si>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</si>
  <si>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</si>
  <si>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</si>
  <si>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</si>
  <si>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</si>
  <si>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</si>
  <si>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</si>
  <si>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</si>
  <si>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</si>
  <si>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</si>
  <si>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</si>
  <si>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</si>
  <si>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</si>
  <si>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</si>
  <si>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</si>
  <si>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</si>
  <si>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</si>
  <si>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</si>
  <si>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</si>
  <si>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</si>
  <si>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</si>
  <si>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</si>
  <si>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</si>
  <si>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</si>
  <si>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</si>
  <si>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</si>
  <si>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</si>
  <si>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</si>
  <si>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</si>
  <si>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</si>
  <si>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</si>
  <si>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</si>
  <si>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</si>
  <si>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</si>
  <si>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</si>
  <si>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</si>
  <si>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</si>
  <si>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</si>
  <si>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</si>
  <si>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</si>
  <si>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</si>
  <si>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</si>
  <si>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</si>
  <si>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</si>
  <si>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</si>
  <si>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</si>
  <si>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</si>
  <si>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</si>
  <si>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</si>
  <si>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</si>
  <si>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</si>
  <si>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</si>
  <si>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</si>
  <si>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</si>
  <si>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</si>
  <si>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</si>
  <si>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</si>
  <si>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</si>
  <si>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</si>
  <si>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</si>
  <si>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</si>
  <si>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</si>
  <si>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</si>
  <si>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</si>
  <si>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</si>
  <si>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</si>
  <si>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</si>
  <si>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</si>
  <si>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</si>
  <si>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</si>
  <si>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</si>
  <si>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</si>
  <si>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</si>
  <si>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</si>
  <si>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</si>
  <si>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</si>
  <si>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</si>
  <si>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</si>
  <si>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</si>
  <si>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</si>
  <si>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</si>
  <si>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</si>
  <si>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</si>
  <si>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</si>
  <si>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</si>
  <si>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</si>
  <si>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</si>
  <si>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</si>
  <si>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</si>
  <si>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</si>
  <si>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</si>
  <si>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</si>
  <si>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</si>
  <si>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</si>
  <si>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</si>
  <si>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</si>
  <si>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</si>
  <si>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</si>
  <si>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</si>
  <si>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</si>
  <si>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</si>
  <si>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</si>
  <si>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</si>
  <si>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</si>
  <si>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</si>
  <si>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</si>
  <si>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</si>
  <si>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</si>
  <si>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</si>
  <si>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</si>
  <si>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</si>
  <si>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</si>
  <si>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</si>
  <si>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</si>
  <si>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</si>
  <si>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</si>
  <si>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</si>
  <si>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</si>
  <si>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</si>
  <si>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</si>
  <si>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</si>
  <si>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</si>
  <si>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</si>
  <si>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</si>
  <si>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</si>
  <si>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</si>
  <si>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</si>
  <si>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</si>
  <si>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</si>
  <si>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</si>
  <si>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</si>
  <si>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</si>
  <si>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</si>
  <si>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</si>
  <si>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</si>
  <si>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</si>
  <si>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</si>
  <si>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</si>
  <si>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</si>
  <si>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</si>
  <si>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</si>
  <si>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</si>
  <si>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</si>
  <si>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</si>
  <si>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</si>
  <si>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</si>
  <si>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</si>
  <si>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</si>
  <si>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</si>
  <si>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</si>
  <si>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</si>
  <si>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</si>
  <si>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</si>
  <si>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</si>
  <si>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</si>
  <si>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</si>
  <si>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</si>
  <si>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</si>
  <si>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</si>
  <si>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</si>
  <si>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</si>
  <si>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</si>
  <si>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</si>
  <si>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</si>
  <si>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</si>
  <si>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</si>
  <si>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</si>
  <si>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</si>
  <si>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</si>
  <si>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</si>
  <si>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</si>
  <si>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</si>
  <si>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</si>
  <si>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</si>
  <si>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</si>
  <si>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</si>
  <si>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</si>
  <si>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</si>
  <si>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</si>
  <si>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</si>
  <si>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</si>
  <si>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</si>
  <si>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</si>
  <si>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</si>
  <si>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</si>
  <si>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</si>
  <si>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</si>
  <si>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</si>
  <si>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</si>
  <si>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</si>
  <si>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</si>
  <si>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</si>
  <si>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</si>
  <si>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</si>
  <si>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</si>
  <si>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</si>
  <si>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</si>
  <si>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</si>
  <si>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</si>
  <si>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</si>
  <si>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</si>
  <si>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</si>
  <si>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</si>
  <si>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</si>
  <si>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</si>
  <si>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</si>
  <si>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</si>
  <si>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</si>
  <si>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</si>
  <si>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</si>
  <si>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</si>
  <si>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</si>
  <si>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</si>
  <si>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</si>
  <si>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</si>
  <si>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</si>
  <si>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</si>
  <si>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</si>
  <si>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</si>
  <si>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</si>
  <si>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</si>
  <si>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</si>
  <si>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</si>
  <si>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</si>
  <si>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</si>
  <si>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</si>
  <si>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</si>
  <si>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</si>
  <si>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</si>
  <si>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</si>
  <si>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</si>
  <si>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</si>
  <si>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</si>
  <si>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</si>
  <si>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</si>
  <si>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</si>
  <si>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</si>
  <si>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</si>
  <si>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</si>
  <si>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</si>
  <si>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</si>
  <si>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</si>
  <si>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</si>
  <si>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</si>
  <si>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</si>
  <si>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</si>
  <si>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</si>
  <si>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</si>
  <si>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</si>
  <si>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</si>
  <si>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</si>
  <si>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</si>
  <si>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</si>
  <si>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</si>
  <si>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</si>
  <si>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</si>
  <si>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</si>
  <si>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</si>
  <si>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</si>
  <si>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</si>
  <si>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</si>
  <si>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</si>
  <si>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</si>
  <si>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</si>
  <si>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</si>
  <si>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</si>
  <si>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</si>
  <si>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</si>
  <si>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</si>
  <si>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</si>
  <si>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</si>
  <si>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</si>
  <si>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</si>
  <si>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</si>
  <si>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</si>
  <si>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</si>
  <si>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</si>
  <si>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</si>
  <si>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</si>
  <si>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</si>
  <si>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</si>
  <si>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</si>
  <si>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</si>
  <si>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</si>
  <si>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</si>
  <si>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</si>
  <si>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</si>
  <si>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</si>
  <si>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</si>
  <si>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</si>
  <si>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</si>
  <si>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</si>
  <si>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</si>
  <si>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</si>
  <si>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</si>
  <si>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</si>
  <si>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</si>
  <si>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</si>
  <si>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</si>
  <si>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</si>
  <si>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</si>
  <si>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</si>
  <si>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</si>
  <si>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</si>
  <si>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</si>
  <si>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</si>
  <si>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</si>
  <si>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</si>
  <si>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</si>
  <si>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</si>
  <si>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</si>
  <si>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</si>
  <si>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</si>
  <si>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</si>
  <si>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</si>
  <si>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</si>
  <si>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</si>
  <si>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</si>
  <si>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</si>
  <si>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</si>
  <si>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</si>
  <si>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</si>
  <si>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</si>
  <si>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</si>
  <si>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</si>
  <si>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</si>
  <si>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</si>
  <si>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</si>
  <si>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</si>
  <si>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</si>
  <si>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</si>
  <si>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</si>
  <si>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</si>
  <si>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</si>
  <si>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</si>
  <si>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</si>
  <si>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</si>
  <si>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</si>
  <si>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</si>
  <si>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</si>
  <si>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</si>
  <si>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</si>
  <si>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</si>
  <si>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</si>
  <si>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</si>
  <si>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</si>
  <si>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</si>
  <si>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</si>
  <si>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</si>
  <si>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</si>
  <si>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</si>
  <si>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</si>
  <si>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</si>
  <si>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</si>
  <si>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</si>
  <si>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</si>
  <si>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</si>
  <si>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</si>
  <si>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</si>
  <si>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</si>
  <si>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</si>
  <si>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</si>
  <si>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</si>
  <si>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</si>
  <si>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</si>
  <si>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</si>
  <si>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</si>
  <si>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</si>
  <si>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</si>
  <si>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</si>
  <si>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</si>
  <si>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</si>
  <si>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</si>
  <si>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</si>
  <si>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</si>
  <si>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</si>
  <si>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</si>
  <si>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</si>
  <si>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</si>
  <si>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</si>
  <si>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</si>
  <si>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</si>
  <si>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</si>
  <si>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</si>
  <si>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</si>
  <si>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</si>
  <si>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</si>
  <si>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</si>
  <si>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</si>
  <si>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</si>
  <si>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</si>
  <si>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</si>
  <si>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</si>
  <si>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</si>
  <si>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</si>
  <si>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</si>
  <si>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</si>
  <si>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</si>
  <si>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</si>
  <si>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</si>
  <si>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</si>
  <si>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</si>
  <si>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</si>
  <si>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</si>
  <si>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</si>
  <si>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</si>
  <si>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</si>
  <si>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</si>
  <si>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</si>
  <si>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</si>
  <si>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</si>
  <si>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</si>
  <si>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</si>
  <si>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</si>
  <si>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</si>
  <si>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</si>
  <si>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</si>
  <si>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</si>
  <si>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</si>
  <si>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</si>
  <si>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</si>
  <si>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</si>
  <si>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</si>
  <si>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</si>
  <si>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</si>
  <si>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</si>
  <si>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</si>
  <si>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</si>
  <si>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</si>
  <si>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</si>
  <si>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</si>
  <si>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</si>
  <si>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</si>
  <si>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</si>
  <si>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</si>
  <si>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</si>
  <si>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</si>
  <si>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</si>
  <si>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</si>
  <si>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</si>
  <si>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</si>
  <si>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</si>
  <si>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</si>
  <si>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</si>
  <si>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</si>
  <si>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</si>
  <si>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</si>
  <si>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</si>
  <si>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</si>
  <si>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</si>
  <si>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</si>
  <si>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</si>
  <si>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</si>
  <si>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</si>
  <si>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</si>
  <si>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</si>
  <si>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</si>
  <si>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</si>
  <si>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</si>
  <si>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</si>
  <si>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</si>
  <si>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</si>
  <si>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</si>
  <si>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</si>
  <si>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</si>
  <si>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</si>
  <si>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</si>
  <si>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</si>
  <si>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</si>
  <si>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</si>
  <si>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</si>
  <si>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</si>
  <si>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</si>
  <si>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</si>
  <si>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</si>
  <si>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</si>
  <si>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</si>
  <si>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</si>
  <si>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</si>
  <si>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</si>
  <si>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</si>
  <si>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</si>
  <si>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</si>
  <si>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</si>
  <si>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</si>
  <si>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</si>
  <si>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</si>
  <si>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</si>
  <si>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</si>
  <si>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</si>
  <si>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</si>
  <si>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</si>
  <si>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</si>
  <si>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</si>
  <si>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</si>
  <si>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</si>
  <si>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</si>
  <si>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</si>
  <si>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</si>
  <si>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</si>
  <si>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</si>
  <si>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</si>
  <si>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</si>
  <si>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</si>
  <si>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</si>
  <si>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</si>
  <si>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</si>
  <si>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</si>
  <si>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</si>
  <si>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</si>
  <si>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</si>
  <si>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</si>
  <si>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</si>
  <si>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</si>
  <si>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</si>
  <si>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</si>
  <si>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</si>
  <si>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</si>
  <si>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</si>
  <si>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</si>
  <si>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</si>
  <si>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</si>
  <si>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</si>
  <si>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</si>
  <si>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</si>
  <si>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</si>
  <si>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</si>
  <si>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</si>
  <si>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</si>
  <si>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</si>
  <si>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</si>
  <si>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</si>
  <si>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</si>
  <si>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</si>
  <si>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</si>
  <si>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</si>
  <si>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</si>
  <si>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</si>
  <si>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</si>
  <si>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</si>
  <si>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</si>
  <si>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</si>
  <si>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</si>
  <si>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</si>
  <si>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</si>
  <si>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</si>
  <si>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</si>
  <si>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</si>
  <si>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</si>
  <si>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</si>
  <si>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</si>
  <si>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</si>
  <si>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</si>
  <si>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</si>
  <si>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</si>
  <si>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</si>
  <si>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</si>
  <si>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</si>
  <si>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</si>
  <si>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</si>
  <si>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</si>
  <si>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</si>
  <si>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</si>
  <si>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</si>
  <si>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</si>
  <si>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</si>
  <si>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</si>
  <si>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</si>
  <si>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</si>
  <si>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</si>
  <si>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</si>
  <si>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</si>
  <si>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</si>
  <si>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</si>
  <si>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</si>
  <si>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</si>
  <si>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</si>
  <si>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</si>
  <si>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</si>
  <si>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</si>
  <si>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</si>
  <si>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</si>
  <si>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</si>
  <si>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</si>
  <si>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</si>
  <si>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</si>
  <si>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</si>
  <si>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</si>
  <si>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</si>
  <si>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</si>
  <si>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</si>
  <si>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</si>
  <si>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</si>
  <si>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</si>
  <si>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</si>
  <si>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</si>
  <si>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</si>
  <si>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</si>
  <si>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</si>
  <si>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</si>
  <si>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</si>
  <si>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</si>
  <si>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</si>
  <si>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</si>
  <si>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</si>
  <si>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</si>
  <si>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</si>
  <si>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</si>
  <si>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</si>
  <si>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</si>
  <si>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</si>
  <si>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</si>
  <si>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</si>
  <si>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</si>
  <si>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</si>
  <si>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</si>
  <si>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</si>
  <si>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</si>
  <si>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</si>
  <si>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</si>
  <si>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</si>
  <si>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</si>
  <si>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</si>
  <si>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</si>
  <si>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</si>
  <si>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</si>
  <si>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</si>
  <si>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</si>
  <si>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</si>
  <si>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</si>
  <si>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</si>
  <si>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</si>
  <si>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</si>
  <si>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</si>
  <si>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</si>
  <si>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</si>
  <si>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</si>
  <si>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</si>
  <si>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</si>
  <si>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</si>
  <si>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</si>
  <si>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</si>
  <si>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</si>
  <si>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</si>
  <si>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</si>
  <si>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</si>
  <si>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</si>
  <si>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</si>
  <si>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</si>
  <si>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</si>
  <si>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</si>
  <si>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</si>
  <si>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</si>
  <si>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</si>
  <si>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</si>
  <si>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</si>
  <si>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</si>
  <si>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</si>
  <si>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</si>
  <si>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</si>
  <si>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</si>
  <si>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</si>
  <si>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</si>
  <si>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</si>
  <si>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</si>
  <si>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</si>
  <si>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</si>
  <si>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</si>
  <si>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</si>
  <si>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</si>
  <si>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</si>
  <si>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</si>
  <si>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</si>
  <si>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</si>
  <si>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</si>
  <si>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</si>
  <si>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</si>
  <si>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</si>
  <si>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</si>
  <si>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</si>
  <si>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</si>
  <si>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</si>
  <si>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</si>
  <si>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</si>
  <si>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</si>
  <si>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</si>
  <si>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</si>
  <si>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</si>
  <si>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</si>
  <si>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</si>
  <si>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</si>
  <si>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</si>
  <si>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</si>
  <si>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</si>
  <si>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</si>
  <si>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</si>
  <si>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</si>
  <si>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</si>
  <si>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</si>
  <si>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</si>
  <si>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</si>
  <si>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</si>
  <si>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</si>
  <si>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</si>
  <si>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</si>
  <si>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</si>
  <si>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</si>
  <si>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</si>
  <si>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</si>
  <si>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</si>
  <si>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</si>
  <si>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</si>
  <si>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</si>
  <si>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</si>
  <si>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</si>
  <si>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</si>
  <si>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</si>
  <si>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</si>
  <si>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</si>
  <si>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</si>
  <si>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</si>
  <si>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</si>
  <si>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</si>
  <si>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</si>
  <si>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</si>
  <si>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</si>
  <si>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</si>
  <si>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</si>
  <si>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</si>
  <si>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</si>
  <si>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</si>
  <si>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</si>
  <si>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</si>
  <si>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</si>
  <si>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</si>
  <si>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</si>
  <si>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</si>
  <si>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</si>
  <si>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</si>
  <si>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</si>
  <si>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</si>
  <si>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</si>
  <si>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</si>
  <si>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</si>
  <si>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</si>
  <si>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</si>
  <si>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</si>
  <si>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</si>
  <si>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</si>
  <si>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</si>
  <si>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</si>
  <si>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</si>
  <si>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</si>
  <si>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</si>
  <si>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</si>
  <si>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</si>
  <si>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</si>
  <si>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</si>
  <si>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</si>
  <si>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</si>
  <si>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</si>
  <si>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</si>
  <si>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</si>
  <si>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</si>
  <si>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</si>
  <si>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</si>
  <si>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</si>
  <si>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</si>
  <si>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</si>
  <si>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</si>
  <si>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</si>
  <si>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</si>
  <si>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</si>
  <si>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</si>
  <si>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</si>
  <si>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</si>
  <si>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</si>
  <si>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</si>
  <si>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</si>
  <si>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</si>
  <si>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</si>
  <si>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</si>
  <si>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</si>
  <si>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</si>
  <si>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</si>
  <si>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</si>
  <si>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</si>
  <si>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</si>
  <si>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</si>
  <si>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</si>
  <si>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</si>
  <si>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</si>
  <si>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</si>
  <si>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</si>
  <si>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</si>
  <si>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</si>
  <si>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</si>
  <si>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</si>
  <si>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</si>
  <si>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</si>
  <si>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</si>
  <si>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</si>
  <si>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</si>
  <si>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</si>
  <si>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</si>
  <si>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</si>
  <si>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</si>
  <si>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</si>
  <si>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</si>
  <si>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</si>
  <si>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</si>
  <si>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</si>
  <si>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</si>
  <si>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</si>
  <si>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</si>
  <si>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</si>
  <si>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</si>
  <si>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</si>
  <si>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</si>
  <si>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</si>
  <si>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</si>
  <si>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</si>
  <si>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</si>
  <si>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</si>
  <si>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</si>
  <si>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</si>
  <si>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</si>
  <si>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</si>
  <si>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</si>
  <si>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</si>
  <si>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</si>
  <si>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</si>
  <si>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</si>
  <si>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</si>
  <si>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</si>
  <si>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</si>
  <si>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</si>
  <si>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</si>
  <si>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</si>
  <si>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</si>
  <si>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</si>
  <si>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</si>
  <si>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</si>
  <si>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</si>
  <si>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</si>
  <si>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</si>
  <si>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</si>
  <si>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</si>
  <si>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</si>
  <si>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</si>
  <si>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</si>
  <si>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</si>
  <si>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</si>
  <si>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</si>
  <si>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</si>
  <si>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</si>
  <si>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</si>
  <si>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</si>
  <si>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</si>
  <si>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</si>
  <si>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</si>
  <si>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</si>
  <si>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</si>
  <si>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</si>
  <si>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</si>
  <si>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</si>
  <si>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</si>
  <si>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</si>
  <si>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</si>
  <si>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</si>
  <si>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</si>
  <si>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</si>
  <si>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</si>
  <si>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</si>
  <si>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</si>
  <si>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</si>
  <si>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</si>
  <si>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</si>
  <si>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</si>
  <si>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</si>
  <si>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</si>
  <si>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</si>
  <si>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</si>
  <si>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</si>
  <si>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</si>
  <si>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</si>
  <si>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</si>
  <si>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</si>
  <si>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</si>
  <si>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</si>
  <si>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</si>
  <si>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</si>
  <si>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</si>
  <si>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</si>
  <si>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</si>
  <si>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</si>
  <si>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</si>
  <si>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</si>
  <si>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</si>
  <si>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</si>
  <si>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</si>
  <si>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</si>
  <si>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</si>
  <si>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</si>
  <si>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</si>
  <si>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</si>
  <si>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</si>
  <si>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</si>
  <si>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</si>
  <si>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</si>
  <si>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</si>
  <si>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</si>
  <si>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</si>
  <si>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</si>
  <si>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</si>
  <si>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</si>
  <si>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</si>
  <si>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</si>
  <si>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</si>
  <si>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</si>
  <si>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</si>
  <si>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</si>
  <si>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</si>
  <si>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</si>
  <si>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</si>
  <si>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</si>
  <si>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</si>
  <si>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</si>
  <si>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</si>
  <si>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</si>
  <si>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</si>
  <si>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</si>
  <si>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</si>
  <si>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</si>
  <si>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</si>
  <si>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</si>
  <si>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</si>
  <si>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</si>
  <si>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</si>
  <si>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</si>
  <si>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</si>
  <si>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</si>
  <si>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</si>
  <si>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</si>
  <si>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</si>
  <si>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</si>
  <si>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</si>
  <si>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</si>
  <si>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</si>
  <si>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</si>
  <si>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</si>
  <si>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</si>
  <si>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</si>
  <si>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</si>
  <si>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</si>
  <si>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</si>
  <si>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</si>
  <si>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</si>
  <si>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</si>
  <si>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</si>
  <si>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</si>
  <si>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</si>
  <si>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</si>
  <si>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</si>
  <si>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</si>
  <si>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</si>
  <si>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</si>
  <si>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</si>
  <si>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</si>
  <si>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</si>
  <si>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</si>
  <si>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</si>
  <si>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</si>
  <si>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</si>
  <si>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</si>
  <si>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</si>
  <si>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</si>
  <si>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</si>
  <si>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</si>
  <si>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</si>
  <si>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</si>
  <si>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</si>
  <si>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</si>
  <si>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</si>
  <si>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</si>
  <si>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</si>
  <si>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</si>
  <si>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</si>
  <si>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</si>
  <si>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</si>
  <si>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</si>
  <si>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</si>
  <si>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</si>
  <si>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</si>
  <si>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</si>
  <si>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</si>
  <si>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</si>
  <si>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</si>
  <si>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</si>
  <si>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</si>
  <si>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</si>
  <si>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</si>
  <si>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</si>
  <si>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</si>
  <si>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</si>
  <si>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</si>
  <si>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</si>
  <si>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</si>
  <si>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</si>
  <si>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</si>
  <si>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</si>
  <si>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</si>
  <si>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</si>
  <si>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</si>
  <si>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</si>
  <si>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</si>
  <si>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</si>
  <si>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</si>
  <si>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</si>
  <si>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</si>
  <si>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</si>
  <si>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</si>
  <si>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</si>
  <si>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</si>
  <si>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</si>
  <si>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</si>
  <si>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</si>
  <si>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</si>
  <si>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</si>
  <si>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</si>
  <si>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</si>
  <si>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</si>
  <si>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</si>
  <si>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</si>
  <si>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</si>
  <si>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</si>
  <si>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</si>
  <si>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</si>
  <si>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</si>
  <si>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</si>
  <si>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</si>
  <si>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</si>
  <si>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</si>
  <si>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</si>
  <si>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</si>
  <si>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</si>
  <si>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</si>
  <si>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</si>
  <si>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</si>
  <si>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</si>
  <si>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</si>
  <si>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</si>
  <si>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</si>
  <si>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</si>
  <si>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</si>
  <si>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</si>
  <si>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</si>
  <si>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</si>
  <si>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</si>
  <si>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</si>
  <si>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</si>
  <si>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</si>
  <si>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</si>
  <si>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</si>
  <si>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</si>
  <si>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</si>
  <si>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</si>
  <si>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</si>
  <si>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</si>
  <si>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</si>
  <si>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</si>
  <si>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</si>
  <si>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</si>
  <si>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</si>
  <si>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</si>
  <si>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</si>
  <si>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</si>
  <si>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</si>
  <si>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</si>
  <si>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</si>
  <si>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</si>
  <si>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</si>
  <si>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</si>
  <si>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</si>
  <si>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</si>
  <si>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</si>
  <si>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</si>
  <si>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</si>
  <si>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</si>
  <si>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</si>
  <si>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</si>
  <si>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</si>
  <si>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</si>
  <si>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</si>
  <si>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</si>
  <si>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</si>
  <si>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</si>
  <si>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</si>
  <si>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</si>
  <si>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</si>
  <si>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</si>
  <si>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</si>
  <si>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</si>
  <si>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</si>
  <si>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</si>
  <si>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</si>
  <si>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</si>
  <si>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</si>
  <si>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</si>
  <si>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</si>
  <si>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</si>
  <si>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</si>
  <si>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</si>
  <si>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</si>
  <si>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</si>
  <si>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</si>
  <si>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</si>
  <si>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</si>
  <si>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</si>
  <si>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</si>
  <si>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</si>
  <si>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</si>
  <si>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</si>
  <si>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</si>
  <si>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</si>
  <si>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</si>
  <si>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</si>
  <si>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</si>
  <si>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</si>
  <si>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</si>
  <si>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</si>
  <si>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</si>
  <si>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</si>
  <si>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</si>
  <si>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</si>
  <si>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</si>
  <si>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</si>
  <si>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</si>
  <si>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</si>
  <si>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</si>
  <si>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</si>
  <si>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</si>
  <si>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</si>
  <si>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</si>
  <si>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</si>
  <si>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</si>
  <si>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</si>
  <si>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</si>
  <si>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</si>
  <si>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</si>
  <si>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</si>
  <si>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</si>
  <si>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</si>
  <si>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</si>
  <si>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</si>
  <si>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</si>
  <si>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</si>
  <si>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</si>
  <si>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</si>
  <si>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</si>
  <si>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</si>
  <si>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</si>
  <si>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</si>
  <si>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</si>
  <si>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</si>
  <si>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</si>
  <si>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</si>
  <si>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</si>
  <si>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</si>
  <si>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</si>
  <si>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</si>
  <si>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</si>
  <si>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</si>
  <si>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</si>
  <si>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</si>
  <si>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</si>
  <si>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</si>
  <si>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</si>
  <si>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</si>
  <si>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</si>
  <si>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</si>
  <si>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</si>
  <si>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</si>
  <si>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</si>
  <si>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</si>
  <si>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</si>
  <si>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</si>
  <si>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</si>
  <si>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</si>
  <si>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</si>
  <si>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</si>
  <si>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</si>
  <si>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</si>
  <si>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</si>
  <si>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</si>
  <si>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</si>
  <si>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</si>
  <si>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</si>
  <si>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</si>
  <si>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</si>
  <si>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</si>
  <si>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</si>
  <si>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</si>
  <si>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</si>
  <si>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</si>
  <si>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</si>
  <si>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</si>
  <si>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</si>
  <si>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</si>
  <si>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</si>
  <si>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</si>
  <si>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</si>
  <si>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</si>
  <si>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</si>
  <si>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</si>
  <si>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</si>
  <si>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</si>
  <si>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</si>
  <si>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</si>
  <si>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</si>
  <si>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</si>
  <si>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</si>
  <si>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</si>
  <si>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</si>
  <si>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</si>
  <si>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</si>
  <si>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</si>
  <si>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</si>
  <si>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</si>
  <si>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</si>
  <si>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</si>
  <si>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</si>
  <si>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</si>
  <si>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</si>
  <si>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</si>
  <si>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</si>
  <si>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</si>
  <si>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</si>
  <si>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</si>
  <si>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</si>
  <si>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</si>
  <si>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</si>
  <si>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</si>
  <si>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</si>
  <si>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</si>
  <si>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</si>
  <si>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</si>
  <si>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</si>
  <si>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</si>
  <si>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</si>
  <si>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</si>
  <si>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</si>
  <si>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</si>
  <si>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</si>
  <si>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</si>
  <si>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</si>
  <si>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</si>
  <si>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</si>
  <si>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</si>
  <si>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</si>
  <si>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</si>
  <si>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</si>
  <si>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</si>
  <si>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</si>
  <si>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</si>
  <si>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</si>
  <si>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</si>
  <si>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</si>
  <si>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</si>
  <si>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</si>
  <si>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</si>
  <si>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</si>
  <si>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</si>
  <si>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</si>
  <si>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</si>
  <si>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</si>
  <si>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</si>
  <si>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</si>
  <si>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</si>
  <si>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</si>
  <si>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</si>
  <si>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</si>
  <si>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</si>
  <si>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</si>
  <si>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</si>
  <si>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</si>
  <si>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</si>
  <si>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</si>
  <si>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</si>
  <si>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</si>
  <si>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</si>
  <si>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</si>
  <si>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</si>
  <si>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</si>
  <si>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</si>
  <si>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</si>
  <si>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</si>
  <si>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</si>
  <si>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</si>
  <si>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</si>
  <si>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</si>
  <si>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</si>
  <si>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</si>
  <si>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</si>
  <si>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</si>
  <si>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</si>
  <si>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</si>
  <si>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</si>
  <si>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</si>
  <si>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</si>
  <si>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</si>
  <si>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</si>
  <si>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</si>
  <si>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</si>
  <si>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</si>
  <si>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</si>
  <si>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</si>
  <si>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</si>
  <si>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</si>
  <si>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</si>
  <si>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</si>
  <si>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</si>
  <si>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</si>
  <si>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</si>
  <si>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</si>
  <si>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</si>
  <si>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</si>
  <si>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</si>
  <si>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</si>
  <si>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</si>
  <si>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</si>
  <si>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</si>
  <si>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</si>
  <si>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</si>
  <si>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</si>
  <si>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</si>
  <si>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</si>
  <si>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</si>
  <si>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</si>
  <si>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</si>
  <si>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</si>
  <si>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</si>
  <si>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</si>
  <si>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</si>
  <si>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</si>
  <si>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</si>
  <si>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</si>
  <si>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</si>
  <si>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</si>
  <si>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</si>
  <si>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</si>
  <si>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</si>
  <si>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</si>
  <si>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</si>
  <si>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</si>
  <si>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</si>
  <si>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</si>
  <si>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</si>
  <si>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</si>
  <si>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</si>
  <si>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</si>
  <si>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</si>
  <si>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</si>
  <si>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</si>
  <si>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</si>
  <si>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</si>
  <si>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</si>
  <si>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</si>
  <si>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</si>
  <si>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</si>
  <si>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</si>
  <si>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</si>
  <si>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</si>
  <si>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</si>
  <si>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</si>
  <si>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</si>
  <si>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</si>
  <si>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</si>
  <si>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</si>
  <si>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</si>
  <si>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</si>
  <si>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</si>
  <si>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</si>
  <si>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</si>
  <si>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</si>
  <si>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</si>
  <si>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</si>
  <si>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</si>
  <si>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</si>
  <si>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</si>
  <si>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</si>
  <si>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</si>
  <si>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</si>
  <si>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</si>
  <si>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</si>
  <si>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</si>
  <si>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</si>
  <si>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</si>
  <si>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</si>
  <si>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</si>
  <si>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</si>
  <si>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</si>
  <si>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</si>
  <si>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</si>
  <si>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</si>
  <si>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</si>
  <si>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</si>
  <si>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</si>
  <si>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</si>
  <si>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</si>
  <si>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</si>
  <si>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</si>
  <si>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</si>
  <si>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</si>
  <si>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</si>
  <si>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</si>
  <si>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</si>
  <si>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</si>
  <si>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</si>
  <si>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</si>
  <si>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</si>
  <si>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</si>
  <si>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</si>
  <si>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</si>
  <si>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</si>
  <si>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</si>
  <si>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</si>
  <si>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</si>
  <si>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</si>
  <si>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</si>
  <si>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</si>
  <si>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</si>
  <si>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</si>
  <si>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</si>
  <si>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</si>
  <si>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</si>
  <si>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</si>
  <si>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</si>
  <si>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</si>
  <si>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</si>
  <si>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</si>
  <si>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</si>
  <si>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</si>
  <si>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</si>
  <si>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</si>
  <si>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</si>
  <si>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</si>
  <si>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</si>
  <si>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</si>
  <si>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</si>
  <si>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</si>
  <si>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</si>
  <si>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</si>
  <si>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</si>
  <si>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</si>
  <si>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</si>
  <si>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</si>
  <si>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</si>
  <si>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</si>
  <si>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</si>
  <si>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</si>
  <si>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</si>
  <si>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</si>
  <si>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</si>
  <si>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</si>
  <si>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</si>
  <si>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</si>
  <si>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</si>
  <si>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</si>
  <si>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</si>
  <si>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</si>
  <si>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</si>
  <si>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</si>
  <si>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</si>
  <si>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</si>
  <si>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</si>
  <si>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</si>
  <si>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</si>
  <si>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</si>
  <si>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</si>
  <si>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</si>
  <si>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</si>
  <si>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</si>
  <si>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</si>
  <si>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</si>
  <si>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</si>
  <si>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</si>
  <si>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</si>
  <si>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</si>
  <si>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</si>
  <si>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</si>
  <si>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</si>
  <si>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</si>
  <si>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</si>
  <si>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</si>
  <si>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</si>
  <si>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</si>
  <si>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</si>
  <si>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</si>
  <si>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</si>
  <si>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</si>
  <si>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</si>
  <si>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</si>
  <si>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</si>
  <si>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</si>
  <si>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</si>
  <si>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</si>
  <si>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</si>
  <si>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</si>
  <si>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</si>
  <si>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</si>
  <si>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</si>
  <si>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</si>
  <si>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</si>
  <si>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</si>
  <si>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</si>
  <si>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</si>
  <si>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</si>
  <si>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</si>
  <si>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</si>
  <si>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</si>
  <si>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</si>
  <si>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</si>
  <si>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</si>
  <si>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</si>
  <si>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</si>
  <si>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</si>
  <si>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</si>
  <si>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</si>
  <si>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</si>
  <si>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</si>
  <si>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</si>
  <si>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</si>
  <si>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</si>
  <si>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</si>
  <si>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</si>
  <si>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</si>
  <si>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</si>
  <si>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</si>
  <si>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</si>
  <si>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</si>
  <si>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</si>
  <si>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</si>
  <si>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</si>
  <si>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</si>
  <si>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</si>
  <si>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</si>
  <si>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</si>
  <si>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</si>
  <si>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</si>
  <si>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</si>
  <si>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</si>
  <si>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</si>
  <si>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</si>
  <si>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</si>
  <si>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</si>
  <si>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</si>
  <si>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</si>
  <si>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</si>
  <si>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</si>
  <si>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</si>
  <si>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</si>
  <si>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</si>
  <si>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</si>
  <si>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</si>
  <si>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</si>
  <si>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</si>
  <si>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</si>
  <si>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</si>
  <si>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</si>
  <si>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</si>
  <si>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</si>
  <si>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</si>
  <si>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</si>
  <si>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</si>
  <si>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</si>
  <si>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</si>
  <si>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</si>
  <si>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</si>
  <si>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</si>
  <si>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</si>
  <si>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</si>
  <si>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</si>
  <si>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</si>
  <si>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</si>
  <si>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</si>
  <si>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</si>
  <si>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</si>
  <si>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</si>
  <si>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</si>
  <si>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</si>
  <si>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</si>
  <si>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</si>
  <si>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</si>
  <si>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</si>
  <si>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</si>
  <si>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</si>
  <si>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</si>
  <si>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</si>
  <si>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</si>
  <si>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</si>
  <si>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</si>
  <si>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</si>
  <si>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</si>
  <si>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</si>
  <si>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</si>
  <si>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</si>
  <si>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</si>
  <si>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</si>
  <si>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</si>
  <si>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</si>
  <si>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</si>
  <si>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</si>
  <si>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</si>
  <si>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</si>
  <si>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</si>
  <si>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</si>
  <si>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</si>
  <si>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</si>
  <si>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</si>
  <si>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</si>
  <si>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</si>
  <si>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</si>
  <si>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</si>
  <si>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</si>
  <si>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</si>
  <si>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</si>
  <si>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</si>
  <si>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</si>
  <si>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</si>
  <si>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</si>
  <si>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</si>
  <si>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</si>
  <si>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</si>
  <si>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</si>
  <si>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</si>
  <si>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</si>
  <si>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</si>
  <si>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</si>
  <si>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</si>
  <si>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</si>
  <si>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</si>
  <si>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</si>
  <si>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</si>
  <si>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</si>
  <si>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</si>
  <si>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</si>
  <si>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</si>
  <si>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</si>
  <si>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</si>
  <si>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</si>
  <si>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</si>
  <si>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</si>
  <si>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</si>
  <si>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</si>
  <si>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</si>
  <si>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</si>
  <si>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</si>
  <si>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</si>
  <si>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</si>
  <si>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</si>
  <si>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</si>
  <si>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</si>
  <si>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</si>
  <si>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</si>
  <si>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</si>
  <si>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</si>
  <si>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</si>
  <si>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</si>
  <si>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</si>
  <si>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</si>
  <si>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</si>
  <si>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</si>
  <si>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</si>
  <si>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</si>
  <si>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</si>
  <si>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</si>
  <si>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</si>
  <si>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</si>
  <si>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</si>
  <si>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</si>
  <si>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</si>
  <si>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</si>
  <si>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</si>
  <si>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</si>
  <si>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</si>
  <si>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</si>
  <si>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</si>
  <si>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</si>
  <si>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</si>
  <si>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</si>
  <si>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</si>
  <si>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</si>
  <si>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</si>
  <si>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</si>
  <si>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</si>
  <si>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</si>
  <si>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</si>
  <si>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</si>
  <si>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</si>
  <si>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</si>
  <si>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</si>
  <si>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</si>
  <si>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</si>
  <si>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</si>
  <si>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</si>
  <si>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</si>
  <si>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</si>
  <si>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</si>
  <si>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</si>
  <si>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</si>
  <si>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</si>
  <si>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</si>
  <si>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</si>
  <si>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</si>
  <si>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</si>
  <si>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</si>
  <si>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</si>
  <si>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</si>
  <si>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</si>
  <si>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</si>
  <si>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</si>
  <si>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</si>
  <si>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</si>
  <si>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</si>
  <si>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</si>
  <si>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</si>
  <si>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</si>
  <si>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</si>
  <si>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</si>
  <si>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</si>
  <si>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</si>
  <si>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</si>
  <si>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</si>
  <si>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</si>
  <si>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</si>
  <si>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</si>
  <si>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</si>
  <si>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</si>
  <si>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</si>
  <si>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</si>
  <si>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</si>
  <si>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</si>
  <si>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</si>
  <si>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</si>
  <si>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</si>
  <si>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</si>
  <si>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</si>
  <si>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</si>
  <si>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</si>
  <si>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</si>
  <si>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</si>
  <si>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</si>
  <si>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</si>
  <si>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</si>
  <si>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</si>
  <si>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</si>
  <si>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</si>
  <si>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</si>
  <si>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</si>
  <si>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</si>
  <si>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</si>
  <si>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</si>
  <si>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</si>
  <si>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</si>
  <si>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</si>
  <si>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</si>
  <si>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</si>
  <si>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</si>
  <si>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</si>
  <si>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</si>
  <si>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</si>
  <si>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</si>
  <si>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</si>
  <si>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</si>
  <si>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</si>
  <si>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</si>
  <si>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</si>
  <si>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</si>
  <si>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</si>
  <si>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</si>
  <si>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</si>
  <si>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</si>
  <si>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</si>
  <si>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</si>
  <si>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</si>
  <si>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</si>
  <si>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</si>
  <si>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</si>
  <si>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</si>
  <si>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</si>
  <si>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</si>
  <si>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</si>
  <si>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</si>
  <si>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</si>
  <si>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</si>
  <si>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</si>
  <si>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</si>
  <si>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</si>
  <si>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</si>
  <si>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</si>
  <si>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</si>
  <si>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</si>
  <si>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</si>
  <si>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</si>
  <si>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</si>
  <si>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</si>
  <si>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</si>
  <si>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</si>
  <si>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</si>
  <si>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</si>
  <si>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</si>
  <si>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</si>
  <si>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</si>
  <si>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</si>
  <si>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</si>
  <si>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</si>
  <si>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</si>
  <si>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</si>
  <si>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</si>
  <si>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</si>
  <si>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</si>
  <si>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</si>
  <si>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</si>
  <si>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</si>
  <si>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</si>
  <si>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</si>
  <si>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</si>
  <si>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</si>
  <si>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</si>
  <si>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</si>
  <si>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</si>
  <si>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</si>
  <si>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</si>
  <si>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</si>
  <si>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</si>
  <si>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</si>
  <si>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</si>
  <si>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</si>
  <si>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</si>
  <si>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</si>
  <si>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</si>
  <si>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</si>
  <si>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</si>
  <si>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</si>
  <si>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</si>
  <si>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</si>
  <si>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</si>
  <si>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</si>
  <si>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</si>
  <si>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</si>
  <si>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</si>
  <si>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</si>
  <si>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</si>
  <si>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</si>
  <si>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</si>
  <si>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</si>
  <si>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</si>
  <si>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</si>
  <si>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</si>
  <si>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</si>
  <si>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</si>
  <si>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</si>
  <si>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</si>
  <si>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</si>
  <si>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</si>
  <si>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</si>
  <si>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</si>
  <si>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</si>
  <si>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</si>
  <si>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</si>
  <si>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</si>
  <si>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</si>
  <si>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</si>
  <si>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</si>
  <si>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</si>
  <si>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</si>
  <si>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</si>
  <si>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</si>
  <si>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</si>
  <si>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</si>
  <si>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</si>
  <si>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</si>
  <si>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</si>
  <si>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</si>
  <si>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</si>
  <si>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</si>
  <si>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</si>
  <si>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</si>
  <si>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</si>
  <si>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</si>
  <si>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</si>
  <si>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</si>
  <si>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</si>
  <si>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</si>
  <si>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</si>
  <si>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</si>
  <si>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</si>
  <si>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</si>
  <si>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</si>
  <si>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</si>
  <si>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</si>
  <si>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</si>
  <si>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</si>
  <si>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</si>
  <si>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</si>
  <si>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</si>
  <si>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</si>
  <si>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</si>
  <si>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</si>
  <si>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</si>
  <si>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</si>
  <si>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</si>
  <si>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</si>
  <si>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</si>
  <si>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</si>
  <si>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</si>
  <si>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</si>
  <si>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</si>
  <si>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</si>
  <si>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</si>
  <si>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</si>
  <si>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</si>
  <si>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</si>
  <si>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</si>
  <si>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</si>
  <si>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</si>
  <si>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</si>
  <si>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</si>
  <si>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</si>
  <si>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</si>
  <si>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</si>
  <si>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</si>
  <si>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</si>
  <si>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</si>
  <si>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</si>
  <si>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Warehouse</t>
  </si>
  <si>
    <t>UnitCost</t>
  </si>
  <si>
    <t>UnitPrice</t>
  </si>
  <si>
    <t>StockOnHand</t>
  </si>
  <si>
    <t>LeadTimeDays</t>
  </si>
  <si>
    <t>OrderingCost</t>
  </si>
  <si>
    <t>HoldingCostPct</t>
  </si>
  <si>
    <t>WH-Delhi</t>
  </si>
  <si>
    <t>WH-Chennai</t>
  </si>
  <si>
    <t>WH-Mumbai</t>
  </si>
  <si>
    <t>WH-Kolkata</t>
  </si>
  <si>
    <t>SupplierID</t>
  </si>
  <si>
    <t>SupplierName</t>
  </si>
  <si>
    <t>Country</t>
  </si>
  <si>
    <t>AvgLeadTimeDays</t>
  </si>
  <si>
    <t>OTIF_Target</t>
  </si>
  <si>
    <t>QualityRating</t>
  </si>
  <si>
    <t>CostIndex</t>
  </si>
  <si>
    <t>SUP-01</t>
  </si>
  <si>
    <t>Reliable Components Pvt Ltd</t>
  </si>
  <si>
    <t>India</t>
  </si>
  <si>
    <t>SUP-02</t>
  </si>
  <si>
    <t>Global Textile Works</t>
  </si>
  <si>
    <t>Bangladesh</t>
  </si>
  <si>
    <t>SUP-03</t>
  </si>
  <si>
    <t>HomeCraft Manufacturing</t>
  </si>
  <si>
    <t>SUP-04</t>
  </si>
  <si>
    <t>FreshSource Foods</t>
  </si>
  <si>
    <t>SUP-05</t>
  </si>
  <si>
    <t>ActiveGear Industries</t>
  </si>
  <si>
    <t>Vietnam</t>
  </si>
  <si>
    <t>SUP-06</t>
  </si>
  <si>
    <t>TechParts International</t>
  </si>
  <si>
    <t>China</t>
  </si>
  <si>
    <t>SUP-07</t>
  </si>
  <si>
    <t>Prime Apparel Co</t>
  </si>
  <si>
    <t>SUP-08</t>
  </si>
  <si>
    <t>KitchenWorks Ltd</t>
  </si>
  <si>
    <t>ShipmentID</t>
  </si>
  <si>
    <t>ShipDate</t>
  </si>
  <si>
    <t>PromisedDate</t>
  </si>
  <si>
    <t>ActualDeliveryDate</t>
  </si>
  <si>
    <t>Carrier</t>
  </si>
  <si>
    <t>QtyShipped</t>
  </si>
  <si>
    <t>OTIF</t>
  </si>
  <si>
    <t>OTIF_Flag(1/0)</t>
  </si>
  <si>
    <t>SHP-00001</t>
  </si>
  <si>
    <t>DHL</t>
  </si>
  <si>
    <t>SHP-00002</t>
  </si>
  <si>
    <t>FedEx</t>
  </si>
  <si>
    <t>SHP-00003</t>
  </si>
  <si>
    <t>Ekart</t>
  </si>
  <si>
    <t>SHP-00004</t>
  </si>
  <si>
    <t>BlueDart</t>
  </si>
  <si>
    <t>SHP-00005</t>
  </si>
  <si>
    <t>SHP-00006</t>
  </si>
  <si>
    <t>SHP-00007</t>
  </si>
  <si>
    <t>SHP-00008</t>
  </si>
  <si>
    <t>SHP-00009</t>
  </si>
  <si>
    <t>SHP-00010</t>
  </si>
  <si>
    <t>SHP-00011</t>
  </si>
  <si>
    <t>Delhivery</t>
  </si>
  <si>
    <t>SHP-00012</t>
  </si>
  <si>
    <t>SHP-00013</t>
  </si>
  <si>
    <t>SHP-00014</t>
  </si>
  <si>
    <t>SHP-00015</t>
  </si>
  <si>
    <t>SHP-00016</t>
  </si>
  <si>
    <t>SHP-00017</t>
  </si>
  <si>
    <t>SHP-00018</t>
  </si>
  <si>
    <t>SHP-00019</t>
  </si>
  <si>
    <t>SHP-00020</t>
  </si>
  <si>
    <t>SHP-00021</t>
  </si>
  <si>
    <t>SHP-00022</t>
  </si>
  <si>
    <t>SHP-00023</t>
  </si>
  <si>
    <t>SHP-00024</t>
  </si>
  <si>
    <t>SHP-00025</t>
  </si>
  <si>
    <t>SHP-00026</t>
  </si>
  <si>
    <t>SHP-00027</t>
  </si>
  <si>
    <t>SHP-00028</t>
  </si>
  <si>
    <t>SHP-00029</t>
  </si>
  <si>
    <t>SHP-00030</t>
  </si>
  <si>
    <t>SHP-00031</t>
  </si>
  <si>
    <t>SHP-00032</t>
  </si>
  <si>
    <t>SHP-00033</t>
  </si>
  <si>
    <t>SHP-00034</t>
  </si>
  <si>
    <t>SHP-00035</t>
  </si>
  <si>
    <t>SHP-00036</t>
  </si>
  <si>
    <t>SHP-00037</t>
  </si>
  <si>
    <t>SHP-00038</t>
  </si>
  <si>
    <t>SHP-00039</t>
  </si>
  <si>
    <t>SHP-00040</t>
  </si>
  <si>
    <t>SHP-00041</t>
  </si>
  <si>
    <t>SHP-00042</t>
  </si>
  <si>
    <t>SHP-00043</t>
  </si>
  <si>
    <t>SHP-00044</t>
  </si>
  <si>
    <t>SHP-00045</t>
  </si>
  <si>
    <t>SHP-00046</t>
  </si>
  <si>
    <t>SHP-00047</t>
  </si>
  <si>
    <t>SHP-00048</t>
  </si>
  <si>
    <t>SHP-00049</t>
  </si>
  <si>
    <t>SHP-00050</t>
  </si>
  <si>
    <t>SHP-00051</t>
  </si>
  <si>
    <t>SHP-00052</t>
  </si>
  <si>
    <t>SHP-00053</t>
  </si>
  <si>
    <t>SHP-00054</t>
  </si>
  <si>
    <t>SHP-00055</t>
  </si>
  <si>
    <t>SHP-00056</t>
  </si>
  <si>
    <t>SHP-00057</t>
  </si>
  <si>
    <t>SHP-00058</t>
  </si>
  <si>
    <t>SHP-00059</t>
  </si>
  <si>
    <t>SHP-00060</t>
  </si>
  <si>
    <t>SHP-00061</t>
  </si>
  <si>
    <t>SHP-00062</t>
  </si>
  <si>
    <t>SHP-00063</t>
  </si>
  <si>
    <t>SHP-00064</t>
  </si>
  <si>
    <t>SHP-00065</t>
  </si>
  <si>
    <t>SHP-00066</t>
  </si>
  <si>
    <t>SHP-00067</t>
  </si>
  <si>
    <t>SHP-00068</t>
  </si>
  <si>
    <t>SHP-00069</t>
  </si>
  <si>
    <t>SHP-00070</t>
  </si>
  <si>
    <t>SHP-00071</t>
  </si>
  <si>
    <t>SHP-00072</t>
  </si>
  <si>
    <t>SHP-00073</t>
  </si>
  <si>
    <t>SHP-00074</t>
  </si>
  <si>
    <t>SHP-00075</t>
  </si>
  <si>
    <t>SHP-00076</t>
  </si>
  <si>
    <t>SHP-00077</t>
  </si>
  <si>
    <t>SHP-00078</t>
  </si>
  <si>
    <t>SHP-00079</t>
  </si>
  <si>
    <t>SHP-00080</t>
  </si>
  <si>
    <t>SHP-00081</t>
  </si>
  <si>
    <t>SHP-00082</t>
  </si>
  <si>
    <t>SHP-00083</t>
  </si>
  <si>
    <t>SHP-00084</t>
  </si>
  <si>
    <t>SHP-00085</t>
  </si>
  <si>
    <t>SHP-00086</t>
  </si>
  <si>
    <t>SHP-00087</t>
  </si>
  <si>
    <t>SHP-00088</t>
  </si>
  <si>
    <t>SHP-00089</t>
  </si>
  <si>
    <t>SHP-00090</t>
  </si>
  <si>
    <t>SHP-00091</t>
  </si>
  <si>
    <t>SHP-00092</t>
  </si>
  <si>
    <t>SHP-00093</t>
  </si>
  <si>
    <t>SHP-00094</t>
  </si>
  <si>
    <t>SHP-00095</t>
  </si>
  <si>
    <t>SHP-00096</t>
  </si>
  <si>
    <t>SHP-00097</t>
  </si>
  <si>
    <t>SHP-00098</t>
  </si>
  <si>
    <t>SHP-00099</t>
  </si>
  <si>
    <t>SHP-00100</t>
  </si>
  <si>
    <t>SHP-00101</t>
  </si>
  <si>
    <t>SHP-00102</t>
  </si>
  <si>
    <t>SHP-00103</t>
  </si>
  <si>
    <t>SHP-00104</t>
  </si>
  <si>
    <t>SHP-00105</t>
  </si>
  <si>
    <t>SHP-00106</t>
  </si>
  <si>
    <t>SHP-00107</t>
  </si>
  <si>
    <t>SHP-00108</t>
  </si>
  <si>
    <t>SHP-00109</t>
  </si>
  <si>
    <t>SHP-00110</t>
  </si>
  <si>
    <t>SHP-00111</t>
  </si>
  <si>
    <t>SHP-00112</t>
  </si>
  <si>
    <t>SHP-00113</t>
  </si>
  <si>
    <t>SHP-00114</t>
  </si>
  <si>
    <t>SHP-00115</t>
  </si>
  <si>
    <t>SHP-00116</t>
  </si>
  <si>
    <t>SHP-00117</t>
  </si>
  <si>
    <t>SHP-00118</t>
  </si>
  <si>
    <t>SHP-00119</t>
  </si>
  <si>
    <t>SHP-00120</t>
  </si>
  <si>
    <t>SHP-00121</t>
  </si>
  <si>
    <t>SHP-00122</t>
  </si>
  <si>
    <t>SHP-00123</t>
  </si>
  <si>
    <t>SHP-00124</t>
  </si>
  <si>
    <t>SHP-00125</t>
  </si>
  <si>
    <t>SHP-00126</t>
  </si>
  <si>
    <t>SHP-00127</t>
  </si>
  <si>
    <t>SHP-00128</t>
  </si>
  <si>
    <t>SHP-00129</t>
  </si>
  <si>
    <t>SHP-00130</t>
  </si>
  <si>
    <t>SHP-00131</t>
  </si>
  <si>
    <t>SHP-00132</t>
  </si>
  <si>
    <t>SHP-00133</t>
  </si>
  <si>
    <t>SHP-00134</t>
  </si>
  <si>
    <t>SHP-00135</t>
  </si>
  <si>
    <t>SHP-00136</t>
  </si>
  <si>
    <t>SHP-00137</t>
  </si>
  <si>
    <t>SHP-00138</t>
  </si>
  <si>
    <t>SHP-00139</t>
  </si>
  <si>
    <t>SHP-00140</t>
  </si>
  <si>
    <t>SHP-00141</t>
  </si>
  <si>
    <t>SHP-00142</t>
  </si>
  <si>
    <t>SHP-00143</t>
  </si>
  <si>
    <t>SHP-00144</t>
  </si>
  <si>
    <t>SHP-00145</t>
  </si>
  <si>
    <t>SHP-00146</t>
  </si>
  <si>
    <t>SHP-00147</t>
  </si>
  <si>
    <t>SHP-00148</t>
  </si>
  <si>
    <t>SHP-00149</t>
  </si>
  <si>
    <t>SHP-00150</t>
  </si>
  <si>
    <t>SHP-00151</t>
  </si>
  <si>
    <t>SHP-00152</t>
  </si>
  <si>
    <t>SHP-00153</t>
  </si>
  <si>
    <t>SHP-00154</t>
  </si>
  <si>
    <t>SHP-00155</t>
  </si>
  <si>
    <t>SHP-00156</t>
  </si>
  <si>
    <t>SHP-00157</t>
  </si>
  <si>
    <t>SHP-00158</t>
  </si>
  <si>
    <t>SHP-00159</t>
  </si>
  <si>
    <t>SHP-00160</t>
  </si>
  <si>
    <t>SHP-00161</t>
  </si>
  <si>
    <t>SHP-00162</t>
  </si>
  <si>
    <t>SHP-00163</t>
  </si>
  <si>
    <t>SHP-00164</t>
  </si>
  <si>
    <t>SHP-00165</t>
  </si>
  <si>
    <t>SHP-00166</t>
  </si>
  <si>
    <t>SHP-00167</t>
  </si>
  <si>
    <t>SHP-00168</t>
  </si>
  <si>
    <t>SHP-00169</t>
  </si>
  <si>
    <t>SHP-00170</t>
  </si>
  <si>
    <t>SHP-00171</t>
  </si>
  <si>
    <t>SHP-00172</t>
  </si>
  <si>
    <t>SHP-00173</t>
  </si>
  <si>
    <t>SHP-00174</t>
  </si>
  <si>
    <t>SHP-00175</t>
  </si>
  <si>
    <t>SHP-00176</t>
  </si>
  <si>
    <t>SHP-00177</t>
  </si>
  <si>
    <t>SHP-00178</t>
  </si>
  <si>
    <t>SHP-00179</t>
  </si>
  <si>
    <t>SHP-00180</t>
  </si>
  <si>
    <t>SHP-00181</t>
  </si>
  <si>
    <t>SHP-00182</t>
  </si>
  <si>
    <t>SHP-00183</t>
  </si>
  <si>
    <t>SHP-00184</t>
  </si>
  <si>
    <t>SHP-00185</t>
  </si>
  <si>
    <t>SHP-00186</t>
  </si>
  <si>
    <t>SHP-00187</t>
  </si>
  <si>
    <t>SHP-00188</t>
  </si>
  <si>
    <t>SHP-00189</t>
  </si>
  <si>
    <t>SHP-00190</t>
  </si>
  <si>
    <t>SHP-00191</t>
  </si>
  <si>
    <t>SHP-00192</t>
  </si>
  <si>
    <t>SHP-00193</t>
  </si>
  <si>
    <t>SHP-00194</t>
  </si>
  <si>
    <t>SHP-00195</t>
  </si>
  <si>
    <t>SHP-00196</t>
  </si>
  <si>
    <t>SHP-00197</t>
  </si>
  <si>
    <t>SHP-00198</t>
  </si>
  <si>
    <t>SHP-00199</t>
  </si>
  <si>
    <t>SHP-00200</t>
  </si>
  <si>
    <t>SHP-00201</t>
  </si>
  <si>
    <t>SHP-00202</t>
  </si>
  <si>
    <t>SHP-00203</t>
  </si>
  <si>
    <t>SHP-00204</t>
  </si>
  <si>
    <t>SHP-00205</t>
  </si>
  <si>
    <t>SHP-00206</t>
  </si>
  <si>
    <t>SHP-00207</t>
  </si>
  <si>
    <t>SHP-00208</t>
  </si>
  <si>
    <t>SHP-00209</t>
  </si>
  <si>
    <t>SHP-00210</t>
  </si>
  <si>
    <t>SHP-00211</t>
  </si>
  <si>
    <t>SHP-00212</t>
  </si>
  <si>
    <t>SHP-00213</t>
  </si>
  <si>
    <t>SHP-00214</t>
  </si>
  <si>
    <t>SHP-00215</t>
  </si>
  <si>
    <t>SHP-00216</t>
  </si>
  <si>
    <t>SHP-00217</t>
  </si>
  <si>
    <t>SHP-00218</t>
  </si>
  <si>
    <t>SHP-00219</t>
  </si>
  <si>
    <t>SHP-00220</t>
  </si>
  <si>
    <t>SHP-00221</t>
  </si>
  <si>
    <t>SHP-00222</t>
  </si>
  <si>
    <t>SHP-00223</t>
  </si>
  <si>
    <t>SHP-00224</t>
  </si>
  <si>
    <t>SHP-00225</t>
  </si>
  <si>
    <t>SHP-00226</t>
  </si>
  <si>
    <t>SHP-00227</t>
  </si>
  <si>
    <t>SHP-00228</t>
  </si>
  <si>
    <t>SHP-00229</t>
  </si>
  <si>
    <t>SHP-00230</t>
  </si>
  <si>
    <t>SHP-00231</t>
  </si>
  <si>
    <t>SHP-00232</t>
  </si>
  <si>
    <t>SHP-00233</t>
  </si>
  <si>
    <t>SHP-00234</t>
  </si>
  <si>
    <t>SHP-00235</t>
  </si>
  <si>
    <t>SHP-00236</t>
  </si>
  <si>
    <t>SHP-00237</t>
  </si>
  <si>
    <t>SHP-00238</t>
  </si>
  <si>
    <t>SHP-00239</t>
  </si>
  <si>
    <t>SHP-00240</t>
  </si>
  <si>
    <t>SHP-00241</t>
  </si>
  <si>
    <t>SHP-00242</t>
  </si>
  <si>
    <t>SHP-00243</t>
  </si>
  <si>
    <t>SHP-00244</t>
  </si>
  <si>
    <t>SHP-00245</t>
  </si>
  <si>
    <t>SHP-00246</t>
  </si>
  <si>
    <t>SHP-00247</t>
  </si>
  <si>
    <t>SHP-00248</t>
  </si>
  <si>
    <t>SHP-00249</t>
  </si>
  <si>
    <t>SHP-00250</t>
  </si>
  <si>
    <t>SHP-00251</t>
  </si>
  <si>
    <t>SHP-00252</t>
  </si>
  <si>
    <t>SHP-00253</t>
  </si>
  <si>
    <t>SHP-00254</t>
  </si>
  <si>
    <t>SHP-00255</t>
  </si>
  <si>
    <t>SHP-00256</t>
  </si>
  <si>
    <t>SHP-00257</t>
  </si>
  <si>
    <t>SHP-00258</t>
  </si>
  <si>
    <t>SHP-00259</t>
  </si>
  <si>
    <t>SHP-00260</t>
  </si>
  <si>
    <t>SHP-00261</t>
  </si>
  <si>
    <t>SHP-00262</t>
  </si>
  <si>
    <t>SHP-00263</t>
  </si>
  <si>
    <t>SHP-00264</t>
  </si>
  <si>
    <t>SHP-00265</t>
  </si>
  <si>
    <t>SHP-00266</t>
  </si>
  <si>
    <t>SHP-00267</t>
  </si>
  <si>
    <t>SHP-00268</t>
  </si>
  <si>
    <t>SHP-00269</t>
  </si>
  <si>
    <t>SHP-00270</t>
  </si>
  <si>
    <t>SHP-00271</t>
  </si>
  <si>
    <t>SHP-00272</t>
  </si>
  <si>
    <t>SHP-00273</t>
  </si>
  <si>
    <t>SHP-00274</t>
  </si>
  <si>
    <t>SHP-00275</t>
  </si>
  <si>
    <t>SHP-00276</t>
  </si>
  <si>
    <t>SHP-00277</t>
  </si>
  <si>
    <t>SHP-00278</t>
  </si>
  <si>
    <t>SHP-00279</t>
  </si>
  <si>
    <t>SHP-00280</t>
  </si>
  <si>
    <t>SHP-00281</t>
  </si>
  <si>
    <t>SHP-00282</t>
  </si>
  <si>
    <t>SHP-00283</t>
  </si>
  <si>
    <t>SHP-00284</t>
  </si>
  <si>
    <t>SHP-00285</t>
  </si>
  <si>
    <t>SHP-00286</t>
  </si>
  <si>
    <t>SHP-00287</t>
  </si>
  <si>
    <t>SHP-00288</t>
  </si>
  <si>
    <t>SHP-00289</t>
  </si>
  <si>
    <t>SHP-00290</t>
  </si>
  <si>
    <t>SHP-00291</t>
  </si>
  <si>
    <t>SHP-00292</t>
  </si>
  <si>
    <t>SHP-00293</t>
  </si>
  <si>
    <t>SHP-00294</t>
  </si>
  <si>
    <t>SHP-00295</t>
  </si>
  <si>
    <t>SHP-00296</t>
  </si>
  <si>
    <t>SHP-00297</t>
  </si>
  <si>
    <t>SHP-00298</t>
  </si>
  <si>
    <t>SHP-00299</t>
  </si>
  <si>
    <t>SHP-00300</t>
  </si>
  <si>
    <t>SHP-00301</t>
  </si>
  <si>
    <t>SHP-00302</t>
  </si>
  <si>
    <t>SHP-00303</t>
  </si>
  <si>
    <t>SHP-00304</t>
  </si>
  <si>
    <t>SHP-00305</t>
  </si>
  <si>
    <t>SHP-00306</t>
  </si>
  <si>
    <t>SHP-00307</t>
  </si>
  <si>
    <t>SHP-00308</t>
  </si>
  <si>
    <t>SHP-00309</t>
  </si>
  <si>
    <t>SHP-00310</t>
  </si>
  <si>
    <t>SHP-00311</t>
  </si>
  <si>
    <t>SHP-00312</t>
  </si>
  <si>
    <t>SHP-00313</t>
  </si>
  <si>
    <t>SHP-00314</t>
  </si>
  <si>
    <t>SHP-00315</t>
  </si>
  <si>
    <t>SHP-00316</t>
  </si>
  <si>
    <t>SHP-00317</t>
  </si>
  <si>
    <t>SHP-00318</t>
  </si>
  <si>
    <t>SHP-00319</t>
  </si>
  <si>
    <t>SHP-00320</t>
  </si>
  <si>
    <t>SHP-00321</t>
  </si>
  <si>
    <t>SHP-00322</t>
  </si>
  <si>
    <t>SHP-00323</t>
  </si>
  <si>
    <t>SHP-00324</t>
  </si>
  <si>
    <t>SHP-00325</t>
  </si>
  <si>
    <t>SHP-00326</t>
  </si>
  <si>
    <t>SHP-00327</t>
  </si>
  <si>
    <t>SHP-00328</t>
  </si>
  <si>
    <t>SHP-00329</t>
  </si>
  <si>
    <t>SHP-00330</t>
  </si>
  <si>
    <t>SHP-00331</t>
  </si>
  <si>
    <t>SHP-00332</t>
  </si>
  <si>
    <t>SHP-00333</t>
  </si>
  <si>
    <t>SHP-00334</t>
  </si>
  <si>
    <t>SHP-00335</t>
  </si>
  <si>
    <t>SHP-00336</t>
  </si>
  <si>
    <t>SHP-00337</t>
  </si>
  <si>
    <t>SHP-00338</t>
  </si>
  <si>
    <t>SHP-00339</t>
  </si>
  <si>
    <t>SHP-00340</t>
  </si>
  <si>
    <t>SHP-00341</t>
  </si>
  <si>
    <t>SHP-00342</t>
  </si>
  <si>
    <t>SHP-00343</t>
  </si>
  <si>
    <t>SHP-00344</t>
  </si>
  <si>
    <t>SHP-00345</t>
  </si>
  <si>
    <t>SHP-00346</t>
  </si>
  <si>
    <t>SHP-00347</t>
  </si>
  <si>
    <t>SHP-00348</t>
  </si>
  <si>
    <t>SHP-00349</t>
  </si>
  <si>
    <t>SHP-00350</t>
  </si>
  <si>
    <t>SHP-00351</t>
  </si>
  <si>
    <t>SHP-00352</t>
  </si>
  <si>
    <t>SHP-00353</t>
  </si>
  <si>
    <t>SHP-00354</t>
  </si>
  <si>
    <t>SHP-00355</t>
  </si>
  <si>
    <t>SHP-00356</t>
  </si>
  <si>
    <t>SHP-00357</t>
  </si>
  <si>
    <t>SHP-00358</t>
  </si>
  <si>
    <t>SHP-00359</t>
  </si>
  <si>
    <t>SHP-00360</t>
  </si>
  <si>
    <t>SHP-00361</t>
  </si>
  <si>
    <t>SHP-00362</t>
  </si>
  <si>
    <t>SHP-00363</t>
  </si>
  <si>
    <t>SHP-00364</t>
  </si>
  <si>
    <t>SHP-00365</t>
  </si>
  <si>
    <t>SHP-00366</t>
  </si>
  <si>
    <t>SHP-00367</t>
  </si>
  <si>
    <t>SHP-00368</t>
  </si>
  <si>
    <t>SHP-00369</t>
  </si>
  <si>
    <t>SHP-00370</t>
  </si>
  <si>
    <t>SHP-00371</t>
  </si>
  <si>
    <t>SHP-00372</t>
  </si>
  <si>
    <t>SHP-00373</t>
  </si>
  <si>
    <t>SHP-00374</t>
  </si>
  <si>
    <t>SHP-00375</t>
  </si>
  <si>
    <t>SHP-00376</t>
  </si>
  <si>
    <t>SHP-00377</t>
  </si>
  <si>
    <t>SHP-00378</t>
  </si>
  <si>
    <t>SHP-00379</t>
  </si>
  <si>
    <t>SHP-00380</t>
  </si>
  <si>
    <t>SHP-00381</t>
  </si>
  <si>
    <t>SHP-00382</t>
  </si>
  <si>
    <t>SHP-00383</t>
  </si>
  <si>
    <t>SHP-00384</t>
  </si>
  <si>
    <t>SHP-00385</t>
  </si>
  <si>
    <t>SHP-00386</t>
  </si>
  <si>
    <t>SHP-00387</t>
  </si>
  <si>
    <t>SHP-00388</t>
  </si>
  <si>
    <t>SHP-00389</t>
  </si>
  <si>
    <t>SHP-00390</t>
  </si>
  <si>
    <t>SHP-00391</t>
  </si>
  <si>
    <t>SHP-00392</t>
  </si>
  <si>
    <t>SHP-00393</t>
  </si>
  <si>
    <t>SHP-00394</t>
  </si>
  <si>
    <t>SHP-00395</t>
  </si>
  <si>
    <t>SHP-00396</t>
  </si>
  <si>
    <t>SHP-00397</t>
  </si>
  <si>
    <t>SHP-00398</t>
  </si>
  <si>
    <t>SHP-00399</t>
  </si>
  <si>
    <t>SHP-00400</t>
  </si>
  <si>
    <t>SHP-00401</t>
  </si>
  <si>
    <t>SHP-00402</t>
  </si>
  <si>
    <t>SHP-00403</t>
  </si>
  <si>
    <t>SHP-00404</t>
  </si>
  <si>
    <t>SHP-00405</t>
  </si>
  <si>
    <t>SHP-00406</t>
  </si>
  <si>
    <t>SHP-00407</t>
  </si>
  <si>
    <t>SHP-00408</t>
  </si>
  <si>
    <t>SHP-00409</t>
  </si>
  <si>
    <t>SHP-00410</t>
  </si>
  <si>
    <t>SHP-00411</t>
  </si>
  <si>
    <t>SHP-00412</t>
  </si>
  <si>
    <t>SHP-00413</t>
  </si>
  <si>
    <t>SHP-00414</t>
  </si>
  <si>
    <t>SHP-00415</t>
  </si>
  <si>
    <t>SHP-00416</t>
  </si>
  <si>
    <t>SHP-00417</t>
  </si>
  <si>
    <t>SHP-00418</t>
  </si>
  <si>
    <t>SHP-00419</t>
  </si>
  <si>
    <t>SHP-00420</t>
  </si>
  <si>
    <t>SHP-00421</t>
  </si>
  <si>
    <t>SHP-00422</t>
  </si>
  <si>
    <t>SHP-00423</t>
  </si>
  <si>
    <t>SHP-00424</t>
  </si>
  <si>
    <t>SHP-00425</t>
  </si>
  <si>
    <t>SHP-00426</t>
  </si>
  <si>
    <t>SHP-00427</t>
  </si>
  <si>
    <t>SHP-00428</t>
  </si>
  <si>
    <t>SHP-00429</t>
  </si>
  <si>
    <t>SHP-00430</t>
  </si>
  <si>
    <t>SHP-00431</t>
  </si>
  <si>
    <t>SHP-00432</t>
  </si>
  <si>
    <t>SHP-00433</t>
  </si>
  <si>
    <t>SHP-00434</t>
  </si>
  <si>
    <t>SHP-00435</t>
  </si>
  <si>
    <t>SHP-00436</t>
  </si>
  <si>
    <t>SHP-00437</t>
  </si>
  <si>
    <t>SHP-00438</t>
  </si>
  <si>
    <t>SHP-00439</t>
  </si>
  <si>
    <t>SHP-00440</t>
  </si>
  <si>
    <t>SHP-00441</t>
  </si>
  <si>
    <t>SHP-00442</t>
  </si>
  <si>
    <t>SHP-00443</t>
  </si>
  <si>
    <t>SHP-00444</t>
  </si>
  <si>
    <t>SHP-00445</t>
  </si>
  <si>
    <t>SHP-00446</t>
  </si>
  <si>
    <t>SHP-00447</t>
  </si>
  <si>
    <t>SHP-00448</t>
  </si>
  <si>
    <t>SHP-00449</t>
  </si>
  <si>
    <t>SHP-00450</t>
  </si>
  <si>
    <t>SHP-00451</t>
  </si>
  <si>
    <t>SHP-00452</t>
  </si>
  <si>
    <t>SHP-00453</t>
  </si>
  <si>
    <t>SHP-00454</t>
  </si>
  <si>
    <t>SHP-00455</t>
  </si>
  <si>
    <t>SHP-00456</t>
  </si>
  <si>
    <t>SHP-00457</t>
  </si>
  <si>
    <t>SHP-00458</t>
  </si>
  <si>
    <t>SHP-00459</t>
  </si>
  <si>
    <t>SHP-00460</t>
  </si>
  <si>
    <t>SHP-00461</t>
  </si>
  <si>
    <t>SHP-00462</t>
  </si>
  <si>
    <t>SHP-00463</t>
  </si>
  <si>
    <t>SHP-00464</t>
  </si>
  <si>
    <t>SHP-00465</t>
  </si>
  <si>
    <t>SHP-00466</t>
  </si>
  <si>
    <t>SHP-00467</t>
  </si>
  <si>
    <t>SHP-00468</t>
  </si>
  <si>
    <t>SHP-00469</t>
  </si>
  <si>
    <t>SHP-00470</t>
  </si>
  <si>
    <t>SHP-00471</t>
  </si>
  <si>
    <t>SHP-00472</t>
  </si>
  <si>
    <t>SHP-00473</t>
  </si>
  <si>
    <t>SHP-00474</t>
  </si>
  <si>
    <t>SHP-00475</t>
  </si>
  <si>
    <t>SHP-00476</t>
  </si>
  <si>
    <t>SHP-00477</t>
  </si>
  <si>
    <t>SHP-00478</t>
  </si>
  <si>
    <t>SHP-00479</t>
  </si>
  <si>
    <t>SHP-00480</t>
  </si>
  <si>
    <t>SHP-00481</t>
  </si>
  <si>
    <t>SHP-00482</t>
  </si>
  <si>
    <t>SHP-00483</t>
  </si>
  <si>
    <t>SHP-00484</t>
  </si>
  <si>
    <t>SHP-00485</t>
  </si>
  <si>
    <t>SHP-00486</t>
  </si>
  <si>
    <t>SHP-00487</t>
  </si>
  <si>
    <t>SHP-00488</t>
  </si>
  <si>
    <t>SHP-00489</t>
  </si>
  <si>
    <t>SHP-00490</t>
  </si>
  <si>
    <t>SHP-00491</t>
  </si>
  <si>
    <t>SHP-00492</t>
  </si>
  <si>
    <t>SHP-00493</t>
  </si>
  <si>
    <t>SHP-00494</t>
  </si>
  <si>
    <t>SHP-00495</t>
  </si>
  <si>
    <t>SHP-00496</t>
  </si>
  <si>
    <t>SHP-00497</t>
  </si>
  <si>
    <t>SHP-00498</t>
  </si>
  <si>
    <t>SHP-00499</t>
  </si>
  <si>
    <t>SHP-00500</t>
  </si>
  <si>
    <t>SHP-00501</t>
  </si>
  <si>
    <t>SHP-00502</t>
  </si>
  <si>
    <t>SHP-00503</t>
  </si>
  <si>
    <t>SHP-00504</t>
  </si>
  <si>
    <t>SHP-00505</t>
  </si>
  <si>
    <t>SHP-00506</t>
  </si>
  <si>
    <t>SHP-00507</t>
  </si>
  <si>
    <t>SHP-00508</t>
  </si>
  <si>
    <t>SHP-00509</t>
  </si>
  <si>
    <t>SHP-00510</t>
  </si>
  <si>
    <t>SHP-00511</t>
  </si>
  <si>
    <t>SHP-00512</t>
  </si>
  <si>
    <t>SHP-00513</t>
  </si>
  <si>
    <t>SHP-00514</t>
  </si>
  <si>
    <t>SHP-00515</t>
  </si>
  <si>
    <t>SHP-00516</t>
  </si>
  <si>
    <t>SHP-00517</t>
  </si>
  <si>
    <t>SHP-00518</t>
  </si>
  <si>
    <t>SHP-00519</t>
  </si>
  <si>
    <t>SHP-00520</t>
  </si>
  <si>
    <t>SHP-00521</t>
  </si>
  <si>
    <t>SHP-00522</t>
  </si>
  <si>
    <t>SHP-00523</t>
  </si>
  <si>
    <t>SHP-00524</t>
  </si>
  <si>
    <t>SHP-00525</t>
  </si>
  <si>
    <t>SHP-00526</t>
  </si>
  <si>
    <t>SHP-00527</t>
  </si>
  <si>
    <t>SHP-00528</t>
  </si>
  <si>
    <t>SHP-00529</t>
  </si>
  <si>
    <t>SHP-00530</t>
  </si>
  <si>
    <t>SHP-00531</t>
  </si>
  <si>
    <t>SHP-00532</t>
  </si>
  <si>
    <t>SHP-00533</t>
  </si>
  <si>
    <t>SHP-00534</t>
  </si>
  <si>
    <t>SHP-00535</t>
  </si>
  <si>
    <t>SHP-00536</t>
  </si>
  <si>
    <t>SHP-00537</t>
  </si>
  <si>
    <t>SHP-00538</t>
  </si>
  <si>
    <t>SHP-00539</t>
  </si>
  <si>
    <t>SHP-00540</t>
  </si>
  <si>
    <t>SHP-00541</t>
  </si>
  <si>
    <t>SHP-00542</t>
  </si>
  <si>
    <t>SHP-00543</t>
  </si>
  <si>
    <t>SHP-00544</t>
  </si>
  <si>
    <t>SHP-00545</t>
  </si>
  <si>
    <t>SHP-00546</t>
  </si>
  <si>
    <t>SHP-00547</t>
  </si>
  <si>
    <t>SHP-00548</t>
  </si>
  <si>
    <t>SHP-00549</t>
  </si>
  <si>
    <t>SHP-00550</t>
  </si>
  <si>
    <t>SHP-00551</t>
  </si>
  <si>
    <t>SHP-00552</t>
  </si>
  <si>
    <t>SHP-00553</t>
  </si>
  <si>
    <t>SHP-00554</t>
  </si>
  <si>
    <t>SHP-00555</t>
  </si>
  <si>
    <t>SHP-00556</t>
  </si>
  <si>
    <t>SHP-00557</t>
  </si>
  <si>
    <t>SHP-00558</t>
  </si>
  <si>
    <t>SHP-00559</t>
  </si>
  <si>
    <t>SHP-00560</t>
  </si>
  <si>
    <t>SHP-00561</t>
  </si>
  <si>
    <t>SHP-00562</t>
  </si>
  <si>
    <t>SHP-00563</t>
  </si>
  <si>
    <t>SHP-00564</t>
  </si>
  <si>
    <t>SHP-00565</t>
  </si>
  <si>
    <t>SHP-00566</t>
  </si>
  <si>
    <t>SHP-00567</t>
  </si>
  <si>
    <t>SHP-00568</t>
  </si>
  <si>
    <t>SHP-00569</t>
  </si>
  <si>
    <t>SHP-00570</t>
  </si>
  <si>
    <t>SHP-00571</t>
  </si>
  <si>
    <t>SHP-00572</t>
  </si>
  <si>
    <t>SHP-00573</t>
  </si>
  <si>
    <t>SHP-00574</t>
  </si>
  <si>
    <t>SHP-00575</t>
  </si>
  <si>
    <t>SHP-00576</t>
  </si>
  <si>
    <t>SHP-00577</t>
  </si>
  <si>
    <t>SHP-00578</t>
  </si>
  <si>
    <t>SHP-00579</t>
  </si>
  <si>
    <t>SHP-00580</t>
  </si>
  <si>
    <t>SHP-00581</t>
  </si>
  <si>
    <t>SHP-00582</t>
  </si>
  <si>
    <t>SHP-00583</t>
  </si>
  <si>
    <t>SHP-00584</t>
  </si>
  <si>
    <t>SHP-00585</t>
  </si>
  <si>
    <t>SHP-00586</t>
  </si>
  <si>
    <t>SHP-00587</t>
  </si>
  <si>
    <t>SHP-00588</t>
  </si>
  <si>
    <t>SHP-00589</t>
  </si>
  <si>
    <t>SHP-00590</t>
  </si>
  <si>
    <t>SHP-00591</t>
  </si>
  <si>
    <t>SHP-00592</t>
  </si>
  <si>
    <t>SHP-00593</t>
  </si>
  <si>
    <t>SHP-00594</t>
  </si>
  <si>
    <t>SHP-00595</t>
  </si>
  <si>
    <t>SHP-00596</t>
  </si>
  <si>
    <t>SHP-00597</t>
  </si>
  <si>
    <t>SHP-00598</t>
  </si>
  <si>
    <t>SHP-00599</t>
  </si>
  <si>
    <t>SHP-00600</t>
  </si>
  <si>
    <t>SHP-00601</t>
  </si>
  <si>
    <t>SHP-00602</t>
  </si>
  <si>
    <t>SHP-00603</t>
  </si>
  <si>
    <t>SHP-00604</t>
  </si>
  <si>
    <t>SHP-00605</t>
  </si>
  <si>
    <t>SHP-00606</t>
  </si>
  <si>
    <t>SHP-00607</t>
  </si>
  <si>
    <t>SHP-00608</t>
  </si>
  <si>
    <t>SHP-00609</t>
  </si>
  <si>
    <t>SHP-00610</t>
  </si>
  <si>
    <t>SHP-00611</t>
  </si>
  <si>
    <t>SHP-00612</t>
  </si>
  <si>
    <t>SHP-00613</t>
  </si>
  <si>
    <t>SHP-00614</t>
  </si>
  <si>
    <t>SHP-00615</t>
  </si>
  <si>
    <t>SHP-00616</t>
  </si>
  <si>
    <t>SHP-00617</t>
  </si>
  <si>
    <t>SHP-00618</t>
  </si>
  <si>
    <t>SHP-00619</t>
  </si>
  <si>
    <t>SHP-00620</t>
  </si>
  <si>
    <t>SHP-00621</t>
  </si>
  <si>
    <t>SHP-00622</t>
  </si>
  <si>
    <t>SHP-00623</t>
  </si>
  <si>
    <t>SHP-00624</t>
  </si>
  <si>
    <t>SHP-00625</t>
  </si>
  <si>
    <t>SHP-00626</t>
  </si>
  <si>
    <t>SHP-00627</t>
  </si>
  <si>
    <t>SHP-00628</t>
  </si>
  <si>
    <t>SHP-00629</t>
  </si>
  <si>
    <t>SHP-00630</t>
  </si>
  <si>
    <t>SHP-00631</t>
  </si>
  <si>
    <t>SHP-00632</t>
  </si>
  <si>
    <t>SHP-00633</t>
  </si>
  <si>
    <t>SHP-00634</t>
  </si>
  <si>
    <t>SHP-00635</t>
  </si>
  <si>
    <t>SHP-00636</t>
  </si>
  <si>
    <t>SHP-00637</t>
  </si>
  <si>
    <t>SHP-00638</t>
  </si>
  <si>
    <t>SHP-00639</t>
  </si>
  <si>
    <t>SHP-00640</t>
  </si>
  <si>
    <t>SHP-00641</t>
  </si>
  <si>
    <t>SHP-00642</t>
  </si>
  <si>
    <t>SHP-00643</t>
  </si>
  <si>
    <t>SHP-00644</t>
  </si>
  <si>
    <t>SHP-00645</t>
  </si>
  <si>
    <t>SHP-00646</t>
  </si>
  <si>
    <t>SHP-00647</t>
  </si>
  <si>
    <t>SHP-00648</t>
  </si>
  <si>
    <t>SHP-00649</t>
  </si>
  <si>
    <t>SHP-00650</t>
  </si>
  <si>
    <t>SHP-00651</t>
  </si>
  <si>
    <t>SHP-00652</t>
  </si>
  <si>
    <t>SHP-00653</t>
  </si>
  <si>
    <t>SHP-00654</t>
  </si>
  <si>
    <t>SHP-00655</t>
  </si>
  <si>
    <t>SHP-00656</t>
  </si>
  <si>
    <t>SHP-00657</t>
  </si>
  <si>
    <t>SHP-00658</t>
  </si>
  <si>
    <t>SHP-00659</t>
  </si>
  <si>
    <t>SHP-00660</t>
  </si>
  <si>
    <t>SHP-00661</t>
  </si>
  <si>
    <t>SHP-00662</t>
  </si>
  <si>
    <t>SHP-00663</t>
  </si>
  <si>
    <t>SHP-00664</t>
  </si>
  <si>
    <t>SHP-00665</t>
  </si>
  <si>
    <t>SHP-00666</t>
  </si>
  <si>
    <t>SHP-00667</t>
  </si>
  <si>
    <t>SHP-00668</t>
  </si>
  <si>
    <t>SHP-00669</t>
  </si>
  <si>
    <t>SHP-00670</t>
  </si>
  <si>
    <t>SHP-00671</t>
  </si>
  <si>
    <t>SHP-00672</t>
  </si>
  <si>
    <t>SHP-00673</t>
  </si>
  <si>
    <t>SHP-00674</t>
  </si>
  <si>
    <t>SHP-00675</t>
  </si>
  <si>
    <t>SHP-00676</t>
  </si>
  <si>
    <t>SHP-00677</t>
  </si>
  <si>
    <t>SHP-00678</t>
  </si>
  <si>
    <t>SHP-00679</t>
  </si>
  <si>
    <t>SHP-00680</t>
  </si>
  <si>
    <t>SHP-00681</t>
  </si>
  <si>
    <t>SHP-00682</t>
  </si>
  <si>
    <t>SHP-00683</t>
  </si>
  <si>
    <t>SHP-00684</t>
  </si>
  <si>
    <t>SHP-00685</t>
  </si>
  <si>
    <t>SHP-00686</t>
  </si>
  <si>
    <t>SHP-00687</t>
  </si>
  <si>
    <t>SHP-00688</t>
  </si>
  <si>
    <t>SHP-00689</t>
  </si>
  <si>
    <t>SHP-00690</t>
  </si>
  <si>
    <t>SHP-00691</t>
  </si>
  <si>
    <t>SHP-00692</t>
  </si>
  <si>
    <t>SHP-00693</t>
  </si>
  <si>
    <t>SHP-00694</t>
  </si>
  <si>
    <t>SHP-00695</t>
  </si>
  <si>
    <t>SHP-00696</t>
  </si>
  <si>
    <t>SHP-00697</t>
  </si>
  <si>
    <t>SHP-00698</t>
  </si>
  <si>
    <t>SHP-00699</t>
  </si>
  <si>
    <t>SHP-00700</t>
  </si>
  <si>
    <t>SHP-00701</t>
  </si>
  <si>
    <t>SHP-00702</t>
  </si>
  <si>
    <t>SHP-00703</t>
  </si>
  <si>
    <t>SHP-00704</t>
  </si>
  <si>
    <t>SHP-00705</t>
  </si>
  <si>
    <t>SHP-00706</t>
  </si>
  <si>
    <t>SHP-00707</t>
  </si>
  <si>
    <t>SHP-00708</t>
  </si>
  <si>
    <t>SHP-00709</t>
  </si>
  <si>
    <t>SHP-00710</t>
  </si>
  <si>
    <t>SHP-00711</t>
  </si>
  <si>
    <t>SHP-00712</t>
  </si>
  <si>
    <t>SHP-00713</t>
  </si>
  <si>
    <t>SHP-00714</t>
  </si>
  <si>
    <t>SHP-00715</t>
  </si>
  <si>
    <t>SHP-00716</t>
  </si>
  <si>
    <t>SHP-00717</t>
  </si>
  <si>
    <t>SHP-00718</t>
  </si>
  <si>
    <t>SHP-00719</t>
  </si>
  <si>
    <t>SHP-00720</t>
  </si>
  <si>
    <t>SHP-00721</t>
  </si>
  <si>
    <t>SHP-00722</t>
  </si>
  <si>
    <t>SHP-00723</t>
  </si>
  <si>
    <t>SHP-00724</t>
  </si>
  <si>
    <t>SHP-00725</t>
  </si>
  <si>
    <t>SHP-00726</t>
  </si>
  <si>
    <t>SHP-00727</t>
  </si>
  <si>
    <t>SHP-00728</t>
  </si>
  <si>
    <t>SHP-00729</t>
  </si>
  <si>
    <t>SHP-00730</t>
  </si>
  <si>
    <t>SHP-00731</t>
  </si>
  <si>
    <t>SHP-00732</t>
  </si>
  <si>
    <t>SHP-00733</t>
  </si>
  <si>
    <t>SHP-00734</t>
  </si>
  <si>
    <t>SHP-00735</t>
  </si>
  <si>
    <t>SHP-00736</t>
  </si>
  <si>
    <t>SHP-00737</t>
  </si>
  <si>
    <t>SHP-00738</t>
  </si>
  <si>
    <t>SHP-00739</t>
  </si>
  <si>
    <t>SHP-00740</t>
  </si>
  <si>
    <t>SHP-00741</t>
  </si>
  <si>
    <t>SHP-00742</t>
  </si>
  <si>
    <t>SHP-00743</t>
  </si>
  <si>
    <t>SHP-00744</t>
  </si>
  <si>
    <t>SHP-00745</t>
  </si>
  <si>
    <t>SHP-00746</t>
  </si>
  <si>
    <t>SHP-00747</t>
  </si>
  <si>
    <t>SHP-00748</t>
  </si>
  <si>
    <t>SHP-00749</t>
  </si>
  <si>
    <t>SHP-00750</t>
  </si>
  <si>
    <t>SHP-00751</t>
  </si>
  <si>
    <t>SHP-00752</t>
  </si>
  <si>
    <t>SHP-00753</t>
  </si>
  <si>
    <t>SHP-00754</t>
  </si>
  <si>
    <t>SHP-00755</t>
  </si>
  <si>
    <t>SHP-00756</t>
  </si>
  <si>
    <t>SHP-00757</t>
  </si>
  <si>
    <t>SHP-00758</t>
  </si>
  <si>
    <t>SHP-00759</t>
  </si>
  <si>
    <t>SHP-00760</t>
  </si>
  <si>
    <t>SHP-00761</t>
  </si>
  <si>
    <t>SHP-00762</t>
  </si>
  <si>
    <t>SHP-00763</t>
  </si>
  <si>
    <t>SHP-00764</t>
  </si>
  <si>
    <t>SHP-00765</t>
  </si>
  <si>
    <t>SHP-00766</t>
  </si>
  <si>
    <t>SHP-00767</t>
  </si>
  <si>
    <t>SHP-00768</t>
  </si>
  <si>
    <t>SHP-00769</t>
  </si>
  <si>
    <t>SHP-00770</t>
  </si>
  <si>
    <t>SHP-00771</t>
  </si>
  <si>
    <t>SHP-00772</t>
  </si>
  <si>
    <t>SHP-00773</t>
  </si>
  <si>
    <t>SHP-00774</t>
  </si>
  <si>
    <t>SHP-00775</t>
  </si>
  <si>
    <t>SHP-00776</t>
  </si>
  <si>
    <t>SHP-00777</t>
  </si>
  <si>
    <t>SHP-00778</t>
  </si>
  <si>
    <t>SHP-00779</t>
  </si>
  <si>
    <t>SHP-00780</t>
  </si>
  <si>
    <t>SHP-00781</t>
  </si>
  <si>
    <t>SHP-00782</t>
  </si>
  <si>
    <t>SHP-00783</t>
  </si>
  <si>
    <t>SHP-00784</t>
  </si>
  <si>
    <t>SHP-00785</t>
  </si>
  <si>
    <t>SHP-00786</t>
  </si>
  <si>
    <t>SHP-00787</t>
  </si>
  <si>
    <t>SHP-00788</t>
  </si>
  <si>
    <t>SHP-00789</t>
  </si>
  <si>
    <t>SHP-00790</t>
  </si>
  <si>
    <t>SHP-00791</t>
  </si>
  <si>
    <t>SHP-00792</t>
  </si>
  <si>
    <t>SHP-00793</t>
  </si>
  <si>
    <t>SHP-00794</t>
  </si>
  <si>
    <t>SHP-00795</t>
  </si>
  <si>
    <t>SHP-00796</t>
  </si>
  <si>
    <t>SHP-00797</t>
  </si>
  <si>
    <t>SHP-00798</t>
  </si>
  <si>
    <t>SHP-00799</t>
  </si>
  <si>
    <t>SHP-00800</t>
  </si>
  <si>
    <t>SHP-00801</t>
  </si>
  <si>
    <t>SHP-00802</t>
  </si>
  <si>
    <t>SHP-00803</t>
  </si>
  <si>
    <t>SHP-00804</t>
  </si>
  <si>
    <t>SHP-00805</t>
  </si>
  <si>
    <t>SHP-00806</t>
  </si>
  <si>
    <t>SHP-00807</t>
  </si>
  <si>
    <t>SHP-00808</t>
  </si>
  <si>
    <t>SHP-00809</t>
  </si>
  <si>
    <t>SHP-00810</t>
  </si>
  <si>
    <t>SHP-00811</t>
  </si>
  <si>
    <t>SHP-00812</t>
  </si>
  <si>
    <t>SHP-00813</t>
  </si>
  <si>
    <t>SHP-00814</t>
  </si>
  <si>
    <t>SHP-00815</t>
  </si>
  <si>
    <t>SHP-00816</t>
  </si>
  <si>
    <t>SHP-00817</t>
  </si>
  <si>
    <t>SHP-00818</t>
  </si>
  <si>
    <t>SHP-00819</t>
  </si>
  <si>
    <t>SHP-00820</t>
  </si>
  <si>
    <t>SHP-00821</t>
  </si>
  <si>
    <t>SHP-00822</t>
  </si>
  <si>
    <t>SHP-00823</t>
  </si>
  <si>
    <t>SHP-00824</t>
  </si>
  <si>
    <t>SHP-00825</t>
  </si>
  <si>
    <t>SHP-00826</t>
  </si>
  <si>
    <t>SHP-00827</t>
  </si>
  <si>
    <t>SHP-00828</t>
  </si>
  <si>
    <t>SHP-00829</t>
  </si>
  <si>
    <t>SHP-00830</t>
  </si>
  <si>
    <t>SHP-00831</t>
  </si>
  <si>
    <t>SHP-00832</t>
  </si>
  <si>
    <t>SHP-00833</t>
  </si>
  <si>
    <t>SHP-00834</t>
  </si>
  <si>
    <t>SHP-00835</t>
  </si>
  <si>
    <t>SHP-00836</t>
  </si>
  <si>
    <t>SHP-00837</t>
  </si>
  <si>
    <t>SHP-00838</t>
  </si>
  <si>
    <t>SHP-00839</t>
  </si>
  <si>
    <t>SHP-00840</t>
  </si>
  <si>
    <t>SHP-00841</t>
  </si>
  <si>
    <t>SHP-00842</t>
  </si>
  <si>
    <t>SHP-00843</t>
  </si>
  <si>
    <t>SHP-00844</t>
  </si>
  <si>
    <t>SHP-00845</t>
  </si>
  <si>
    <t>SHP-00846</t>
  </si>
  <si>
    <t>SHP-00847</t>
  </si>
  <si>
    <t>SHP-00848</t>
  </si>
  <si>
    <t>SHP-00849</t>
  </si>
  <si>
    <t>SHP-00850</t>
  </si>
  <si>
    <t>SHP-00851</t>
  </si>
  <si>
    <t>SHP-00852</t>
  </si>
  <si>
    <t>SHP-00853</t>
  </si>
  <si>
    <t>SHP-00854</t>
  </si>
  <si>
    <t>SHP-00855</t>
  </si>
  <si>
    <t>SHP-00856</t>
  </si>
  <si>
    <t>SHP-00857</t>
  </si>
  <si>
    <t>SHP-00858</t>
  </si>
  <si>
    <t>SHP-00859</t>
  </si>
  <si>
    <t>SHP-00860</t>
  </si>
  <si>
    <t>SHP-00861</t>
  </si>
  <si>
    <t>SHP-00862</t>
  </si>
  <si>
    <t>SHP-00863</t>
  </si>
  <si>
    <t>SHP-00864</t>
  </si>
  <si>
    <t>SHP-00865</t>
  </si>
  <si>
    <t>SHP-00866</t>
  </si>
  <si>
    <t>SHP-00867</t>
  </si>
  <si>
    <t>SHP-00868</t>
  </si>
  <si>
    <t>SHP-00869</t>
  </si>
  <si>
    <t>SHP-00870</t>
  </si>
  <si>
    <t>SHP-00871</t>
  </si>
  <si>
    <t>SHP-00872</t>
  </si>
  <si>
    <t>SHP-00873</t>
  </si>
  <si>
    <t>SHP-00874</t>
  </si>
  <si>
    <t>SHP-00875</t>
  </si>
  <si>
    <t>SHP-00876</t>
  </si>
  <si>
    <t>SHP-00877</t>
  </si>
  <si>
    <t>SHP-00878</t>
  </si>
  <si>
    <t>SHP-00879</t>
  </si>
  <si>
    <t>SHP-00880</t>
  </si>
  <si>
    <t>SHP-00881</t>
  </si>
  <si>
    <t>SHP-00882</t>
  </si>
  <si>
    <t>SHP-00883</t>
  </si>
  <si>
    <t>SHP-00884</t>
  </si>
  <si>
    <t>SHP-00885</t>
  </si>
  <si>
    <t>SHP-00886</t>
  </si>
  <si>
    <t>SHP-00887</t>
  </si>
  <si>
    <t>SHP-00888</t>
  </si>
  <si>
    <t>SHP-00889</t>
  </si>
  <si>
    <t>SHP-00890</t>
  </si>
  <si>
    <t>SHP-00891</t>
  </si>
  <si>
    <t>SHP-00892</t>
  </si>
  <si>
    <t>SHP-00893</t>
  </si>
  <si>
    <t>SHP-00894</t>
  </si>
  <si>
    <t>SHP-00895</t>
  </si>
  <si>
    <t>SHP-00896</t>
  </si>
  <si>
    <t>SHP-00897</t>
  </si>
  <si>
    <t>SHP-00898</t>
  </si>
  <si>
    <t>SHP-00899</t>
  </si>
  <si>
    <t>SHP-00900</t>
  </si>
  <si>
    <t>SHP-00901</t>
  </si>
  <si>
    <t>SHP-00902</t>
  </si>
  <si>
    <t>SHP-00903</t>
  </si>
  <si>
    <t>SHP-00904</t>
  </si>
  <si>
    <t>SHP-00905</t>
  </si>
  <si>
    <t>SHP-00906</t>
  </si>
  <si>
    <t>SHP-00907</t>
  </si>
  <si>
    <t>SHP-00908</t>
  </si>
  <si>
    <t>SHP-00909</t>
  </si>
  <si>
    <t>SHP-00910</t>
  </si>
  <si>
    <t>SHP-00911</t>
  </si>
  <si>
    <t>SHP-00912</t>
  </si>
  <si>
    <t>SHP-00913</t>
  </si>
  <si>
    <t>SHP-00914</t>
  </si>
  <si>
    <t>SHP-00915</t>
  </si>
  <si>
    <t>SHP-00916</t>
  </si>
  <si>
    <t>SHP-00917</t>
  </si>
  <si>
    <t>SHP-00918</t>
  </si>
  <si>
    <t>SHP-00919</t>
  </si>
  <si>
    <t>SHP-00920</t>
  </si>
  <si>
    <t>SHP-00921</t>
  </si>
  <si>
    <t>SHP-00922</t>
  </si>
  <si>
    <t>SHP-00923</t>
  </si>
  <si>
    <t>SHP-00924</t>
  </si>
  <si>
    <t>SHP-00925</t>
  </si>
  <si>
    <t>SHP-00926</t>
  </si>
  <si>
    <t>SHP-00927</t>
  </si>
  <si>
    <t>SHP-00928</t>
  </si>
  <si>
    <t>SHP-00929</t>
  </si>
  <si>
    <t>SHP-00930</t>
  </si>
  <si>
    <t>SHP-00931</t>
  </si>
  <si>
    <t>SHP-00932</t>
  </si>
  <si>
    <t>SHP-00933</t>
  </si>
  <si>
    <t>SHP-00934</t>
  </si>
  <si>
    <t>SHP-00935</t>
  </si>
  <si>
    <t>SHP-00936</t>
  </si>
  <si>
    <t>SHP-00937</t>
  </si>
  <si>
    <t>SHP-00938</t>
  </si>
  <si>
    <t>SHP-00939</t>
  </si>
  <si>
    <t>SHP-00940</t>
  </si>
  <si>
    <t>SHP-00941</t>
  </si>
  <si>
    <t>SHP-00942</t>
  </si>
  <si>
    <t>SHP-00943</t>
  </si>
  <si>
    <t>SHP-00944</t>
  </si>
  <si>
    <t>SHP-00945</t>
  </si>
  <si>
    <t>SHP-00946</t>
  </si>
  <si>
    <t>SHP-00947</t>
  </si>
  <si>
    <t>SHP-00948</t>
  </si>
  <si>
    <t>SHP-00949</t>
  </si>
  <si>
    <t>SHP-00950</t>
  </si>
  <si>
    <t>SHP-00951</t>
  </si>
  <si>
    <t>SHP-00952</t>
  </si>
  <si>
    <t>SHP-00953</t>
  </si>
  <si>
    <t>SHP-00954</t>
  </si>
  <si>
    <t>SHP-00955</t>
  </si>
  <si>
    <t>SHP-00956</t>
  </si>
  <si>
    <t>SHP-00957</t>
  </si>
  <si>
    <t>SHP-00958</t>
  </si>
  <si>
    <t>SHP-00959</t>
  </si>
  <si>
    <t>SHP-00960</t>
  </si>
  <si>
    <t>SHP-00961</t>
  </si>
  <si>
    <t>SHP-00962</t>
  </si>
  <si>
    <t>SHP-00963</t>
  </si>
  <si>
    <t>SHP-00964</t>
  </si>
  <si>
    <t>SHP-00965</t>
  </si>
  <si>
    <t>SHP-00966</t>
  </si>
  <si>
    <t>SHP-00967</t>
  </si>
  <si>
    <t>SHP-00968</t>
  </si>
  <si>
    <t>SHP-00969</t>
  </si>
  <si>
    <t>SHP-00970</t>
  </si>
  <si>
    <t>SHP-00971</t>
  </si>
  <si>
    <t>SHP-00972</t>
  </si>
  <si>
    <t>SHP-00973</t>
  </si>
  <si>
    <t>SHP-00974</t>
  </si>
  <si>
    <t>SHP-00975</t>
  </si>
  <si>
    <t>SHP-00976</t>
  </si>
  <si>
    <t>SHP-00977</t>
  </si>
  <si>
    <t>SHP-00978</t>
  </si>
  <si>
    <t>SHP-00979</t>
  </si>
  <si>
    <t>SHP-00980</t>
  </si>
  <si>
    <t>SHP-00981</t>
  </si>
  <si>
    <t>SHP-00982</t>
  </si>
  <si>
    <t>SHP-00983</t>
  </si>
  <si>
    <t>SHP-00984</t>
  </si>
  <si>
    <t>SHP-00985</t>
  </si>
  <si>
    <t>SHP-00986</t>
  </si>
  <si>
    <t>SHP-00987</t>
  </si>
  <si>
    <t>SHP-00988</t>
  </si>
  <si>
    <t>SHP-00989</t>
  </si>
  <si>
    <t>SHP-00990</t>
  </si>
  <si>
    <t>SHP-00991</t>
  </si>
  <si>
    <t>SHP-00992</t>
  </si>
  <si>
    <t>SHP-00993</t>
  </si>
  <si>
    <t>SHP-00994</t>
  </si>
  <si>
    <t>SHP-00995</t>
  </si>
  <si>
    <t>SHP-00996</t>
  </si>
  <si>
    <t>SHP-00997</t>
  </si>
  <si>
    <t>SHP-00998</t>
  </si>
  <si>
    <t>SHP-00999</t>
  </si>
  <si>
    <t>SHP-01000</t>
  </si>
  <si>
    <t>SHP-01001</t>
  </si>
  <si>
    <t>SHP-01002</t>
  </si>
  <si>
    <t>SHP-01003</t>
  </si>
  <si>
    <t>SHP-01004</t>
  </si>
  <si>
    <t>SHP-01005</t>
  </si>
  <si>
    <t>SHP-01006</t>
  </si>
  <si>
    <t>SHP-01007</t>
  </si>
  <si>
    <t>SHP-01008</t>
  </si>
  <si>
    <t>SHP-01009</t>
  </si>
  <si>
    <t>SHP-01010</t>
  </si>
  <si>
    <t>SHP-01011</t>
  </si>
  <si>
    <t>SHP-01012</t>
  </si>
  <si>
    <t>SHP-01013</t>
  </si>
  <si>
    <t>SHP-01014</t>
  </si>
  <si>
    <t>SHP-01015</t>
  </si>
  <si>
    <t>SHP-01016</t>
  </si>
  <si>
    <t>SHP-01017</t>
  </si>
  <si>
    <t>SHP-01018</t>
  </si>
  <si>
    <t>SHP-01019</t>
  </si>
  <si>
    <t>SHP-01020</t>
  </si>
  <si>
    <t>SHP-01021</t>
  </si>
  <si>
    <t>SHP-01022</t>
  </si>
  <si>
    <t>SHP-01023</t>
  </si>
  <si>
    <t>SHP-01024</t>
  </si>
  <si>
    <t>SHP-01025</t>
  </si>
  <si>
    <t>SHP-01026</t>
  </si>
  <si>
    <t>SHP-01027</t>
  </si>
  <si>
    <t>SHP-01028</t>
  </si>
  <si>
    <t>SHP-01029</t>
  </si>
  <si>
    <t>SHP-01030</t>
  </si>
  <si>
    <t>SHP-01031</t>
  </si>
  <si>
    <t>SHP-01032</t>
  </si>
  <si>
    <t>SHP-01033</t>
  </si>
  <si>
    <t>SHP-01034</t>
  </si>
  <si>
    <t>SHP-01035</t>
  </si>
  <si>
    <t>SHP-01036</t>
  </si>
  <si>
    <t>SHP-01037</t>
  </si>
  <si>
    <t>SHP-01038</t>
  </si>
  <si>
    <t>SHP-01039</t>
  </si>
  <si>
    <t>SHP-01040</t>
  </si>
  <si>
    <t>SHP-01041</t>
  </si>
  <si>
    <t>SHP-01042</t>
  </si>
  <si>
    <t>SHP-01043</t>
  </si>
  <si>
    <t>SHP-01044</t>
  </si>
  <si>
    <t>SHP-01045</t>
  </si>
  <si>
    <t>SHP-01046</t>
  </si>
  <si>
    <t>SHP-01047</t>
  </si>
  <si>
    <t>SHP-01048</t>
  </si>
  <si>
    <t>SHP-01049</t>
  </si>
  <si>
    <t>SHP-01050</t>
  </si>
  <si>
    <t>SHP-01051</t>
  </si>
  <si>
    <t>SHP-01052</t>
  </si>
  <si>
    <t>SHP-01053</t>
  </si>
  <si>
    <t>SHP-01054</t>
  </si>
  <si>
    <t>SHP-01055</t>
  </si>
  <si>
    <t>SHP-01056</t>
  </si>
  <si>
    <t>SHP-01057</t>
  </si>
  <si>
    <t>SHP-01058</t>
  </si>
  <si>
    <t>SHP-01059</t>
  </si>
  <si>
    <t>SHP-01060</t>
  </si>
  <si>
    <t>SHP-01061</t>
  </si>
  <si>
    <t>SHP-01062</t>
  </si>
  <si>
    <t>SHP-01063</t>
  </si>
  <si>
    <t>SHP-01064</t>
  </si>
  <si>
    <t>SHP-01065</t>
  </si>
  <si>
    <t>SHP-01066</t>
  </si>
  <si>
    <t>SHP-01067</t>
  </si>
  <si>
    <t>SHP-01068</t>
  </si>
  <si>
    <t>SHP-01069</t>
  </si>
  <si>
    <t>SHP-01070</t>
  </si>
  <si>
    <t>SHP-01071</t>
  </si>
  <si>
    <t>SHP-01072</t>
  </si>
  <si>
    <t>SHP-01073</t>
  </si>
  <si>
    <t>SHP-01074</t>
  </si>
  <si>
    <t>SHP-01075</t>
  </si>
  <si>
    <t>SHP-01076</t>
  </si>
  <si>
    <t>SHP-01077</t>
  </si>
  <si>
    <t>SHP-01078</t>
  </si>
  <si>
    <t>SHP-01079</t>
  </si>
  <si>
    <t>SHP-01080</t>
  </si>
  <si>
    <t>SHP-01081</t>
  </si>
  <si>
    <t>SHP-01082</t>
  </si>
  <si>
    <t>SHP-01083</t>
  </si>
  <si>
    <t>SHP-01084</t>
  </si>
  <si>
    <t>SHP-01085</t>
  </si>
  <si>
    <t>SHP-01086</t>
  </si>
  <si>
    <t>SHP-01087</t>
  </si>
  <si>
    <t>SHP-01088</t>
  </si>
  <si>
    <t>SHP-01089</t>
  </si>
  <si>
    <t>SHP-01090</t>
  </si>
  <si>
    <t>SHP-01091</t>
  </si>
  <si>
    <t>SHP-01092</t>
  </si>
  <si>
    <t>SHP-01093</t>
  </si>
  <si>
    <t>SHP-01094</t>
  </si>
  <si>
    <t>SHP-01095</t>
  </si>
  <si>
    <t>SHP-01096</t>
  </si>
  <si>
    <t>SHP-01097</t>
  </si>
  <si>
    <t>SHP-01098</t>
  </si>
  <si>
    <t>SHP-01099</t>
  </si>
  <si>
    <t>SHP-01100</t>
  </si>
  <si>
    <t>SHP-01101</t>
  </si>
  <si>
    <t>SHP-01102</t>
  </si>
  <si>
    <t>SHP-01103</t>
  </si>
  <si>
    <t>SHP-01104</t>
  </si>
  <si>
    <t>SHP-01105</t>
  </si>
  <si>
    <t>SHP-01106</t>
  </si>
  <si>
    <t>SHP-01107</t>
  </si>
  <si>
    <t>SHP-01108</t>
  </si>
  <si>
    <t>SHP-01109</t>
  </si>
  <si>
    <t>SHP-01110</t>
  </si>
  <si>
    <t>SHP-01111</t>
  </si>
  <si>
    <t>SHP-01112</t>
  </si>
  <si>
    <t>SHP-01113</t>
  </si>
  <si>
    <t>SHP-01114</t>
  </si>
  <si>
    <t>SHP-01115</t>
  </si>
  <si>
    <t>SHP-01116</t>
  </si>
  <si>
    <t>SHP-01117</t>
  </si>
  <si>
    <t>SHP-01118</t>
  </si>
  <si>
    <t>SHP-01119</t>
  </si>
  <si>
    <t>SHP-01120</t>
  </si>
  <si>
    <t>SHP-01121</t>
  </si>
  <si>
    <t>SHP-01122</t>
  </si>
  <si>
    <t>SHP-01123</t>
  </si>
  <si>
    <t>SHP-01124</t>
  </si>
  <si>
    <t>SHP-01125</t>
  </si>
  <si>
    <t>SHP-01126</t>
  </si>
  <si>
    <t>SHP-01127</t>
  </si>
  <si>
    <t>SHP-01128</t>
  </si>
  <si>
    <t>SHP-01129</t>
  </si>
  <si>
    <t>SHP-01130</t>
  </si>
  <si>
    <t>SHP-01131</t>
  </si>
  <si>
    <t>SHP-01132</t>
  </si>
  <si>
    <t>SHP-01133</t>
  </si>
  <si>
    <t>SHP-01134</t>
  </si>
  <si>
    <t>SHP-01135</t>
  </si>
  <si>
    <t>SHP-01136</t>
  </si>
  <si>
    <t>SHP-01137</t>
  </si>
  <si>
    <t>SHP-01138</t>
  </si>
  <si>
    <t>SHP-01139</t>
  </si>
  <si>
    <t>SHP-01140</t>
  </si>
  <si>
    <t>SHP-01141</t>
  </si>
  <si>
    <t>SHP-01142</t>
  </si>
  <si>
    <t>SHP-01143</t>
  </si>
  <si>
    <t>SHP-01144</t>
  </si>
  <si>
    <t>SHP-01145</t>
  </si>
  <si>
    <t>SHP-01146</t>
  </si>
  <si>
    <t>SHP-01147</t>
  </si>
  <si>
    <t>SHP-01148</t>
  </si>
  <si>
    <t>SHP-01149</t>
  </si>
  <si>
    <t>SHP-01150</t>
  </si>
  <si>
    <t>SHP-01151</t>
  </si>
  <si>
    <t>SHP-01152</t>
  </si>
  <si>
    <t>SHP-01153</t>
  </si>
  <si>
    <t>SHP-01154</t>
  </si>
  <si>
    <t>SHP-01155</t>
  </si>
  <si>
    <t>SHP-01156</t>
  </si>
  <si>
    <t>SHP-01157</t>
  </si>
  <si>
    <t>SHP-01158</t>
  </si>
  <si>
    <t>SHP-01159</t>
  </si>
  <si>
    <t>SHP-01160</t>
  </si>
  <si>
    <t>SHP-01161</t>
  </si>
  <si>
    <t>SHP-01162</t>
  </si>
  <si>
    <t>SHP-01163</t>
  </si>
  <si>
    <t>SHP-01164</t>
  </si>
  <si>
    <t>SHP-01165</t>
  </si>
  <si>
    <t>SHP-01166</t>
  </si>
  <si>
    <t>SHP-01167</t>
  </si>
  <si>
    <t>SHP-01168</t>
  </si>
  <si>
    <t>SHP-01169</t>
  </si>
  <si>
    <t>SHP-01170</t>
  </si>
  <si>
    <t>SHP-01171</t>
  </si>
  <si>
    <t>SHP-01172</t>
  </si>
  <si>
    <t>SHP-01173</t>
  </si>
  <si>
    <t>SHP-01174</t>
  </si>
  <si>
    <t>SHP-01175</t>
  </si>
  <si>
    <t>SHP-01176</t>
  </si>
  <si>
    <t>SHP-01177</t>
  </si>
  <si>
    <t>SHP-01178</t>
  </si>
  <si>
    <t>SHP-01179</t>
  </si>
  <si>
    <t>SHP-01180</t>
  </si>
  <si>
    <t>SHP-01181</t>
  </si>
  <si>
    <t>SHP-01182</t>
  </si>
  <si>
    <t>SHP-01183</t>
  </si>
  <si>
    <t>SHP-01184</t>
  </si>
  <si>
    <t>SHP-01185</t>
  </si>
  <si>
    <t>SHP-01186</t>
  </si>
  <si>
    <t>SHP-01187</t>
  </si>
  <si>
    <t>SHP-01188</t>
  </si>
  <si>
    <t>SHP-01189</t>
  </si>
  <si>
    <t>SHP-01190</t>
  </si>
  <si>
    <t>SHP-01191</t>
  </si>
  <si>
    <t>SHP-01192</t>
  </si>
  <si>
    <t>SHP-01193</t>
  </si>
  <si>
    <t>SHP-01194</t>
  </si>
  <si>
    <t>SHP-01195</t>
  </si>
  <si>
    <t>SHP-01196</t>
  </si>
  <si>
    <t>SHP-01197</t>
  </si>
  <si>
    <t>SHP-01198</t>
  </si>
  <si>
    <t>SHP-01199</t>
  </si>
  <si>
    <t>SHP-01200</t>
  </si>
  <si>
    <t>SHP-01201</t>
  </si>
  <si>
    <t>SHP-01202</t>
  </si>
  <si>
    <t>SHP-01203</t>
  </si>
  <si>
    <t>SHP-01204</t>
  </si>
  <si>
    <t>SHP-01205</t>
  </si>
  <si>
    <t>SHP-01206</t>
  </si>
  <si>
    <t>SHP-01207</t>
  </si>
  <si>
    <t>SHP-01208</t>
  </si>
  <si>
    <t>SHP-01209</t>
  </si>
  <si>
    <t>SHP-01210</t>
  </si>
  <si>
    <t>SHP-01211</t>
  </si>
  <si>
    <t>SHP-01212</t>
  </si>
  <si>
    <t>SHP-01213</t>
  </si>
  <si>
    <t>SHP-01214</t>
  </si>
  <si>
    <t>SHP-01215</t>
  </si>
  <si>
    <t>SHP-01216</t>
  </si>
  <si>
    <t>SHP-01217</t>
  </si>
  <si>
    <t>SHP-01218</t>
  </si>
  <si>
    <t>SHP-01219</t>
  </si>
  <si>
    <t>SHP-01220</t>
  </si>
  <si>
    <t>SHP-01221</t>
  </si>
  <si>
    <t>SHP-01222</t>
  </si>
  <si>
    <t>SHP-01223</t>
  </si>
  <si>
    <t>SHP-01224</t>
  </si>
  <si>
    <t>SHP-01225</t>
  </si>
  <si>
    <t>SHP-01226</t>
  </si>
  <si>
    <t>SHP-01227</t>
  </si>
  <si>
    <t>SHP-01228</t>
  </si>
  <si>
    <t>SHP-01229</t>
  </si>
  <si>
    <t>SHP-01230</t>
  </si>
  <si>
    <t>SHP-01231</t>
  </si>
  <si>
    <t>SHP-01232</t>
  </si>
  <si>
    <t>SHP-01233</t>
  </si>
  <si>
    <t>SHP-01234</t>
  </si>
  <si>
    <t>SHP-01235</t>
  </si>
  <si>
    <t>SHP-01236</t>
  </si>
  <si>
    <t>SHP-01237</t>
  </si>
  <si>
    <t>SHP-01238</t>
  </si>
  <si>
    <t>SHP-01239</t>
  </si>
  <si>
    <t>SHP-01240</t>
  </si>
  <si>
    <t>SHP-01241</t>
  </si>
  <si>
    <t>SHP-01242</t>
  </si>
  <si>
    <t>SHP-01243</t>
  </si>
  <si>
    <t>SHP-01244</t>
  </si>
  <si>
    <t>SHP-01245</t>
  </si>
  <si>
    <t>SHP-01246</t>
  </si>
  <si>
    <t>SHP-01247</t>
  </si>
  <si>
    <t>SHP-01248</t>
  </si>
  <si>
    <t>SHP-01249</t>
  </si>
  <si>
    <t>SHP-01250</t>
  </si>
  <si>
    <t>SHP-01251</t>
  </si>
  <si>
    <t>SHP-01252</t>
  </si>
  <si>
    <t>SHP-01253</t>
  </si>
  <si>
    <t>SHP-01254</t>
  </si>
  <si>
    <t>SHP-01255</t>
  </si>
  <si>
    <t>SHP-01256</t>
  </si>
  <si>
    <t>SHP-01257</t>
  </si>
  <si>
    <t>SHP-01258</t>
  </si>
  <si>
    <t>SHP-01259</t>
  </si>
  <si>
    <t>SHP-01260</t>
  </si>
  <si>
    <t>SHP-01261</t>
  </si>
  <si>
    <t>SHP-01262</t>
  </si>
  <si>
    <t>SHP-01263</t>
  </si>
  <si>
    <t>SHP-01264</t>
  </si>
  <si>
    <t>SHP-01265</t>
  </si>
  <si>
    <t>SHP-01266</t>
  </si>
  <si>
    <t>SHP-01267</t>
  </si>
  <si>
    <t>SHP-01268</t>
  </si>
  <si>
    <t>SHP-01269</t>
  </si>
  <si>
    <t>SHP-01270</t>
  </si>
  <si>
    <t>SHP-01271</t>
  </si>
  <si>
    <t>SHP-01272</t>
  </si>
  <si>
    <t>SHP-01273</t>
  </si>
  <si>
    <t>SHP-01274</t>
  </si>
  <si>
    <t>SHP-01275</t>
  </si>
  <si>
    <t>SHP-01276</t>
  </si>
  <si>
    <t>SHP-01277</t>
  </si>
  <si>
    <t>SHP-01278</t>
  </si>
  <si>
    <t>SHP-01279</t>
  </si>
  <si>
    <t>SHP-01280</t>
  </si>
  <si>
    <t>SHP-01281</t>
  </si>
  <si>
    <t>SHP-01282</t>
  </si>
  <si>
    <t>SHP-01283</t>
  </si>
  <si>
    <t>SHP-01284</t>
  </si>
  <si>
    <t>SHP-01285</t>
  </si>
  <si>
    <t>SHP-01286</t>
  </si>
  <si>
    <t>SHP-01287</t>
  </si>
  <si>
    <t>SHP-01288</t>
  </si>
  <si>
    <t>SHP-01289</t>
  </si>
  <si>
    <t>SHP-01290</t>
  </si>
  <si>
    <t>SHP-01291</t>
  </si>
  <si>
    <t>SHP-01292</t>
  </si>
  <si>
    <t>SHP-01293</t>
  </si>
  <si>
    <t>SHP-01294</t>
  </si>
  <si>
    <t>SHP-01295</t>
  </si>
  <si>
    <t>SHP-01296</t>
  </si>
  <si>
    <t>SHP-01297</t>
  </si>
  <si>
    <t>SHP-01298</t>
  </si>
  <si>
    <t>SHP-01299</t>
  </si>
  <si>
    <t>SHP-01300</t>
  </si>
  <si>
    <t>SHP-01301</t>
  </si>
  <si>
    <t>SHP-01302</t>
  </si>
  <si>
    <t>SHP-01303</t>
  </si>
  <si>
    <t>SHP-01304</t>
  </si>
  <si>
    <t>SHP-01305</t>
  </si>
  <si>
    <t>SHP-01306</t>
  </si>
  <si>
    <t>SHP-01307</t>
  </si>
  <si>
    <t>SHP-01308</t>
  </si>
  <si>
    <t>SHP-01309</t>
  </si>
  <si>
    <t>SHP-01310</t>
  </si>
  <si>
    <t>SHP-01311</t>
  </si>
  <si>
    <t>SHP-01312</t>
  </si>
  <si>
    <t>SHP-01313</t>
  </si>
  <si>
    <t>SHP-01314</t>
  </si>
  <si>
    <t>SHP-01315</t>
  </si>
  <si>
    <t>SHP-01316</t>
  </si>
  <si>
    <t>SHP-01317</t>
  </si>
  <si>
    <t>SHP-01318</t>
  </si>
  <si>
    <t>SHP-01319</t>
  </si>
  <si>
    <t>SHP-01320</t>
  </si>
  <si>
    <t>SHP-01321</t>
  </si>
  <si>
    <t>SHP-01322</t>
  </si>
  <si>
    <t>SHP-01323</t>
  </si>
  <si>
    <t>SHP-01324</t>
  </si>
  <si>
    <t>SHP-01325</t>
  </si>
  <si>
    <t>SHP-01326</t>
  </si>
  <si>
    <t>SHP-01327</t>
  </si>
  <si>
    <t>SHP-01328</t>
  </si>
  <si>
    <t>SHP-01329</t>
  </si>
  <si>
    <t>SHP-01330</t>
  </si>
  <si>
    <t>SHP-01331</t>
  </si>
  <si>
    <t>SHP-01332</t>
  </si>
  <si>
    <t>SHP-01333</t>
  </si>
  <si>
    <t>SHP-01334</t>
  </si>
  <si>
    <t>SHP-01335</t>
  </si>
  <si>
    <t>SHP-01336</t>
  </si>
  <si>
    <t>SHP-01337</t>
  </si>
  <si>
    <t>SHP-01338</t>
  </si>
  <si>
    <t>SHP-01339</t>
  </si>
  <si>
    <t>SHP-01340</t>
  </si>
  <si>
    <t>SHP-01341</t>
  </si>
  <si>
    <t>SHP-01342</t>
  </si>
  <si>
    <t>SHP-01343</t>
  </si>
  <si>
    <t>SHP-01344</t>
  </si>
  <si>
    <t>SHP-01345</t>
  </si>
  <si>
    <t>SHP-01346</t>
  </si>
  <si>
    <t>SHP-01347</t>
  </si>
  <si>
    <t>SHP-01348</t>
  </si>
  <si>
    <t>SHP-01349</t>
  </si>
  <si>
    <t>SHP-01350</t>
  </si>
  <si>
    <t>SHP-01351</t>
  </si>
  <si>
    <t>SHP-01352</t>
  </si>
  <si>
    <t>SHP-01353</t>
  </si>
  <si>
    <t>SHP-01354</t>
  </si>
  <si>
    <t>SHP-01355</t>
  </si>
  <si>
    <t>SHP-01356</t>
  </si>
  <si>
    <t>SHP-01357</t>
  </si>
  <si>
    <t>SHP-01358</t>
  </si>
  <si>
    <t>SHP-01359</t>
  </si>
  <si>
    <t>SHP-01360</t>
  </si>
  <si>
    <t>SHP-01361</t>
  </si>
  <si>
    <t>SHP-01362</t>
  </si>
  <si>
    <t>SHP-01363</t>
  </si>
  <si>
    <t>SHP-01364</t>
  </si>
  <si>
    <t>SHP-01365</t>
  </si>
  <si>
    <t>SHP-01366</t>
  </si>
  <si>
    <t>SHP-01367</t>
  </si>
  <si>
    <t>SHP-01368</t>
  </si>
  <si>
    <t>SHP-01369</t>
  </si>
  <si>
    <t>SHP-01370</t>
  </si>
  <si>
    <t>SHP-01371</t>
  </si>
  <si>
    <t>SHP-01372</t>
  </si>
  <si>
    <t>SHP-01373</t>
  </si>
  <si>
    <t>SHP-01374</t>
  </si>
  <si>
    <t>SHP-01375</t>
  </si>
  <si>
    <t>SHP-01376</t>
  </si>
  <si>
    <t>SHP-01377</t>
  </si>
  <si>
    <t>SHP-01378</t>
  </si>
  <si>
    <t>SHP-01379</t>
  </si>
  <si>
    <t>SHP-01380</t>
  </si>
  <si>
    <t>SHP-01381</t>
  </si>
  <si>
    <t>SHP-01382</t>
  </si>
  <si>
    <t>SHP-01383</t>
  </si>
  <si>
    <t>SHP-01384</t>
  </si>
  <si>
    <t>SHP-01385</t>
  </si>
  <si>
    <t>SHP-01386</t>
  </si>
  <si>
    <t>SHP-01387</t>
  </si>
  <si>
    <t>SHP-01388</t>
  </si>
  <si>
    <t>SHP-01389</t>
  </si>
  <si>
    <t>SHP-01390</t>
  </si>
  <si>
    <t>SHP-01391</t>
  </si>
  <si>
    <t>SHP-01392</t>
  </si>
  <si>
    <t>SHP-01393</t>
  </si>
  <si>
    <t>SHP-01394</t>
  </si>
  <si>
    <t>SHP-01395</t>
  </si>
  <si>
    <t>SHP-01396</t>
  </si>
  <si>
    <t>SHP-01397</t>
  </si>
  <si>
    <t>SHP-01398</t>
  </si>
  <si>
    <t>SHP-01399</t>
  </si>
  <si>
    <t>SHP-01400</t>
  </si>
  <si>
    <t>SHP-01401</t>
  </si>
  <si>
    <t>SHP-01402</t>
  </si>
  <si>
    <t>SHP-01403</t>
  </si>
  <si>
    <t>SHP-01404</t>
  </si>
  <si>
    <t>SHP-01405</t>
  </si>
  <si>
    <t>SHP-01406</t>
  </si>
  <si>
    <t>SHP-01407</t>
  </si>
  <si>
    <t>SHP-01408</t>
  </si>
  <si>
    <t>SHP-01409</t>
  </si>
  <si>
    <t>SHP-01410</t>
  </si>
  <si>
    <t>SHP-01411</t>
  </si>
  <si>
    <t>SHP-01412</t>
  </si>
  <si>
    <t>SHP-01413</t>
  </si>
  <si>
    <t>SHP-01414</t>
  </si>
  <si>
    <t>SHP-01415</t>
  </si>
  <si>
    <t>SHP-01416</t>
  </si>
  <si>
    <t>SHP-01417</t>
  </si>
  <si>
    <t>SHP-01418</t>
  </si>
  <si>
    <t>SHP-01419</t>
  </si>
  <si>
    <t>SHP-01420</t>
  </si>
  <si>
    <t>SHP-01421</t>
  </si>
  <si>
    <t>SHP-01422</t>
  </si>
  <si>
    <t>SHP-01423</t>
  </si>
  <si>
    <t>SHP-01424</t>
  </si>
  <si>
    <t>SHP-01425</t>
  </si>
  <si>
    <t>SHP-01426</t>
  </si>
  <si>
    <t>SHP-01427</t>
  </si>
  <si>
    <t>SHP-01428</t>
  </si>
  <si>
    <t>SHP-01429</t>
  </si>
  <si>
    <t>SHP-01430</t>
  </si>
  <si>
    <t>SHP-01431</t>
  </si>
  <si>
    <t>SHP-01432</t>
  </si>
  <si>
    <t>SHP-01433</t>
  </si>
  <si>
    <t>SHP-01434</t>
  </si>
  <si>
    <t>SHP-01435</t>
  </si>
  <si>
    <t>SHP-01436</t>
  </si>
  <si>
    <t>SHP-01437</t>
  </si>
  <si>
    <t>SHP-01438</t>
  </si>
  <si>
    <t>SHP-01439</t>
  </si>
  <si>
    <t>SHP-01440</t>
  </si>
  <si>
    <t>SHP-01441</t>
  </si>
  <si>
    <t>SHP-01442</t>
  </si>
  <si>
    <t>SHP-01443</t>
  </si>
  <si>
    <t>SHP-01444</t>
  </si>
  <si>
    <t>SHP-01445</t>
  </si>
  <si>
    <t>SHP-01446</t>
  </si>
  <si>
    <t>SHP-01447</t>
  </si>
  <si>
    <t>SHP-01448</t>
  </si>
  <si>
    <t>SHP-01449</t>
  </si>
  <si>
    <t>SHP-01450</t>
  </si>
  <si>
    <t>SHP-01451</t>
  </si>
  <si>
    <t>SHP-01452</t>
  </si>
  <si>
    <t>SHP-01453</t>
  </si>
  <si>
    <t>SHP-01454</t>
  </si>
  <si>
    <t>SHP-01455</t>
  </si>
  <si>
    <t>SHP-01456</t>
  </si>
  <si>
    <t>SHP-01457</t>
  </si>
  <si>
    <t>SHP-01458</t>
  </si>
  <si>
    <t>SHP-01459</t>
  </si>
  <si>
    <t>SHP-01460</t>
  </si>
  <si>
    <t>SHP-01461</t>
  </si>
  <si>
    <t>SHP-01462</t>
  </si>
  <si>
    <t>SHP-01463</t>
  </si>
  <si>
    <t>SHP-01464</t>
  </si>
  <si>
    <t>SHP-01465</t>
  </si>
  <si>
    <t>SHP-01466</t>
  </si>
  <si>
    <t>SHP-01467</t>
  </si>
  <si>
    <t>SHP-01468</t>
  </si>
  <si>
    <t>SHP-01469</t>
  </si>
  <si>
    <t>SHP-01470</t>
  </si>
  <si>
    <t>SHP-01471</t>
  </si>
  <si>
    <t>SHP-01472</t>
  </si>
  <si>
    <t>SHP-01473</t>
  </si>
  <si>
    <t>SHP-01474</t>
  </si>
  <si>
    <t>SHP-01475</t>
  </si>
  <si>
    <t>SHP-01476</t>
  </si>
  <si>
    <t>SHP-01477</t>
  </si>
  <si>
    <t>SHP-01478</t>
  </si>
  <si>
    <t>SHP-01479</t>
  </si>
  <si>
    <t>SHP-01480</t>
  </si>
  <si>
    <t>SHP-01481</t>
  </si>
  <si>
    <t>SHP-01482</t>
  </si>
  <si>
    <t>SHP-01483</t>
  </si>
  <si>
    <t>SHP-01484</t>
  </si>
  <si>
    <t>SHP-01485</t>
  </si>
  <si>
    <t>SHP-01486</t>
  </si>
  <si>
    <t>SHP-01487</t>
  </si>
  <si>
    <t>SHP-01488</t>
  </si>
  <si>
    <t>SHP-01489</t>
  </si>
  <si>
    <t>SHP-01490</t>
  </si>
  <si>
    <t>SHP-01491</t>
  </si>
  <si>
    <t>SHP-01492</t>
  </si>
  <si>
    <t>SHP-01493</t>
  </si>
  <si>
    <t>SHP-01494</t>
  </si>
  <si>
    <t>SHP-01495</t>
  </si>
  <si>
    <t>SHP-01496</t>
  </si>
  <si>
    <t>SHP-01497</t>
  </si>
  <si>
    <t>SHP-01498</t>
  </si>
  <si>
    <t>SHP-01499</t>
  </si>
  <si>
    <t>SHP-01500</t>
  </si>
  <si>
    <t>SHP-01501</t>
  </si>
  <si>
    <t>SHP-01502</t>
  </si>
  <si>
    <t>SHP-01503</t>
  </si>
  <si>
    <t>SHP-01504</t>
  </si>
  <si>
    <t>SHP-01505</t>
  </si>
  <si>
    <t>SHP-01506</t>
  </si>
  <si>
    <t>SHP-01507</t>
  </si>
  <si>
    <t>SHP-01508</t>
  </si>
  <si>
    <t>SHP-01509</t>
  </si>
  <si>
    <t>SHP-01510</t>
  </si>
  <si>
    <t>SHP-01511</t>
  </si>
  <si>
    <t>SHP-01512</t>
  </si>
  <si>
    <t>SHP-01513</t>
  </si>
  <si>
    <t>SHP-01514</t>
  </si>
  <si>
    <t>SHP-01515</t>
  </si>
  <si>
    <t>SHP-01516</t>
  </si>
  <si>
    <t>SHP-01517</t>
  </si>
  <si>
    <t>SHP-01518</t>
  </si>
  <si>
    <t>SHP-01519</t>
  </si>
  <si>
    <t>SHP-01520</t>
  </si>
  <si>
    <t>SHP-01521</t>
  </si>
  <si>
    <t>SHP-01522</t>
  </si>
  <si>
    <t>SHP-01523</t>
  </si>
  <si>
    <t>SHP-01524</t>
  </si>
  <si>
    <t>SHP-01525</t>
  </si>
  <si>
    <t>SHP-01526</t>
  </si>
  <si>
    <t>SHP-01527</t>
  </si>
  <si>
    <t>SHP-01528</t>
  </si>
  <si>
    <t>SHP-01529</t>
  </si>
  <si>
    <t>SHP-01530</t>
  </si>
  <si>
    <t>SHP-01531</t>
  </si>
  <si>
    <t>SHP-01532</t>
  </si>
  <si>
    <t>SHP-01533</t>
  </si>
  <si>
    <t>SHP-01534</t>
  </si>
  <si>
    <t>SHP-01535</t>
  </si>
  <si>
    <t>SHP-01536</t>
  </si>
  <si>
    <t>SHP-01537</t>
  </si>
  <si>
    <t>SHP-01538</t>
  </si>
  <si>
    <t>SHP-01539</t>
  </si>
  <si>
    <t>SHP-01540</t>
  </si>
  <si>
    <t>SHP-01541</t>
  </si>
  <si>
    <t>SHP-01542</t>
  </si>
  <si>
    <t>SHP-01543</t>
  </si>
  <si>
    <t>SHP-01544</t>
  </si>
  <si>
    <t>SHP-01545</t>
  </si>
  <si>
    <t>SHP-01546</t>
  </si>
  <si>
    <t>SHP-01547</t>
  </si>
  <si>
    <t>SHP-01548</t>
  </si>
  <si>
    <t>SHP-01549</t>
  </si>
  <si>
    <t>SHP-01550</t>
  </si>
  <si>
    <t>SHP-01551</t>
  </si>
  <si>
    <t>SHP-01552</t>
  </si>
  <si>
    <t>SHP-01553</t>
  </si>
  <si>
    <t>SHP-01554</t>
  </si>
  <si>
    <t>SHP-01555</t>
  </si>
  <si>
    <t>SHP-01556</t>
  </si>
  <si>
    <t>SHP-01557</t>
  </si>
  <si>
    <t>SHP-01558</t>
  </si>
  <si>
    <t>SHP-01559</t>
  </si>
  <si>
    <t>SHP-01560</t>
  </si>
  <si>
    <t>SHP-01561</t>
  </si>
  <si>
    <t>SHP-01562</t>
  </si>
  <si>
    <t>SHP-01563</t>
  </si>
  <si>
    <t>SHP-01564</t>
  </si>
  <si>
    <t>SHP-01565</t>
  </si>
  <si>
    <t>SHP-01566</t>
  </si>
  <si>
    <t>SHP-01567</t>
  </si>
  <si>
    <t>SHP-01568</t>
  </si>
  <si>
    <t>SHP-01569</t>
  </si>
  <si>
    <t>SHP-01570</t>
  </si>
  <si>
    <t>SHP-01571</t>
  </si>
  <si>
    <t>SHP-01572</t>
  </si>
  <si>
    <t>SHP-01573</t>
  </si>
  <si>
    <t>SHP-01574</t>
  </si>
  <si>
    <t>SHP-01575</t>
  </si>
  <si>
    <t>SHP-01576</t>
  </si>
  <si>
    <t>SHP-01577</t>
  </si>
  <si>
    <t>SHP-01578</t>
  </si>
  <si>
    <t>SHP-01579</t>
  </si>
  <si>
    <t>SHP-01580</t>
  </si>
  <si>
    <t>SHP-01581</t>
  </si>
  <si>
    <t>SHP-01582</t>
  </si>
  <si>
    <t>SHP-01583</t>
  </si>
  <si>
    <t>SHP-01584</t>
  </si>
  <si>
    <t>SHP-01585</t>
  </si>
  <si>
    <t>SHP-01586</t>
  </si>
  <si>
    <t>SHP-01587</t>
  </si>
  <si>
    <t>SHP-01588</t>
  </si>
  <si>
    <t>SHP-01589</t>
  </si>
  <si>
    <t>SHP-01590</t>
  </si>
  <si>
    <t>SHP-01591</t>
  </si>
  <si>
    <t>SHP-01592</t>
  </si>
  <si>
    <t>SHP-01593</t>
  </si>
  <si>
    <t>SHP-01594</t>
  </si>
  <si>
    <t>SHP-01595</t>
  </si>
  <si>
    <t>SHP-01596</t>
  </si>
  <si>
    <t>SHP-01597</t>
  </si>
  <si>
    <t>SHP-01598</t>
  </si>
  <si>
    <t>SHP-01599</t>
  </si>
  <si>
    <t>SHP-01600</t>
  </si>
  <si>
    <t>SHP-01601</t>
  </si>
  <si>
    <t>SHP-01602</t>
  </si>
  <si>
    <t>SHP-01603</t>
  </si>
  <si>
    <t>SHP-01604</t>
  </si>
  <si>
    <t>SHP-01605</t>
  </si>
  <si>
    <t>SHP-01606</t>
  </si>
  <si>
    <t>SHP-01607</t>
  </si>
  <si>
    <t>SHP-01608</t>
  </si>
  <si>
    <t>SHP-01609</t>
  </si>
  <si>
    <t>SHP-01610</t>
  </si>
  <si>
    <t>SHP-01611</t>
  </si>
  <si>
    <t>SHP-01612</t>
  </si>
  <si>
    <t>SHP-01613</t>
  </si>
  <si>
    <t>SHP-01614</t>
  </si>
  <si>
    <t>SHP-01615</t>
  </si>
  <si>
    <t>SHP-01616</t>
  </si>
  <si>
    <t>SHP-01617</t>
  </si>
  <si>
    <t>SHP-01618</t>
  </si>
  <si>
    <t>SHP-01619</t>
  </si>
  <si>
    <t>SHP-01620</t>
  </si>
  <si>
    <t>SHP-01621</t>
  </si>
  <si>
    <t>SHP-01622</t>
  </si>
  <si>
    <t>SHP-01623</t>
  </si>
  <si>
    <t>SHP-01624</t>
  </si>
  <si>
    <t>SHP-01625</t>
  </si>
  <si>
    <t>SHP-01626</t>
  </si>
  <si>
    <t>SHP-01627</t>
  </si>
  <si>
    <t>SHP-01628</t>
  </si>
  <si>
    <t>SHP-01629</t>
  </si>
  <si>
    <t>SHP-01630</t>
  </si>
  <si>
    <t>SHP-01631</t>
  </si>
  <si>
    <t>SHP-01632</t>
  </si>
  <si>
    <t>SHP-01633</t>
  </si>
  <si>
    <t>SHP-01634</t>
  </si>
  <si>
    <t>SHP-01635</t>
  </si>
  <si>
    <t>SHP-01636</t>
  </si>
  <si>
    <t>SHP-01637</t>
  </si>
  <si>
    <t>SHP-01638</t>
  </si>
  <si>
    <t>SHP-01639</t>
  </si>
  <si>
    <t>SHP-01640</t>
  </si>
  <si>
    <t>SHP-01641</t>
  </si>
  <si>
    <t>SHP-01642</t>
  </si>
  <si>
    <t>SHP-01643</t>
  </si>
  <si>
    <t>SHP-01644</t>
  </si>
  <si>
    <t>SHP-01645</t>
  </si>
  <si>
    <t>SHP-01646</t>
  </si>
  <si>
    <t>SHP-01647</t>
  </si>
  <si>
    <t>SHP-01648</t>
  </si>
  <si>
    <t>SHP-01649</t>
  </si>
  <si>
    <t>SHP-01650</t>
  </si>
  <si>
    <t>SHP-01651</t>
  </si>
  <si>
    <t>SHP-01652</t>
  </si>
  <si>
    <t>SHP-01653</t>
  </si>
  <si>
    <t>SHP-01654</t>
  </si>
  <si>
    <t>SHP-01655</t>
  </si>
  <si>
    <t>SHP-01656</t>
  </si>
  <si>
    <t>SHP-01657</t>
  </si>
  <si>
    <t>SHP-01658</t>
  </si>
  <si>
    <t>SHP-01659</t>
  </si>
  <si>
    <t>SHP-01660</t>
  </si>
  <si>
    <t>SHP-01661</t>
  </si>
  <si>
    <t>SHP-01662</t>
  </si>
  <si>
    <t>SHP-01663</t>
  </si>
  <si>
    <t>SHP-01664</t>
  </si>
  <si>
    <t>SHP-01665</t>
  </si>
  <si>
    <t>SHP-01666</t>
  </si>
  <si>
    <t>SHP-01667</t>
  </si>
  <si>
    <t>SHP-01668</t>
  </si>
  <si>
    <t>SHP-01669</t>
  </si>
  <si>
    <t>SHP-01670</t>
  </si>
  <si>
    <t>SHP-01671</t>
  </si>
  <si>
    <t>SHP-01672</t>
  </si>
  <si>
    <t>SHP-01673</t>
  </si>
  <si>
    <t>SHP-01674</t>
  </si>
  <si>
    <t>SHP-01675</t>
  </si>
  <si>
    <t>SHP-01676</t>
  </si>
  <si>
    <t>SHP-01677</t>
  </si>
  <si>
    <t>SHP-01678</t>
  </si>
  <si>
    <t>SHP-01679</t>
  </si>
  <si>
    <t>SHP-01680</t>
  </si>
  <si>
    <t>SHP-01681</t>
  </si>
  <si>
    <t>SHP-01682</t>
  </si>
  <si>
    <t>SHP-01683</t>
  </si>
  <si>
    <t>SHP-01684</t>
  </si>
  <si>
    <t>SHP-01685</t>
  </si>
  <si>
    <t>SHP-01686</t>
  </si>
  <si>
    <t>SHP-01687</t>
  </si>
  <si>
    <t>SHP-01688</t>
  </si>
  <si>
    <t>SHP-01689</t>
  </si>
  <si>
    <t>SHP-01690</t>
  </si>
  <si>
    <t>SHP-01691</t>
  </si>
  <si>
    <t>SHP-01692</t>
  </si>
  <si>
    <t>SHP-01693</t>
  </si>
  <si>
    <t>SHP-01694</t>
  </si>
  <si>
    <t>SHP-01695</t>
  </si>
  <si>
    <t>SHP-01696</t>
  </si>
  <si>
    <t>SHP-01697</t>
  </si>
  <si>
    <t>SHP-01698</t>
  </si>
  <si>
    <t>SHP-01699</t>
  </si>
  <si>
    <t>SHP-01700</t>
  </si>
  <si>
    <t>SHP-01701</t>
  </si>
  <si>
    <t>SHP-01702</t>
  </si>
  <si>
    <t>SHP-01703</t>
  </si>
  <si>
    <t>SHP-01704</t>
  </si>
  <si>
    <t>SHP-01705</t>
  </si>
  <si>
    <t>SHP-01706</t>
  </si>
  <si>
    <t>SHP-01707</t>
  </si>
  <si>
    <t>SHP-01708</t>
  </si>
  <si>
    <t>SHP-01709</t>
  </si>
  <si>
    <t>SHP-01710</t>
  </si>
  <si>
    <t>SHP-01711</t>
  </si>
  <si>
    <t>SHP-01712</t>
  </si>
  <si>
    <t>SHP-01713</t>
  </si>
  <si>
    <t>SHP-01714</t>
  </si>
  <si>
    <t>SHP-01715</t>
  </si>
  <si>
    <t>SHP-01716</t>
  </si>
  <si>
    <t>SHP-01717</t>
  </si>
  <si>
    <t>SHP-01718</t>
  </si>
  <si>
    <t>SHP-01719</t>
  </si>
  <si>
    <t>SHP-01720</t>
  </si>
  <si>
    <t>SHP-01721</t>
  </si>
  <si>
    <t>SHP-01722</t>
  </si>
  <si>
    <t>SHP-01723</t>
  </si>
  <si>
    <t>SHP-01724</t>
  </si>
  <si>
    <t>SHP-01725</t>
  </si>
  <si>
    <t>SHP-01726</t>
  </si>
  <si>
    <t>SHP-01727</t>
  </si>
  <si>
    <t>SHP-01728</t>
  </si>
  <si>
    <t>SHP-01729</t>
  </si>
  <si>
    <t>SHP-01730</t>
  </si>
  <si>
    <t>SHP-01731</t>
  </si>
  <si>
    <t>SHP-01732</t>
  </si>
  <si>
    <t>SHP-01733</t>
  </si>
  <si>
    <t>SHP-01734</t>
  </si>
  <si>
    <t>SHP-01735</t>
  </si>
  <si>
    <t>SHP-01736</t>
  </si>
  <si>
    <t>SHP-01737</t>
  </si>
  <si>
    <t>SHP-01738</t>
  </si>
  <si>
    <t>SHP-01739</t>
  </si>
  <si>
    <t>SHP-01740</t>
  </si>
  <si>
    <t>SHP-01741</t>
  </si>
  <si>
    <t>SHP-01742</t>
  </si>
  <si>
    <t>SHP-01743</t>
  </si>
  <si>
    <t>SHP-01744</t>
  </si>
  <si>
    <t>SHP-01745</t>
  </si>
  <si>
    <t>SHP-01746</t>
  </si>
  <si>
    <t>SHP-01747</t>
  </si>
  <si>
    <t>SHP-01748</t>
  </si>
  <si>
    <t>SHP-01749</t>
  </si>
  <si>
    <t>SHP-01750</t>
  </si>
  <si>
    <t>SHP-01751</t>
  </si>
  <si>
    <t>SHP-01752</t>
  </si>
  <si>
    <t>SHP-01753</t>
  </si>
  <si>
    <t>SHP-01754</t>
  </si>
  <si>
    <t>SHP-01755</t>
  </si>
  <si>
    <t>SHP-01756</t>
  </si>
  <si>
    <t>SHP-01757</t>
  </si>
  <si>
    <t>SHP-01758</t>
  </si>
  <si>
    <t>SHP-01759</t>
  </si>
  <si>
    <t>SHP-01760</t>
  </si>
  <si>
    <t>SHP-01761</t>
  </si>
  <si>
    <t>SHP-01762</t>
  </si>
  <si>
    <t>SHP-01763</t>
  </si>
  <si>
    <t>SHP-01764</t>
  </si>
  <si>
    <t>SHP-01765</t>
  </si>
  <si>
    <t>SHP-01766</t>
  </si>
  <si>
    <t>SHP-01767</t>
  </si>
  <si>
    <t>SHP-01768</t>
  </si>
  <si>
    <t>SHP-01769</t>
  </si>
  <si>
    <t>SHP-01770</t>
  </si>
  <si>
    <t>SHP-01771</t>
  </si>
  <si>
    <t>SHP-01772</t>
  </si>
  <si>
    <t>SHP-01773</t>
  </si>
  <si>
    <t>SHP-01774</t>
  </si>
  <si>
    <t>SHP-01775</t>
  </si>
  <si>
    <t>SHP-01776</t>
  </si>
  <si>
    <t>SHP-01777</t>
  </si>
  <si>
    <t>SHP-01778</t>
  </si>
  <si>
    <t>SHP-01779</t>
  </si>
  <si>
    <t>SHP-01780</t>
  </si>
  <si>
    <t>SHP-01781</t>
  </si>
  <si>
    <t>SHP-01782</t>
  </si>
  <si>
    <t>SHP-01783</t>
  </si>
  <si>
    <t>SHP-01784</t>
  </si>
  <si>
    <t>SHP-01785</t>
  </si>
  <si>
    <t>SHP-01786</t>
  </si>
  <si>
    <t>SHP-01787</t>
  </si>
  <si>
    <t>SHP-01788</t>
  </si>
  <si>
    <t>SHP-01789</t>
  </si>
  <si>
    <t>SHP-01790</t>
  </si>
  <si>
    <t>SHP-01791</t>
  </si>
  <si>
    <t>SHP-01792</t>
  </si>
  <si>
    <t>SHP-01793</t>
  </si>
  <si>
    <t>SHP-01794</t>
  </si>
  <si>
    <t>SHP-01795</t>
  </si>
  <si>
    <t>SHP-01796</t>
  </si>
  <si>
    <t>SHP-01797</t>
  </si>
  <si>
    <t>SHP-01798</t>
  </si>
  <si>
    <t>SHP-01799</t>
  </si>
  <si>
    <t>SHP-01800</t>
  </si>
  <si>
    <t>SHP-01801</t>
  </si>
  <si>
    <t>SHP-01802</t>
  </si>
  <si>
    <t>SHP-01803</t>
  </si>
  <si>
    <t>SHP-01804</t>
  </si>
  <si>
    <t>SHP-01805</t>
  </si>
  <si>
    <t>SHP-01806</t>
  </si>
  <si>
    <t>SHP-01807</t>
  </si>
  <si>
    <t>SHP-01808</t>
  </si>
  <si>
    <t>SHP-01809</t>
  </si>
  <si>
    <t>SHP-01810</t>
  </si>
  <si>
    <t>SHP-01811</t>
  </si>
  <si>
    <t>SHP-01812</t>
  </si>
  <si>
    <t>SHP-01813</t>
  </si>
  <si>
    <t>SHP-01814</t>
  </si>
  <si>
    <t>SHP-01815</t>
  </si>
  <si>
    <t>SHP-01816</t>
  </si>
  <si>
    <t>SHP-01817</t>
  </si>
  <si>
    <t>SHP-01818</t>
  </si>
  <si>
    <t>SHP-01819</t>
  </si>
  <si>
    <t>SHP-01820</t>
  </si>
  <si>
    <t>SHP-01821</t>
  </si>
  <si>
    <t>SHP-01822</t>
  </si>
  <si>
    <t>SHP-01823</t>
  </si>
  <si>
    <t>SHP-01824</t>
  </si>
  <si>
    <t>SHP-01825</t>
  </si>
  <si>
    <t>SHP-01826</t>
  </si>
  <si>
    <t>SHP-01827</t>
  </si>
  <si>
    <t>SHP-01828</t>
  </si>
  <si>
    <t>SHP-01829</t>
  </si>
  <si>
    <t>SHP-01830</t>
  </si>
  <si>
    <t>SHP-01831</t>
  </si>
  <si>
    <t>SHP-01832</t>
  </si>
  <si>
    <t>SHP-01833</t>
  </si>
  <si>
    <t>SHP-01834</t>
  </si>
  <si>
    <t>SHP-01835</t>
  </si>
  <si>
    <t>SHP-01836</t>
  </si>
  <si>
    <t>SHP-01837</t>
  </si>
  <si>
    <t>SHP-01838</t>
  </si>
  <si>
    <t>SHP-01839</t>
  </si>
  <si>
    <t>SHP-01840</t>
  </si>
  <si>
    <t>SHP-01841</t>
  </si>
  <si>
    <t>SHP-01842</t>
  </si>
  <si>
    <t>SHP-01843</t>
  </si>
  <si>
    <t>SHP-01844</t>
  </si>
  <si>
    <t>SHP-01845</t>
  </si>
  <si>
    <t>SHP-01846</t>
  </si>
  <si>
    <t>SHP-01847</t>
  </si>
  <si>
    <t>SHP-01848</t>
  </si>
  <si>
    <t>SHP-01849</t>
  </si>
  <si>
    <t>SHP-01850</t>
  </si>
  <si>
    <t>SHP-01851</t>
  </si>
  <si>
    <t>SHP-01852</t>
  </si>
  <si>
    <t>SHP-01853</t>
  </si>
  <si>
    <t>SHP-01854</t>
  </si>
  <si>
    <t>SHP-01855</t>
  </si>
  <si>
    <t>SHP-01856</t>
  </si>
  <si>
    <t>SHP-01857</t>
  </si>
  <si>
    <t>SHP-01858</t>
  </si>
  <si>
    <t>SHP-01859</t>
  </si>
  <si>
    <t>SHP-01860</t>
  </si>
  <si>
    <t>SHP-01861</t>
  </si>
  <si>
    <t>SHP-01862</t>
  </si>
  <si>
    <t>SHP-01863</t>
  </si>
  <si>
    <t>SHP-01864</t>
  </si>
  <si>
    <t>SHP-01865</t>
  </si>
  <si>
    <t>SHP-01866</t>
  </si>
  <si>
    <t>SHP-01867</t>
  </si>
  <si>
    <t>SHP-01868</t>
  </si>
  <si>
    <t>SHP-01869</t>
  </si>
  <si>
    <t>SHP-01870</t>
  </si>
  <si>
    <t>SHP-01871</t>
  </si>
  <si>
    <t>SHP-01872</t>
  </si>
  <si>
    <t>SHP-01873</t>
  </si>
  <si>
    <t>SHP-01874</t>
  </si>
  <si>
    <t>SHP-01875</t>
  </si>
  <si>
    <t>SHP-01876</t>
  </si>
  <si>
    <t>SHP-01877</t>
  </si>
  <si>
    <t>SHP-01878</t>
  </si>
  <si>
    <t>SHP-01879</t>
  </si>
  <si>
    <t>SHP-01880</t>
  </si>
  <si>
    <t>SHP-01881</t>
  </si>
  <si>
    <t>SHP-01882</t>
  </si>
  <si>
    <t>SHP-01883</t>
  </si>
  <si>
    <t>SHP-01884</t>
  </si>
  <si>
    <t>SHP-01885</t>
  </si>
  <si>
    <t>SHP-01886</t>
  </si>
  <si>
    <t>SHP-01887</t>
  </si>
  <si>
    <t>SHP-01888</t>
  </si>
  <si>
    <t>SHP-01889</t>
  </si>
  <si>
    <t>SHP-01890</t>
  </si>
  <si>
    <t>SHP-01891</t>
  </si>
  <si>
    <t>SHP-01892</t>
  </si>
  <si>
    <t>SHP-01893</t>
  </si>
  <si>
    <t>SHP-01894</t>
  </si>
  <si>
    <t>SHP-01895</t>
  </si>
  <si>
    <t>SHP-01896</t>
  </si>
  <si>
    <t>SHP-01897</t>
  </si>
  <si>
    <t>SHP-01898</t>
  </si>
  <si>
    <t>SHP-01899</t>
  </si>
  <si>
    <t>SHP-01900</t>
  </si>
  <si>
    <t>SHP-01901</t>
  </si>
  <si>
    <t>SHP-01902</t>
  </si>
  <si>
    <t>SHP-01903</t>
  </si>
  <si>
    <t>SHP-01904</t>
  </si>
  <si>
    <t>SHP-01905</t>
  </si>
  <si>
    <t>SHP-01906</t>
  </si>
  <si>
    <t>SHP-01907</t>
  </si>
  <si>
    <t>SHP-01908</t>
  </si>
  <si>
    <t>SHP-01909</t>
  </si>
  <si>
    <t>SHP-01910</t>
  </si>
  <si>
    <t>SHP-01911</t>
  </si>
  <si>
    <t>SHP-01912</t>
  </si>
  <si>
    <t>SHP-01913</t>
  </si>
  <si>
    <t>SHP-01914</t>
  </si>
  <si>
    <t>SHP-01915</t>
  </si>
  <si>
    <t>SHP-01916</t>
  </si>
  <si>
    <t>SHP-01917</t>
  </si>
  <si>
    <t>SHP-01918</t>
  </si>
  <si>
    <t>SHP-01919</t>
  </si>
  <si>
    <t>SHP-01920</t>
  </si>
  <si>
    <t>SHP-01921</t>
  </si>
  <si>
    <t>SHP-01922</t>
  </si>
  <si>
    <t>SHP-01923</t>
  </si>
  <si>
    <t>SHP-01924</t>
  </si>
  <si>
    <t>SHP-01925</t>
  </si>
  <si>
    <t>SHP-01926</t>
  </si>
  <si>
    <t>SHP-01927</t>
  </si>
  <si>
    <t>SHP-01928</t>
  </si>
  <si>
    <t>SHP-01929</t>
  </si>
  <si>
    <t>SHP-01930</t>
  </si>
  <si>
    <t>SHP-01931</t>
  </si>
  <si>
    <t>SHP-01932</t>
  </si>
  <si>
    <t>SHP-01933</t>
  </si>
  <si>
    <t>SHP-01934</t>
  </si>
  <si>
    <t>SHP-01935</t>
  </si>
  <si>
    <t>SHP-01936</t>
  </si>
  <si>
    <t>SHP-01937</t>
  </si>
  <si>
    <t>SHP-01938</t>
  </si>
  <si>
    <t>SHP-01939</t>
  </si>
  <si>
    <t>SHP-01940</t>
  </si>
  <si>
    <t>SHP-01941</t>
  </si>
  <si>
    <t>SHP-01942</t>
  </si>
  <si>
    <t>SHP-01943</t>
  </si>
  <si>
    <t>SHP-01944</t>
  </si>
  <si>
    <t>SHP-01945</t>
  </si>
  <si>
    <t>SHP-01946</t>
  </si>
  <si>
    <t>SHP-01947</t>
  </si>
  <si>
    <t>SHP-01948</t>
  </si>
  <si>
    <t>SHP-01949</t>
  </si>
  <si>
    <t>SHP-01950</t>
  </si>
  <si>
    <t>SHP-01951</t>
  </si>
  <si>
    <t>SHP-01952</t>
  </si>
  <si>
    <t>SHP-01953</t>
  </si>
  <si>
    <t>SHP-01954</t>
  </si>
  <si>
    <t>SHP-01955</t>
  </si>
  <si>
    <t>SHP-01956</t>
  </si>
  <si>
    <t>SHP-01957</t>
  </si>
  <si>
    <t>SHP-01958</t>
  </si>
  <si>
    <t>SHP-01959</t>
  </si>
  <si>
    <t>SHP-01960</t>
  </si>
  <si>
    <t>SHP-01961</t>
  </si>
  <si>
    <t>SHP-01962</t>
  </si>
  <si>
    <t>SHP-01963</t>
  </si>
  <si>
    <t>SHP-01964</t>
  </si>
  <si>
    <t>SHP-01965</t>
  </si>
  <si>
    <t>SHP-01966</t>
  </si>
  <si>
    <t>SHP-01967</t>
  </si>
  <si>
    <t>SHP-01968</t>
  </si>
  <si>
    <t>SHP-01969</t>
  </si>
  <si>
    <t>SHP-01970</t>
  </si>
  <si>
    <t>SHP-01971</t>
  </si>
  <si>
    <t>SHP-01972</t>
  </si>
  <si>
    <t>SHP-01973</t>
  </si>
  <si>
    <t>SHP-01974</t>
  </si>
  <si>
    <t>SHP-01975</t>
  </si>
  <si>
    <t>SHP-01976</t>
  </si>
  <si>
    <t>SHP-01977</t>
  </si>
  <si>
    <t>SHP-01978</t>
  </si>
  <si>
    <t>SHP-01979</t>
  </si>
  <si>
    <t>SHP-01980</t>
  </si>
  <si>
    <t>SHP-01981</t>
  </si>
  <si>
    <t>SHP-01982</t>
  </si>
  <si>
    <t>SHP-01983</t>
  </si>
  <si>
    <t>SHP-01984</t>
  </si>
  <si>
    <t>SHP-01985</t>
  </si>
  <si>
    <t>SHP-01986</t>
  </si>
  <si>
    <t>SHP-01987</t>
  </si>
  <si>
    <t>SHP-01988</t>
  </si>
  <si>
    <t>SHP-01989</t>
  </si>
  <si>
    <t>SHP-01990</t>
  </si>
  <si>
    <t>SHP-01991</t>
  </si>
  <si>
    <t>SHP-01992</t>
  </si>
  <si>
    <t>SHP-01993</t>
  </si>
  <si>
    <t>SHP-01994</t>
  </si>
  <si>
    <t>SHP-01995</t>
  </si>
  <si>
    <t>SHP-01996</t>
  </si>
  <si>
    <t>SHP-01997</t>
  </si>
  <si>
    <t>SHP-01998</t>
  </si>
  <si>
    <t>SHP-01999</t>
  </si>
  <si>
    <t>SHP-02000</t>
  </si>
  <si>
    <t>SHP-02001</t>
  </si>
  <si>
    <t>SHP-02002</t>
  </si>
  <si>
    <t>SHP-02003</t>
  </si>
  <si>
    <t>SHP-02004</t>
  </si>
  <si>
    <t>SHP-02005</t>
  </si>
  <si>
    <t>SHP-02006</t>
  </si>
  <si>
    <t>SHP-02007</t>
  </si>
  <si>
    <t>SHP-02008</t>
  </si>
  <si>
    <t>SHP-02009</t>
  </si>
  <si>
    <t>SHP-02010</t>
  </si>
  <si>
    <t>SHP-02011</t>
  </si>
  <si>
    <t>SHP-02012</t>
  </si>
  <si>
    <t>SHP-02013</t>
  </si>
  <si>
    <t>SHP-02014</t>
  </si>
  <si>
    <t>SHP-02015</t>
  </si>
  <si>
    <t>SHP-02016</t>
  </si>
  <si>
    <t>SHP-02017</t>
  </si>
  <si>
    <t>SHP-02018</t>
  </si>
  <si>
    <t>SHP-02019</t>
  </si>
  <si>
    <t>SHP-02020</t>
  </si>
  <si>
    <t>SHP-02021</t>
  </si>
  <si>
    <t>SHP-02022</t>
  </si>
  <si>
    <t>SHP-02023</t>
  </si>
  <si>
    <t>SHP-02024</t>
  </si>
  <si>
    <t>SHP-02025</t>
  </si>
  <si>
    <t>SHP-02026</t>
  </si>
  <si>
    <t>SHP-02027</t>
  </si>
  <si>
    <t>SHP-02028</t>
  </si>
  <si>
    <t>SHP-02029</t>
  </si>
  <si>
    <t>SHP-02030</t>
  </si>
  <si>
    <t>SHP-02031</t>
  </si>
  <si>
    <t>SHP-02032</t>
  </si>
  <si>
    <t>SHP-02033</t>
  </si>
  <si>
    <t>SHP-02034</t>
  </si>
  <si>
    <t>SHP-02035</t>
  </si>
  <si>
    <t>SHP-02036</t>
  </si>
  <si>
    <t>SHP-02037</t>
  </si>
  <si>
    <t>SHP-02038</t>
  </si>
  <si>
    <t>SHP-02039</t>
  </si>
  <si>
    <t>SHP-02040</t>
  </si>
  <si>
    <t>SHP-02041</t>
  </si>
  <si>
    <t>SHP-02042</t>
  </si>
  <si>
    <t>SHP-02043</t>
  </si>
  <si>
    <t>SHP-02044</t>
  </si>
  <si>
    <t>SHP-02045</t>
  </si>
  <si>
    <t>SHP-02046</t>
  </si>
  <si>
    <t>SHP-02047</t>
  </si>
  <si>
    <t>SHP-02048</t>
  </si>
  <si>
    <t>SHP-02049</t>
  </si>
  <si>
    <t>SHP-02050</t>
  </si>
  <si>
    <t>SHP-02051</t>
  </si>
  <si>
    <t>SHP-02052</t>
  </si>
  <si>
    <t>SHP-02053</t>
  </si>
  <si>
    <t>SHP-02054</t>
  </si>
  <si>
    <t>SHP-02055</t>
  </si>
  <si>
    <t>SHP-02056</t>
  </si>
  <si>
    <t>SHP-02057</t>
  </si>
  <si>
    <t>SHP-02058</t>
  </si>
  <si>
    <t>SHP-02059</t>
  </si>
  <si>
    <t>SHP-02060</t>
  </si>
  <si>
    <t>SHP-02061</t>
  </si>
  <si>
    <t>SHP-02062</t>
  </si>
  <si>
    <t>SHP-02063</t>
  </si>
  <si>
    <t>SHP-02064</t>
  </si>
  <si>
    <t>SHP-02065</t>
  </si>
  <si>
    <t>SHP-02066</t>
  </si>
  <si>
    <t>SHP-02067</t>
  </si>
  <si>
    <t>SHP-02068</t>
  </si>
  <si>
    <t>SHP-02069</t>
  </si>
  <si>
    <t>SHP-02070</t>
  </si>
  <si>
    <t>SHP-02071</t>
  </si>
  <si>
    <t>SHP-02072</t>
  </si>
  <si>
    <t>SHP-02073</t>
  </si>
  <si>
    <t>SHP-02074</t>
  </si>
  <si>
    <t>SHP-02075</t>
  </si>
  <si>
    <t>SHP-02076</t>
  </si>
  <si>
    <t>SHP-02077</t>
  </si>
  <si>
    <t>SHP-02078</t>
  </si>
  <si>
    <t>SHP-02079</t>
  </si>
  <si>
    <t>SHP-02080</t>
  </si>
  <si>
    <t>SHP-02081</t>
  </si>
  <si>
    <t>SHP-02082</t>
  </si>
  <si>
    <t>SHP-02083</t>
  </si>
  <si>
    <t>SHP-02084</t>
  </si>
  <si>
    <t>SHP-02085</t>
  </si>
  <si>
    <t>SHP-02086</t>
  </si>
  <si>
    <t>SHP-02087</t>
  </si>
  <si>
    <t>SHP-02088</t>
  </si>
  <si>
    <t>SHP-02089</t>
  </si>
  <si>
    <t>SHP-02090</t>
  </si>
  <si>
    <t>SHP-02091</t>
  </si>
  <si>
    <t>SHP-02092</t>
  </si>
  <si>
    <t>SHP-02093</t>
  </si>
  <si>
    <t>SHP-02094</t>
  </si>
  <si>
    <t>SHP-02095</t>
  </si>
  <si>
    <t>SHP-02096</t>
  </si>
  <si>
    <t>SHP-02097</t>
  </si>
  <si>
    <t>SHP-02098</t>
  </si>
  <si>
    <t>SHP-02099</t>
  </si>
  <si>
    <t>SHP-02100</t>
  </si>
  <si>
    <t>SHP-02101</t>
  </si>
  <si>
    <t>SHP-02102</t>
  </si>
  <si>
    <t>SHP-02103</t>
  </si>
  <si>
    <t>SHP-02104</t>
  </si>
  <si>
    <t>SHP-02105</t>
  </si>
  <si>
    <t>SHP-02106</t>
  </si>
  <si>
    <t>SHP-02107</t>
  </si>
  <si>
    <t>SHP-02108</t>
  </si>
  <si>
    <t>SHP-02109</t>
  </si>
  <si>
    <t>SHP-02110</t>
  </si>
  <si>
    <t>SHP-02111</t>
  </si>
  <si>
    <t>SHP-02112</t>
  </si>
  <si>
    <t>SHP-02113</t>
  </si>
  <si>
    <t>SHP-02114</t>
  </si>
  <si>
    <t>SHP-02115</t>
  </si>
  <si>
    <t>SHP-02116</t>
  </si>
  <si>
    <t>SHP-02117</t>
  </si>
  <si>
    <t>SHP-02118</t>
  </si>
  <si>
    <t>SHP-02119</t>
  </si>
  <si>
    <t>SHP-02120</t>
  </si>
  <si>
    <t>SHP-02121</t>
  </si>
  <si>
    <t>SHP-02122</t>
  </si>
  <si>
    <t>SHP-02123</t>
  </si>
  <si>
    <t>SHP-02124</t>
  </si>
  <si>
    <t>SHP-02125</t>
  </si>
  <si>
    <t>SHP-02126</t>
  </si>
  <si>
    <t>SHP-02127</t>
  </si>
  <si>
    <t>SHP-02128</t>
  </si>
  <si>
    <t>SHP-02129</t>
  </si>
  <si>
    <t>SHP-02130</t>
  </si>
  <si>
    <t>SHP-02131</t>
  </si>
  <si>
    <t>SHP-02132</t>
  </si>
  <si>
    <t>SHP-02133</t>
  </si>
  <si>
    <t>SHP-02134</t>
  </si>
  <si>
    <t>SHP-02135</t>
  </si>
  <si>
    <t>SHP-02136</t>
  </si>
  <si>
    <t>SHP-02137</t>
  </si>
  <si>
    <t>SHP-02138</t>
  </si>
  <si>
    <t>SHP-02139</t>
  </si>
  <si>
    <t>SHP-02140</t>
  </si>
  <si>
    <t>SHP-02141</t>
  </si>
  <si>
    <t>SHP-02142</t>
  </si>
  <si>
    <t>SHP-02143</t>
  </si>
  <si>
    <t>SHP-02144</t>
  </si>
  <si>
    <t>SHP-02145</t>
  </si>
  <si>
    <t>SHP-02146</t>
  </si>
  <si>
    <t>SHP-02147</t>
  </si>
  <si>
    <t>SHP-02148</t>
  </si>
  <si>
    <t>SHP-02149</t>
  </si>
  <si>
    <t>SHP-02150</t>
  </si>
  <si>
    <t>SHP-02151</t>
  </si>
  <si>
    <t>SHP-02152</t>
  </si>
  <si>
    <t>SHP-02153</t>
  </si>
  <si>
    <t>SHP-02154</t>
  </si>
  <si>
    <t>SHP-02155</t>
  </si>
  <si>
    <t>SHP-02156</t>
  </si>
  <si>
    <t>SHP-02157</t>
  </si>
  <si>
    <t>SHP-02158</t>
  </si>
  <si>
    <t>SHP-02159</t>
  </si>
  <si>
    <t>SHP-02160</t>
  </si>
  <si>
    <t>SHP-02161</t>
  </si>
  <si>
    <t>SHP-02162</t>
  </si>
  <si>
    <t>SHP-02163</t>
  </si>
  <si>
    <t>SHP-02164</t>
  </si>
  <si>
    <t>SHP-02165</t>
  </si>
  <si>
    <t>SHP-02166</t>
  </si>
  <si>
    <t>SHP-02167</t>
  </si>
  <si>
    <t>SHP-02168</t>
  </si>
  <si>
    <t>SHP-02169</t>
  </si>
  <si>
    <t>SHP-02170</t>
  </si>
  <si>
    <t>SHP-02171</t>
  </si>
  <si>
    <t>SHP-02172</t>
  </si>
  <si>
    <t>SHP-02173</t>
  </si>
  <si>
    <t>SHP-02174</t>
  </si>
  <si>
    <t>SHP-02175</t>
  </si>
  <si>
    <t>SHP-02176</t>
  </si>
  <si>
    <t>SHP-02177</t>
  </si>
  <si>
    <t>SHP-02178</t>
  </si>
  <si>
    <t>SHP-02179</t>
  </si>
  <si>
    <t>SHP-02180</t>
  </si>
  <si>
    <t>SHP-02181</t>
  </si>
  <si>
    <t>SHP-02182</t>
  </si>
  <si>
    <t>SHP-02183</t>
  </si>
  <si>
    <t>SHP-02184</t>
  </si>
  <si>
    <t>SHP-02185</t>
  </si>
  <si>
    <t>SHP-02186</t>
  </si>
  <si>
    <t>SHP-02187</t>
  </si>
  <si>
    <t>SHP-02188</t>
  </si>
  <si>
    <t>SHP-02189</t>
  </si>
  <si>
    <t>SHP-02190</t>
  </si>
  <si>
    <t>SHP-02191</t>
  </si>
  <si>
    <t>SHP-02192</t>
  </si>
  <si>
    <t>SHP-02193</t>
  </si>
  <si>
    <t>SHP-02194</t>
  </si>
  <si>
    <t>SHP-02195</t>
  </si>
  <si>
    <t>SHP-02196</t>
  </si>
  <si>
    <t>SHP-02197</t>
  </si>
  <si>
    <t>SHP-02198</t>
  </si>
  <si>
    <t>SHP-02199</t>
  </si>
  <si>
    <t>SHP-02200</t>
  </si>
  <si>
    <t>SHP-02201</t>
  </si>
  <si>
    <t>SHP-02202</t>
  </si>
  <si>
    <t>SHP-02203</t>
  </si>
  <si>
    <t>SHP-02204</t>
  </si>
  <si>
    <t>SHP-02205</t>
  </si>
  <si>
    <t>SHP-02206</t>
  </si>
  <si>
    <t>SHP-02207</t>
  </si>
  <si>
    <t>SHP-02208</t>
  </si>
  <si>
    <t>SHP-02209</t>
  </si>
  <si>
    <t>SHP-02210</t>
  </si>
  <si>
    <t>SHP-02211</t>
  </si>
  <si>
    <t>SHP-02212</t>
  </si>
  <si>
    <t>SHP-02213</t>
  </si>
  <si>
    <t>SHP-02214</t>
  </si>
  <si>
    <t>SHP-02215</t>
  </si>
  <si>
    <t>SHP-02216</t>
  </si>
  <si>
    <t>SHP-02217</t>
  </si>
  <si>
    <t>SHP-02218</t>
  </si>
  <si>
    <t>SHP-02219</t>
  </si>
  <si>
    <t>SHP-02220</t>
  </si>
  <si>
    <t>SHP-02221</t>
  </si>
  <si>
    <t>SHP-02222</t>
  </si>
  <si>
    <t>SHP-02223</t>
  </si>
  <si>
    <t>SHP-02224</t>
  </si>
  <si>
    <t>SHP-02225</t>
  </si>
  <si>
    <t>SHP-02226</t>
  </si>
  <si>
    <t>SHP-02227</t>
  </si>
  <si>
    <t>SHP-02228</t>
  </si>
  <si>
    <t>SHP-02229</t>
  </si>
  <si>
    <t>SHP-02230</t>
  </si>
  <si>
    <t>SHP-02231</t>
  </si>
  <si>
    <t>SHP-02232</t>
  </si>
  <si>
    <t>SHP-02233</t>
  </si>
  <si>
    <t>SHP-02234</t>
  </si>
  <si>
    <t>SHP-02235</t>
  </si>
  <si>
    <t>SHP-02236</t>
  </si>
  <si>
    <t>SHP-02237</t>
  </si>
  <si>
    <t>SHP-02238</t>
  </si>
  <si>
    <t>SHP-02239</t>
  </si>
  <si>
    <t>SHP-02240</t>
  </si>
  <si>
    <t>SHP-02241</t>
  </si>
  <si>
    <t>SHP-02242</t>
  </si>
  <si>
    <t>SHP-02243</t>
  </si>
  <si>
    <t>SHP-02244</t>
  </si>
  <si>
    <t>SHP-02245</t>
  </si>
  <si>
    <t>SHP-02246</t>
  </si>
  <si>
    <t>SHP-02247</t>
  </si>
  <si>
    <t>SHP-02248</t>
  </si>
  <si>
    <t>SHP-02249</t>
  </si>
  <si>
    <t>SHP-02250</t>
  </si>
  <si>
    <t>SHP-02251</t>
  </si>
  <si>
    <t>SHP-02252</t>
  </si>
  <si>
    <t>SHP-02253</t>
  </si>
  <si>
    <t>SHP-02254</t>
  </si>
  <si>
    <t>SHP-02255</t>
  </si>
  <si>
    <t>SHP-02256</t>
  </si>
  <si>
    <t>SHP-02257</t>
  </si>
  <si>
    <t>SHP-02258</t>
  </si>
  <si>
    <t>SHP-02259</t>
  </si>
  <si>
    <t>SHP-02260</t>
  </si>
  <si>
    <t>SHP-02261</t>
  </si>
  <si>
    <t>SHP-02262</t>
  </si>
  <si>
    <t>SHP-02263</t>
  </si>
  <si>
    <t>SHP-02264</t>
  </si>
  <si>
    <t>SHP-02265</t>
  </si>
  <si>
    <t>SHP-02266</t>
  </si>
  <si>
    <t>SHP-02267</t>
  </si>
  <si>
    <t>SHP-02268</t>
  </si>
  <si>
    <t>SHP-02269</t>
  </si>
  <si>
    <t>SHP-02270</t>
  </si>
  <si>
    <t>SHP-02271</t>
  </si>
  <si>
    <t>SHP-02272</t>
  </si>
  <si>
    <t>SHP-02273</t>
  </si>
  <si>
    <t>SHP-02274</t>
  </si>
  <si>
    <t>SHP-02275</t>
  </si>
  <si>
    <t>SHP-02276</t>
  </si>
  <si>
    <t>SHP-02277</t>
  </si>
  <si>
    <t>SHP-02278</t>
  </si>
  <si>
    <t>SHP-02279</t>
  </si>
  <si>
    <t>SHP-02280</t>
  </si>
  <si>
    <t>SHP-02281</t>
  </si>
  <si>
    <t>SHP-02282</t>
  </si>
  <si>
    <t>SHP-02283</t>
  </si>
  <si>
    <t>SHP-02284</t>
  </si>
  <si>
    <t>SHP-02285</t>
  </si>
  <si>
    <t>SHP-02286</t>
  </si>
  <si>
    <t>SHP-02287</t>
  </si>
  <si>
    <t>SHP-02288</t>
  </si>
  <si>
    <t>SHP-02289</t>
  </si>
  <si>
    <t>SHP-02290</t>
  </si>
  <si>
    <t>SHP-02291</t>
  </si>
  <si>
    <t>SHP-02292</t>
  </si>
  <si>
    <t>SHP-02293</t>
  </si>
  <si>
    <t>SHP-02294</t>
  </si>
  <si>
    <t>SHP-02295</t>
  </si>
  <si>
    <t>SHP-02296</t>
  </si>
  <si>
    <t>SHP-02297</t>
  </si>
  <si>
    <t>SHP-02298</t>
  </si>
  <si>
    <t>SHP-02299</t>
  </si>
  <si>
    <t>SHP-02300</t>
  </si>
  <si>
    <t>SHP-02301</t>
  </si>
  <si>
    <t>SHP-02302</t>
  </si>
  <si>
    <t>SHP-02303</t>
  </si>
  <si>
    <t>SHP-02304</t>
  </si>
  <si>
    <t>SHP-02305</t>
  </si>
  <si>
    <t>SHP-02306</t>
  </si>
  <si>
    <t>SHP-02307</t>
  </si>
  <si>
    <t>SHP-02308</t>
  </si>
  <si>
    <t>SHP-02309</t>
  </si>
  <si>
    <t>SHP-02310</t>
  </si>
  <si>
    <t>SHP-02311</t>
  </si>
  <si>
    <t>SHP-02312</t>
  </si>
  <si>
    <t>SHP-02313</t>
  </si>
  <si>
    <t>SHP-02314</t>
  </si>
  <si>
    <t>SHP-02315</t>
  </si>
  <si>
    <t>SHP-02316</t>
  </si>
  <si>
    <t>SHP-02317</t>
  </si>
  <si>
    <t>SHP-02318</t>
  </si>
  <si>
    <t>SHP-02319</t>
  </si>
  <si>
    <t>SHP-02320</t>
  </si>
  <si>
    <t>SHP-02321</t>
  </si>
  <si>
    <t>SHP-02322</t>
  </si>
  <si>
    <t>SHP-02323</t>
  </si>
  <si>
    <t>SHP-02324</t>
  </si>
  <si>
    <t>SHP-02325</t>
  </si>
  <si>
    <t>SHP-02326</t>
  </si>
  <si>
    <t>SHP-02327</t>
  </si>
  <si>
    <t>SHP-02328</t>
  </si>
  <si>
    <t>SHP-02329</t>
  </si>
  <si>
    <t>SHP-02330</t>
  </si>
  <si>
    <t>SHP-02331</t>
  </si>
  <si>
    <t>SHP-02332</t>
  </si>
  <si>
    <t>SHP-02333</t>
  </si>
  <si>
    <t>SHP-02334</t>
  </si>
  <si>
    <t>SHP-02335</t>
  </si>
  <si>
    <t>SHP-02336</t>
  </si>
  <si>
    <t>SHP-02337</t>
  </si>
  <si>
    <t>SHP-02338</t>
  </si>
  <si>
    <t>SHP-02339</t>
  </si>
  <si>
    <t>SHP-02340</t>
  </si>
  <si>
    <t>SHP-02341</t>
  </si>
  <si>
    <t>SHP-02342</t>
  </si>
  <si>
    <t>SHP-02343</t>
  </si>
  <si>
    <t>SHP-02344</t>
  </si>
  <si>
    <t>SHP-02345</t>
  </si>
  <si>
    <t>SHP-02346</t>
  </si>
  <si>
    <t>SHP-02347</t>
  </si>
  <si>
    <t>SHP-02348</t>
  </si>
  <si>
    <t>SHP-02349</t>
  </si>
  <si>
    <t>SHP-02350</t>
  </si>
  <si>
    <t>SHP-02351</t>
  </si>
  <si>
    <t>SHP-02352</t>
  </si>
  <si>
    <t>SHP-02353</t>
  </si>
  <si>
    <t>SHP-02354</t>
  </si>
  <si>
    <t>SHP-02355</t>
  </si>
  <si>
    <t>SHP-02356</t>
  </si>
  <si>
    <t>SHP-02357</t>
  </si>
  <si>
    <t>SHP-02358</t>
  </si>
  <si>
    <t>SHP-02359</t>
  </si>
  <si>
    <t>SHP-02360</t>
  </si>
  <si>
    <t>SHP-02361</t>
  </si>
  <si>
    <t>SHP-02362</t>
  </si>
  <si>
    <t>SHP-02363</t>
  </si>
  <si>
    <t>SHP-02364</t>
  </si>
  <si>
    <t>SHP-02365</t>
  </si>
  <si>
    <t>SHP-02366</t>
  </si>
  <si>
    <t>SHP-02367</t>
  </si>
  <si>
    <t>SHP-02368</t>
  </si>
  <si>
    <t>SHP-02369</t>
  </si>
  <si>
    <t>SHP-02370</t>
  </si>
  <si>
    <t>SHP-02371</t>
  </si>
  <si>
    <t>SHP-02372</t>
  </si>
  <si>
    <t>SHP-02373</t>
  </si>
  <si>
    <t>SHP-02374</t>
  </si>
  <si>
    <t>SHP-02375</t>
  </si>
  <si>
    <t>SHP-02376</t>
  </si>
  <si>
    <t>SHP-02377</t>
  </si>
  <si>
    <t>SHP-02378</t>
  </si>
  <si>
    <t>SHP-02379</t>
  </si>
  <si>
    <t>SHP-02380</t>
  </si>
  <si>
    <t>SHP-02381</t>
  </si>
  <si>
    <t>SHP-02382</t>
  </si>
  <si>
    <t>SHP-02383</t>
  </si>
  <si>
    <t>SHP-02384</t>
  </si>
  <si>
    <t>SHP-02385</t>
  </si>
  <si>
    <t>SHP-02386</t>
  </si>
  <si>
    <t>SHP-02387</t>
  </si>
  <si>
    <t>SHP-02388</t>
  </si>
  <si>
    <t>SHP-02389</t>
  </si>
  <si>
    <t>SHP-02390</t>
  </si>
  <si>
    <t>SHP-02391</t>
  </si>
  <si>
    <t>SHP-02392</t>
  </si>
  <si>
    <t>SHP-02393</t>
  </si>
  <si>
    <t>SHP-02394</t>
  </si>
  <si>
    <t>SHP-02395</t>
  </si>
  <si>
    <t>SHP-02396</t>
  </si>
  <si>
    <t>SHP-02397</t>
  </si>
  <si>
    <t>SHP-02398</t>
  </si>
  <si>
    <t>SHP-02399</t>
  </si>
  <si>
    <t>SHP-02400</t>
  </si>
  <si>
    <t>SHP-02401</t>
  </si>
  <si>
    <t>SHP-02402</t>
  </si>
  <si>
    <t>SHP-02403</t>
  </si>
  <si>
    <t>SHP-02404</t>
  </si>
  <si>
    <t>SHP-02405</t>
  </si>
  <si>
    <t>SHP-02406</t>
  </si>
  <si>
    <t>SHP-02407</t>
  </si>
  <si>
    <t>SHP-02408</t>
  </si>
  <si>
    <t>SHP-02409</t>
  </si>
  <si>
    <t>SHP-02410</t>
  </si>
  <si>
    <t>SHP-02411</t>
  </si>
  <si>
    <t>SHP-02412</t>
  </si>
  <si>
    <t>SHP-02413</t>
  </si>
  <si>
    <t>SHP-02414</t>
  </si>
  <si>
    <t>SHP-02415</t>
  </si>
  <si>
    <t>SHP-02416</t>
  </si>
  <si>
    <t>SHP-02417</t>
  </si>
  <si>
    <t>SHP-02418</t>
  </si>
  <si>
    <t>SHP-02419</t>
  </si>
  <si>
    <t>SHP-02420</t>
  </si>
  <si>
    <t>SHP-02421</t>
  </si>
  <si>
    <t>SHP-02422</t>
  </si>
  <si>
    <t>SHP-02423</t>
  </si>
  <si>
    <t>SHP-02424</t>
  </si>
  <si>
    <t>SHP-02425</t>
  </si>
  <si>
    <t>SHP-02426</t>
  </si>
  <si>
    <t>SHP-02427</t>
  </si>
  <si>
    <t>SHP-02428</t>
  </si>
  <si>
    <t>SHP-02429</t>
  </si>
  <si>
    <t>Supply Chain KPI Dashboard</t>
  </si>
  <si>
    <t>Total Orders</t>
  </si>
  <si>
    <t>In-Full %</t>
  </si>
  <si>
    <t>Perfect Order Rate</t>
  </si>
  <si>
    <t>Order Count</t>
  </si>
  <si>
    <t>INVENTORY KPIs</t>
  </si>
  <si>
    <t>Metric</t>
  </si>
  <si>
    <t>Value</t>
  </si>
  <si>
    <t>ABC Inventory Analysis (Pareto / 80-20 Classification)</t>
  </si>
  <si>
    <t>Rank</t>
  </si>
  <si>
    <t>Reorder Point, Safety Stock &amp; Economic Order Quantity (EOQ) Planner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</si>
  <si>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</si>
  <si>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</si>
  <si>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</si>
  <si>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</si>
  <si>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</si>
  <si>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</si>
  <si>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</si>
  <si>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</si>
  <si>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</si>
  <si>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</si>
  <si>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</si>
  <si>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Absolute_%_Error (MAPE input)</t>
  </si>
  <si>
    <t>n/a</t>
  </si>
  <si>
    <t>Jan-2026 (FORECAST)</t>
  </si>
  <si>
    <t>MAPE (Mean Absolute % Error, Apr-Dec 2025 back-test)</t>
  </si>
  <si>
    <t>Delivery_status</t>
  </si>
  <si>
    <t>Quantity_ordered</t>
  </si>
  <si>
    <t xml:space="preserve">On_Time </t>
  </si>
  <si>
    <t>In_Full</t>
  </si>
  <si>
    <t>Annual _Demand</t>
  </si>
  <si>
    <t>Average_Daily _Demand</t>
  </si>
  <si>
    <t>Actual_OTIF%</t>
  </si>
  <si>
    <t xml:space="preserve">Every figure below is a live formula reading from the raw sheets - nothing is typed in </t>
  </si>
  <si>
    <t>ORDER FULFIMENT KPIs</t>
  </si>
  <si>
    <t>Total order Value(₹)</t>
  </si>
  <si>
    <t>Avg Order Value(₹)</t>
  </si>
  <si>
    <t>On-Time%</t>
  </si>
  <si>
    <t>OTIF %</t>
  </si>
  <si>
    <t xml:space="preserve">Avg Fulfilment lead Time </t>
  </si>
  <si>
    <t>SALES BY REAGION</t>
  </si>
  <si>
    <t>Total Order Value</t>
  </si>
  <si>
    <t>Order count</t>
  </si>
  <si>
    <t>Avg Order value</t>
  </si>
  <si>
    <t>SALES BY CATEGORY</t>
  </si>
  <si>
    <t xml:space="preserve">Total Inventory Value </t>
  </si>
  <si>
    <t>Est Annual COGS</t>
  </si>
  <si>
    <t>Inventory Turnover</t>
  </si>
  <si>
    <t>Product Name</t>
  </si>
  <si>
    <t>Annual Demand</t>
  </si>
  <si>
    <t xml:space="preserve">Unit Price </t>
  </si>
  <si>
    <t>Annual Revenue</t>
  </si>
  <si>
    <t xml:space="preserve">Cumulative Revenue </t>
  </si>
  <si>
    <t>Cumulative %</t>
  </si>
  <si>
    <t>ABC Class</t>
  </si>
  <si>
    <t>Raw Inventory is already ordered by revinue so Rack Below read straight down . Cumulative % Drice the A/B/C class</t>
  </si>
  <si>
    <t xml:space="preserve">Blue cell = the order deliberate business input (target service level) Demand std Dev is calculated from real monthly order  history below, not assumed </t>
  </si>
  <si>
    <t>Target Service Level Z-score(95% = 1.65, 90% = 1.28, 99% = 2.33)</t>
  </si>
  <si>
    <t xml:space="preserve">Product Name </t>
  </si>
  <si>
    <t>Safety Stock = Z-Score *Demand StdDev *rooth(Lead Time)  =&gt;  Buffer stock  to absorb demand Variability during replacement.</t>
  </si>
  <si>
    <t xml:space="preserve">Reorder Point = (Avg Daily Demand * Lead Time) + Safety Stock  =&gt; The stock level that triggers new purchase order </t>
  </si>
  <si>
    <t xml:space="preserve">EOQ = Rooth ((2*Annual Demand * Ordering Cost %)  / (Unit Cost * Holding Cost %)  =&gt; The ordering quantity that minimises total ordering + holding cost </t>
  </si>
  <si>
    <t>Demand Std Dev = STDEV of 12 real monthly demand totals per SKU(see supporting table below ), scaled to a daily-equivalent by / rooth 30.4h</t>
  </si>
  <si>
    <t>Supporting Calculation - Monthly Demand  History Per SKU (2025 actual from Raw Orders)</t>
  </si>
  <si>
    <t>Demand std Dev feeding the planner above is STDEV of these 12 real monthly totals, cinverted to a daily-equivalent figure - Nothing here is assumed hal</t>
  </si>
  <si>
    <t xml:space="preserve">Jan </t>
  </si>
  <si>
    <t>Monthly std Dev</t>
  </si>
  <si>
    <t>Daily Std Dev</t>
  </si>
  <si>
    <t>Demand Std Dev</t>
  </si>
  <si>
    <t xml:space="preserve">Safety Stocks </t>
  </si>
  <si>
    <t xml:space="preserve">Reorder Point </t>
  </si>
  <si>
    <t xml:space="preserve">Annual Demand </t>
  </si>
  <si>
    <t>EOQ(unit)</t>
  </si>
  <si>
    <t>Total unit ordered per month (all SKUs), a simple moving-average forcast, and a MAPE score measuring how accurate the forecast acctualy was</t>
  </si>
  <si>
    <t xml:space="preserve">Month </t>
  </si>
  <si>
    <t>Month Start</t>
  </si>
  <si>
    <t>Month End</t>
  </si>
  <si>
    <t>Demand Forecast  ( 3-Month Moving Average, With MAPE Accuracy Check )</t>
  </si>
  <si>
    <t xml:space="preserve">Actual Unit Sold </t>
  </si>
  <si>
    <t>3-Month Moving Avereg Forecast</t>
  </si>
  <si>
    <t xml:space="preserve">n/a-need 3 prior months </t>
  </si>
  <si>
    <t>MoM Growth %</t>
  </si>
  <si>
    <t xml:space="preserve">MAPE is calculated by back-testing the 3-month moving average against every month it could actually pridict (Apr-Dec 2025), not assummed or typed in . As a Rule of thumb under 10% = highly accurate 10-20% = good 20-50% = reasonable, over 50% = the method isa poor fit for this SKU/series and a different  forcasting method (e.g exponential smoothing or a seasonal model) should be considered </t>
  </si>
  <si>
    <t>READ: Class A = top-80% of revenue (tight control, frequent counts). Class B + next 15%. Class C = last 5% (simple, infequient review)</t>
  </si>
  <si>
    <t xml:space="preserve">A 3-month moving average is the simplest defensible method : it smooths random month-to-month noise while still reacting toa genuine trend. For seasonal or fast-growing demand, planners typically on to weight moving average oe exponential smoothing 
</t>
  </si>
  <si>
    <t xml:space="preserve">Days inventory Outstanding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</si>
</sst>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dd\-mmm\-yy"/>
    <numFmt numFmtId="165" formatCode="0.0%"/>
    <numFmt numFmtId="166" formatCode="0.0"/>
    <numFmt numFmtId="172" formatCode="_ * #,##0_ ;_ * \-#,##0_ ;_ * &quot;-&quot;??_ ;_ @_ "/>
  </numFmts>
  <fonts count="30" x14ac:knownFonts="1">
    <font>
      <sz val="11"/>
      <color theme="1"/>
      <name val="Calibri"/>
      <family val="2"/>
      <charset val="1"/>
    </font>
    <font>
      <sz val="10"/>
      <name val="Arial"/>
    </font>
    <font>
      <sz val="10"/>
      <name val="Arial"/>
      <charset val="1"/>
    </font>
    <font>
      <b/>
      <sz val="11"/>
      <color rgb="FFFFFFFF"/>
      <name val="Arial"/>
      <charset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22"/>
      <color theme="4" tint="-0.499984740745262"/>
      <name val="Arial"/>
      <family val="2"/>
    </font>
    <font>
      <b/>
      <sz val="11"/>
      <color theme="0"/>
      <name val="Calibri"/>
      <family val="2"/>
    </font>
    <font>
      <b/>
      <sz val="20"/>
      <color theme="0"/>
      <name val="Calibri"/>
      <family val="2"/>
    </font>
    <font>
      <b/>
      <sz val="11"/>
      <color theme="1"/>
      <name val="Calibri"/>
      <family val="2"/>
    </font>
    <font>
      <i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20"/>
      <color rgb="FF002060"/>
      <name val="Calibri"/>
      <family val="2"/>
    </font>
    <font>
      <b/>
      <sz val="10"/>
      <name val="Arial"/>
      <family val="2"/>
    </font>
    <font>
      <i/>
      <sz val="11"/>
      <color theme="1" tint="0.499984740745262"/>
      <name val="Calibri"/>
      <family val="2"/>
    </font>
    <font>
      <sz val="11"/>
      <color theme="1" tint="0.499984740745262"/>
      <name val="Calibri"/>
      <family val="2"/>
    </font>
    <font>
      <i/>
      <sz val="10"/>
      <color theme="1" tint="0.499984740745262"/>
      <name val="Calibri"/>
      <family val="2"/>
    </font>
    <font>
      <sz val="11"/>
      <color theme="1" tint="0.499984740745262"/>
      <name val="Calibri"/>
      <family val="2"/>
      <charset val="1"/>
    </font>
    <font>
      <sz val="11"/>
      <color theme="0"/>
      <name val="Calibri"/>
      <family val="2"/>
      <charset val="1"/>
    </font>
    <font>
      <b/>
      <i/>
      <sz val="11"/>
      <color theme="0"/>
      <name val="Calibri"/>
      <family val="2"/>
    </font>
    <font>
      <sz val="10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i/>
      <sz val="9"/>
      <color theme="1" tint="0.499984740745262"/>
      <name val="Calibri"/>
      <family val="2"/>
    </font>
    <font>
      <b/>
      <sz val="20"/>
      <color theme="7" tint="-0.499984740745262"/>
      <name val="Calibri"/>
      <family val="2"/>
    </font>
    <font>
      <sz val="11"/>
      <color theme="4" tint="-0.499984740745262"/>
      <name val="Calibri"/>
      <family val="2"/>
      <scheme val="minor"/>
    </font>
    <font>
      <sz val="20"/>
      <color theme="0"/>
      <name val="Calibri"/>
      <family val="2"/>
      <charset val="1"/>
    </font>
    <font>
      <i/>
      <sz val="11"/>
      <color theme="1" tint="0.34998626667073579"/>
      <name val="Calibri"/>
      <family val="2"/>
    </font>
    <font>
      <b/>
      <sz val="20"/>
      <color theme="4" tint="-0.49998474074526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2E539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</cellStyleXfs>
  <cellXfs count="9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4" fontId="2" fillId="3" borderId="1" xfId="0" applyNumberFormat="1" applyFont="1" applyFill="1" applyBorder="1"/>
    <xf numFmtId="3" fontId="2" fillId="2" borderId="1" xfId="0" applyNumberFormat="1" applyFont="1" applyFill="1" applyBorder="1"/>
    <xf numFmtId="9" fontId="2" fillId="2" borderId="1" xfId="0" applyNumberFormat="1" applyFont="1" applyFill="1" applyBorder="1"/>
    <xf numFmtId="3" fontId="2" fillId="3" borderId="1" xfId="0" applyNumberFormat="1" applyFont="1" applyFill="1" applyBorder="1"/>
    <xf numFmtId="9" fontId="2" fillId="3" borderId="1" xfId="0" applyNumberFormat="1" applyFont="1" applyFill="1" applyBorder="1"/>
    <xf numFmtId="0" fontId="5" fillId="6" borderId="0" xfId="4"/>
    <xf numFmtId="0" fontId="3" fillId="4" borderId="2" xfId="0" applyFont="1" applyFill="1" applyBorder="1" applyAlignment="1">
      <alignment horizontal="center" vertical="center" wrapText="1"/>
    </xf>
    <xf numFmtId="2" fontId="0" fillId="0" borderId="0" xfId="0" applyNumberFormat="1"/>
    <xf numFmtId="9" fontId="1" fillId="0" borderId="0" xfId="2"/>
    <xf numFmtId="0" fontId="0" fillId="0" borderId="0" xfId="0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21" fillId="9" borderId="8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172" fontId="1" fillId="0" borderId="5" xfId="1" applyNumberFormat="1" applyBorder="1"/>
    <xf numFmtId="172" fontId="7" fillId="0" borderId="5" xfId="1" applyNumberFormat="1" applyFont="1" applyBorder="1"/>
    <xf numFmtId="0" fontId="0" fillId="0" borderId="0" xfId="0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 wrapText="1"/>
    </xf>
    <xf numFmtId="0" fontId="21" fillId="12" borderId="0" xfId="0" applyFont="1" applyFill="1" applyAlignment="1">
      <alignment vertical="center"/>
    </xf>
    <xf numFmtId="0" fontId="21" fillId="13" borderId="0" xfId="0" applyFont="1" applyFill="1" applyAlignment="1">
      <alignment horizontal="center" vertical="center"/>
    </xf>
    <xf numFmtId="0" fontId="8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3" fillId="0" borderId="0" xfId="0" applyFont="1" applyBorder="1" applyAlignment="1"/>
    <xf numFmtId="0" fontId="8" fillId="0" borderId="0" xfId="0" applyFont="1" applyBorder="1" applyAlignment="1"/>
    <xf numFmtId="172" fontId="15" fillId="10" borderId="13" xfId="1" applyNumberFormat="1" applyFont="1" applyFill="1" applyBorder="1" applyAlignment="1">
      <alignment vertical="center"/>
    </xf>
    <xf numFmtId="172" fontId="15" fillId="10" borderId="17" xfId="1" applyNumberFormat="1" applyFont="1" applyFill="1" applyBorder="1" applyAlignment="1">
      <alignment vertical="center"/>
    </xf>
    <xf numFmtId="9" fontId="1" fillId="10" borderId="13" xfId="2" applyFill="1" applyBorder="1" applyAlignment="1">
      <alignment vertical="center"/>
    </xf>
    <xf numFmtId="9" fontId="1" fillId="10" borderId="14" xfId="2" applyFill="1" applyBorder="1" applyAlignment="1">
      <alignment vertical="center"/>
    </xf>
    <xf numFmtId="0" fontId="16" fillId="10" borderId="15" xfId="0" applyFont="1" applyFill="1" applyBorder="1" applyAlignment="1">
      <alignment horizontal="left"/>
    </xf>
    <xf numFmtId="0" fontId="17" fillId="10" borderId="12" xfId="0" applyFont="1" applyFill="1" applyBorder="1" applyAlignment="1">
      <alignment horizontal="left"/>
    </xf>
    <xf numFmtId="0" fontId="17" fillId="10" borderId="15" xfId="0" applyFont="1" applyFill="1" applyBorder="1" applyAlignment="1">
      <alignment horizontal="left"/>
    </xf>
    <xf numFmtId="0" fontId="16" fillId="10" borderId="5" xfId="0" applyFont="1" applyFill="1" applyBorder="1" applyAlignment="1">
      <alignment horizontal="left"/>
    </xf>
    <xf numFmtId="0" fontId="17" fillId="10" borderId="5" xfId="0" applyFont="1" applyFill="1" applyBorder="1" applyAlignment="1">
      <alignment horizontal="left"/>
    </xf>
    <xf numFmtId="9" fontId="1" fillId="10" borderId="5" xfId="2" applyFill="1" applyBorder="1" applyAlignment="1">
      <alignment horizontal="right"/>
    </xf>
    <xf numFmtId="166" fontId="0" fillId="10" borderId="5" xfId="0" applyNumberFormat="1" applyFill="1" applyBorder="1" applyAlignment="1">
      <alignment horizontal="right"/>
    </xf>
    <xf numFmtId="0" fontId="11" fillId="0" borderId="0" xfId="0" applyFont="1" applyAlignment="1">
      <alignment horizontal="center"/>
    </xf>
    <xf numFmtId="1" fontId="0" fillId="0" borderId="0" xfId="0" applyNumberFormat="1"/>
    <xf numFmtId="0" fontId="22" fillId="0" borderId="5" xfId="0" applyFont="1" applyBorder="1"/>
    <xf numFmtId="0" fontId="22" fillId="8" borderId="5" xfId="0" applyFont="1" applyFill="1" applyBorder="1"/>
    <xf numFmtId="0" fontId="7" fillId="2" borderId="1" xfId="0" applyFont="1" applyFill="1" applyBorder="1"/>
    <xf numFmtId="0" fontId="0" fillId="0" borderId="0" xfId="0" applyNumberFormat="1"/>
    <xf numFmtId="4" fontId="1" fillId="0" borderId="0" xfId="2" applyNumberFormat="1"/>
    <xf numFmtId="165" fontId="1" fillId="0" borderId="0" xfId="2" applyNumberFormat="1"/>
    <xf numFmtId="0" fontId="4" fillId="5" borderId="0" xfId="3" applyAlignment="1">
      <alignment horizontal="center" vertical="center"/>
    </xf>
    <xf numFmtId="0" fontId="6" fillId="7" borderId="0" xfId="5" applyAlignment="1">
      <alignment horizontal="center" vertical="center"/>
    </xf>
    <xf numFmtId="0" fontId="5" fillId="6" borderId="0" xfId="4" applyAlignment="1">
      <alignment horizontal="center" vertical="center"/>
    </xf>
    <xf numFmtId="0" fontId="20" fillId="11" borderId="0" xfId="0" applyFont="1" applyFill="1"/>
    <xf numFmtId="0" fontId="20" fillId="11" borderId="0" xfId="0" applyNumberFormat="1" applyFont="1" applyFill="1"/>
    <xf numFmtId="0" fontId="20" fillId="11" borderId="0" xfId="0" applyNumberFormat="1" applyFont="1" applyFill="1" applyAlignment="1">
      <alignment horizontal="center" vertical="center"/>
    </xf>
    <xf numFmtId="0" fontId="19" fillId="0" borderId="0" xfId="0" applyFont="1"/>
    <xf numFmtId="0" fontId="24" fillId="0" borderId="0" xfId="0" applyFont="1" applyAlignment="1"/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14" fillId="0" borderId="0" xfId="0" applyFont="1" applyAlignment="1"/>
    <xf numFmtId="0" fontId="1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1" fillId="0" borderId="0" xfId="0" applyFont="1" applyAlignment="1"/>
    <xf numFmtId="0" fontId="26" fillId="6" borderId="0" xfId="4" applyFont="1" applyAlignment="1"/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27" fillId="11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17" fontId="0" fillId="0" borderId="0" xfId="0" applyNumberFormat="1"/>
    <xf numFmtId="15" fontId="0" fillId="0" borderId="0" xfId="0" applyNumberFormat="1"/>
    <xf numFmtId="1" fontId="11" fillId="14" borderId="0" xfId="0" applyNumberFormat="1" applyFont="1" applyFill="1"/>
    <xf numFmtId="165" fontId="11" fillId="14" borderId="0" xfId="0" applyNumberFormat="1" applyFont="1" applyFill="1"/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16" fillId="10" borderId="0" xfId="0" applyFont="1" applyFill="1" applyBorder="1" applyAlignment="1">
      <alignment horizontal="left"/>
    </xf>
    <xf numFmtId="0" fontId="17" fillId="10" borderId="0" xfId="0" applyFont="1" applyFill="1" applyBorder="1" applyAlignment="1">
      <alignment horizontal="left"/>
    </xf>
    <xf numFmtId="0" fontId="23" fillId="0" borderId="0" xfId="0" applyFont="1" applyBorder="1" applyAlignment="1">
      <alignment horizontal="center"/>
    </xf>
    <xf numFmtId="0" fontId="10" fillId="9" borderId="3" xfId="0" applyFont="1" applyFill="1" applyBorder="1" applyAlignment="1">
      <alignment horizontal="left"/>
    </xf>
    <xf numFmtId="0" fontId="10" fillId="9" borderId="0" xfId="0" applyFont="1" applyFill="1" applyBorder="1" applyAlignment="1">
      <alignment horizontal="left"/>
    </xf>
    <xf numFmtId="0" fontId="9" fillId="13" borderId="0" xfId="0" applyFont="1" applyFill="1" applyBorder="1" applyAlignment="1">
      <alignment horizontal="center"/>
    </xf>
    <xf numFmtId="0" fontId="11" fillId="15" borderId="18" xfId="0" applyFont="1" applyFill="1" applyBorder="1" applyAlignment="1">
      <alignment horizontal="left"/>
    </xf>
    <xf numFmtId="1" fontId="11" fillId="15" borderId="18" xfId="0" applyNumberFormat="1" applyFont="1" applyFill="1" applyBorder="1" applyAlignment="1">
      <alignment horizontal="right"/>
    </xf>
    <xf numFmtId="0" fontId="11" fillId="15" borderId="16" xfId="0" applyFont="1" applyFill="1" applyBorder="1" applyAlignment="1">
      <alignment horizontal="left"/>
    </xf>
    <xf numFmtId="1" fontId="11" fillId="15" borderId="16" xfId="0" applyNumberFormat="1" applyFont="1" applyFill="1" applyBorder="1" applyAlignment="1">
      <alignment horizontal="right"/>
    </xf>
    <xf numFmtId="0" fontId="11" fillId="15" borderId="4" xfId="0" applyFont="1" applyFill="1" applyBorder="1" applyAlignment="1">
      <alignment horizontal="left"/>
    </xf>
    <xf numFmtId="1" fontId="11" fillId="15" borderId="4" xfId="0" applyNumberFormat="1" applyFont="1" applyFill="1" applyBorder="1" applyAlignment="1">
      <alignment horizontal="right"/>
    </xf>
  </cellXfs>
  <cellStyles count="6">
    <cellStyle name="Bad" xfId="4" builtinId="27"/>
    <cellStyle name="Comma" xfId="1" builtinId="3"/>
    <cellStyle name="Good" xfId="3" builtinId="26"/>
    <cellStyle name="Neutral" xfId="5" builtinId="28"/>
    <cellStyle name="Normal" xfId="0" builtinId="0"/>
    <cellStyle name="Percent" xfId="2" builtinId="5"/>
  </cellStyles>
  <dxfs count="39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solid">
          <fgColor indexed="64"/>
          <bgColor theme="4" tint="-0.499984740745262"/>
        </patternFill>
      </fill>
    </dxf>
    <dxf>
      <alignment horizontal="center" vertical="center" textRotation="0" wrapText="0" indent="0" justifyLastLine="0" shrinkToFit="0" readingOrder="0"/>
    </dxf>
    <dxf>
      <numFmt numFmtId="165" formatCode="0.0%"/>
    </dxf>
    <dxf>
      <numFmt numFmtId="1" formatCode="0"/>
    </dxf>
    <dxf>
      <numFmt numFmtId="1" formatCode="0"/>
    </dxf>
    <dxf>
      <numFmt numFmtId="4" formatCode="#,##0.00"/>
    </dxf>
    <dxf>
      <numFmt numFmtId="1" formatCode="0"/>
    </dxf>
    <dxf>
      <numFmt numFmtId="1" formatCode="0"/>
    </dxf>
    <dxf>
      <numFmt numFmtId="20" formatCode="dd/mmm/yy"/>
    </dxf>
    <dxf>
      <numFmt numFmtId="20" formatCode="dd/mmm/yy"/>
    </dxf>
    <dxf>
      <numFmt numFmtId="22" formatCode="mmm/yy"/>
    </dxf>
    <dxf>
      <numFmt numFmtId="1" formatCode="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0.399975585192419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FCE4E4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Table5" displayName="Table5" ref="A20:D24" headerRowCount="0" totalsRowShown="0" headerRowDxfId="28" tableBorderDxfId="34" totalsRowBorderDxfId="33">
  <tableColumns count="4">
    <tableColumn id="1" name="Column1" headerRowDxfId="35" dataDxfId="32"/>
    <tableColumn id="2" name="Column2" headerRowDxfId="36" dataDxfId="31"/>
    <tableColumn id="3" name="Column3" headerRowDxfId="37" dataDxfId="30"/>
    <tableColumn id="4" name="Column4" headerRowDxfId="38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4:H19" totalsRowShown="0" headerRowDxfId="12">
  <autoFilter ref="A4:H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Rank"/>
    <tableColumn id="2" name="Product Name"/>
    <tableColumn id="3" name="Annual Demand" dataDxfId="18"/>
    <tableColumn id="4" name="Unit Price " dataDxfId="17" dataCellStyle="Percent"/>
    <tableColumn id="5" name="Annual Revenue" dataDxfId="16">
      <calculatedColumnFormula>C5*D5</calculatedColumnFormula>
    </tableColumn>
    <tableColumn id="6" name="Cumulative Revenue " dataDxfId="15">
      <calculatedColumnFormula>SUM($E$5:E5)</calculatedColumnFormula>
    </tableColumn>
    <tableColumn id="7" name="Cumulative %" dataDxfId="14" dataCellStyle="Percent">
      <calculatedColumnFormula>F5/SUM($E$5:$E$19)</calculatedColumnFormula>
    </tableColumn>
    <tableColumn id="8" name="ABC Class" dataDxfId="13" dataCellStyle="Bad">
      <calculatedColumnFormula>IF(G5&lt;=0.8,"A",IF(G5&lt;=0.95,"B","C"))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5:N20" totalsRowShown="0" headerRowCellStyle="Neutral" dataCellStyle="Neutral">
  <autoFilter ref="A5:N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KU">
      <calculatedColumnFormula>Raw_Inventory!A2</calculatedColumnFormula>
    </tableColumn>
    <tableColumn id="2" name="Product Name ">
      <calculatedColumnFormula>Raw_Inventory!B2</calculatedColumnFormula>
    </tableColumn>
    <tableColumn id="3" name="Average_Daily _Demand" dataDxfId="24">
      <calculatedColumnFormula>Raw_Inventory!L2</calculatedColumnFormula>
    </tableColumn>
    <tableColumn id="4" name="Demand Std Dev" dataDxfId="23">
      <calculatedColumnFormula>O31</calculatedColumnFormula>
    </tableColumn>
    <tableColumn id="5" name="LeadTimeDays">
      <calculatedColumnFormula>Raw_Inventory!H2</calculatedColumnFormula>
    </tableColumn>
    <tableColumn id="6" name="Safety Stocks ">
      <calculatedColumnFormula>ROUND($H$3*D6*SQRT(E6),0)</calculatedColumnFormula>
    </tableColumn>
    <tableColumn id="7" name="Reorder Point ">
      <calculatedColumnFormula>ROUND(C6*E6+F6,0)</calculatedColumnFormula>
    </tableColumn>
    <tableColumn id="8" name="Annual Demand ">
      <calculatedColumnFormula>Raw_Inventory!K2</calculatedColumnFormula>
    </tableColumn>
    <tableColumn id="9" name="OrderingCost">
      <calculatedColumnFormula>Raw_Inventory!I2</calculatedColumnFormula>
    </tableColumn>
    <tableColumn id="10" name="UnitCost">
      <calculatedColumnFormula>Raw_Inventory!E2</calculatedColumnFormula>
    </tableColumn>
    <tableColumn id="11" name="HoldingCostPct" dataCellStyle="Percent">
      <calculatedColumnFormula>Raw_Inventory!J2</calculatedColumnFormula>
    </tableColumn>
    <tableColumn id="12" name="EOQ(unit)">
      <calculatedColumnFormula>ROUNDUP(SQRT(2*H6*I6/(J6*K6)),0)</calculatedColumnFormula>
    </tableColumn>
    <tableColumn id="13" name="StockOnHand">
      <calculatedColumnFormula>Raw_Inventory!G2</calculatedColumnFormula>
    </tableColumn>
    <tableColumn id="14" name="Status">
      <calculatedColumnFormula>IF(M6&lt;G6,"Reorder Now","Ok")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30:O45" totalsRowShown="0" headerRowDxfId="25">
  <autoFilter ref="A30:O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KU">
      <calculatedColumnFormula>Raw_Inventory!A2</calculatedColumnFormula>
    </tableColumn>
    <tableColumn id="2" name="Jan ">
      <calculatedColumnFormula>SUMIFS(Raw_Orders!$H:$H,Raw_Orders!$E:$E,'Reorder EOQ Planner '!A31,Raw_Orders!$B:$B,"&gt;="&amp;DATE(2025,1,1),Raw_Orders!$B:$B,"&lt;="&amp;EOMONTH(DATE(2025,1,1),0))</calculatedColumnFormula>
    </tableColumn>
    <tableColumn id="3" name="Feb">
      <calculatedColumnFormula>SUMIFS(Raw_Orders!$H:$H,Raw_Orders!$E:$E,'Reorder EOQ Planner '!A31,Raw_Orders!$B:$B,"&gt;="&amp;DATE(2025,2,1),Raw_Orders!$B:$B,"&lt;="&amp;EOMONTH(DATE(2025,2,1),0))</calculatedColumnFormula>
    </tableColumn>
    <tableColumn id="4" name="Mar">
      <calculatedColumnFormula>SUMIFS(Raw_Orders!$H:$H,Raw_Orders!$E:$E,'Reorder EOQ Planner '!A31,Raw_Orders!$B:$B,"&gt;="&amp;DATE(2025,3,1),Raw_Orders!$B:$B,"&lt;="&amp;EOMONTH(DATE(2025,3,1),0))</calculatedColumnFormula>
    </tableColumn>
    <tableColumn id="5" name="Apr">
      <calculatedColumnFormula>SUMIFS(Raw_Orders!$H:$H,Raw_Orders!$E:$E,'Reorder EOQ Planner '!$A31,Raw_Orders!$B:$B,"&gt;="&amp;DATE(2025,4,1),Raw_Orders!$B:$B,"&lt;="&amp;EOMONTH(DATE(2025,4,1),0))</calculatedColumnFormula>
    </tableColumn>
    <tableColumn id="6" name="May">
      <calculatedColumnFormula>SUMIFS(Raw_Orders!$H:$H,Raw_Orders!$E:$E,'Reorder EOQ Planner '!$A31,Raw_Orders!$B:$B,"&gt;="&amp;DATE(2025,5,1),Raw_Orders!$B:$B,"&lt;="&amp;EOMONTH(DATE(2025,5,1),0))</calculatedColumnFormula>
    </tableColumn>
    <tableColumn id="7" name="Jun">
      <calculatedColumnFormula>SUMIFS(Raw_Orders!$H:$H,Raw_Orders!$E:$E,'Reorder EOQ Planner '!$A31,Raw_Orders!$B:$B,"&gt;="&amp;DATE(2025,6,1),Raw_Orders!$B:$B,"&lt;="&amp;EOMONTH(DATE(2025,6,1),0))</calculatedColumnFormula>
    </tableColumn>
    <tableColumn id="8" name="Jul">
      <calculatedColumnFormula>SUMIFS(Raw_Orders!$H:$H,Raw_Orders!$E:$E,'Reorder EOQ Planner '!$A31,Raw_Orders!$B:$B,"&gt;="&amp;DATE(2025,7,1),Raw_Orders!$B:$B,"&lt;="&amp;EOMONTH(DATE(2025,7,1),0))</calculatedColumnFormula>
    </tableColumn>
    <tableColumn id="9" name="Aug">
      <calculatedColumnFormula>SUMIFS(Raw_Orders!$H:$H,Raw_Orders!$E:$E,'Reorder EOQ Planner '!$A31,Raw_Orders!$B:$B,"&gt;="&amp;DATE(2025,8,1),Raw_Orders!$B:$B,"&lt;="&amp;EOMONTH(DATE(2025,8,1),0))</calculatedColumnFormula>
    </tableColumn>
    <tableColumn id="10" name="Sep">
      <calculatedColumnFormula>SUMIFS(Raw_Orders!$H:$H,Raw_Orders!$E:$E,'Reorder EOQ Planner '!$A31,Raw_Orders!$B:$B,"&gt;="&amp;DATE(2025,9,1),Raw_Orders!$B:$B,"&lt;="&amp;EOMONTH(DATE(2025,9,1),0))</calculatedColumnFormula>
    </tableColumn>
    <tableColumn id="11" name="Oct">
      <calculatedColumnFormula>SUMIFS(Raw_Orders!$H:$H,Raw_Orders!$E:$E,'Reorder EOQ Planner '!$A31,Raw_Orders!$B:$B,"&gt;="&amp;DATE(2025,10,1),Raw_Orders!$B:$B,"&lt;="&amp;EOMONTH(DATE(2025,10,1),0))</calculatedColumnFormula>
    </tableColumn>
    <tableColumn id="12" name="Nov">
      <calculatedColumnFormula>SUMIFS(Raw_Orders!$H:$H,Raw_Orders!$E:$E,'Reorder EOQ Planner '!$A31,Raw_Orders!$B:$B,"&gt;="&amp;DATE(2025,11,1),Raw_Orders!$B:$B,"&lt;="&amp;EOMONTH(DATE(2025,11,1),0))</calculatedColumnFormula>
    </tableColumn>
    <tableColumn id="13" name="Dec">
      <calculatedColumnFormula>SUMIFS(Raw_Orders!$H:$H,Raw_Orders!$E:$E,'Reorder EOQ Planner '!$A31,Raw_Orders!$B:$B,"&gt;="&amp;DATE(2025,12,1),Raw_Orders!$B:$B,"&lt;="&amp;EOMONTH(DATE(2025,12,1),0))</calculatedColumnFormula>
    </tableColumn>
    <tableColumn id="14" name="Monthly std Dev" dataDxfId="27">
      <calculatedColumnFormula>STDEV(B31:M31)</calculatedColumnFormula>
    </tableColumn>
    <tableColumn id="15" name="Daily Std Dev" dataDxfId="26">
      <calculatedColumnFormula>N31/SQRT(30.4)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4:G16" totalsRowShown="0">
  <autoFilter ref="A4:G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Month " dataDxfId="22"/>
    <tableColumn id="2" name="Month Start" dataDxfId="21"/>
    <tableColumn id="3" name="Month End" dataDxfId="20"/>
    <tableColumn id="4" name="Actual Unit Sold ">
      <calculatedColumnFormula>SUMIFS(Raw_Orders!$H:$H,Raw_Orders!$B:$B,"&gt;="&amp;'Demand forecast'!B5,Raw_Orders!$B:$B,"&lt;="&amp;'Demand forecast'!C5)</calculatedColumnFormula>
    </tableColumn>
    <tableColumn id="5" name="3-Month Moving Avereg Forecast" dataDxfId="19">
      <calculatedColumnFormula>AVERAGE(D2:D4)</calculatedColumnFormula>
    </tableColumn>
    <tableColumn id="6" name="MoM Growth %" dataCellStyle="Percent">
      <calculatedColumnFormula>IFERROR((D4-D5)/D4,"n/a")</calculatedColumnFormula>
    </tableColumn>
    <tableColumn id="7" name="Absolute_%_Error (MAPE input)" dataCellStyle="Percent">
      <calculatedColumnFormula>ABS(D5-E5)/D5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0"/>
  <sheetViews>
    <sheetView zoomScaleNormal="100" workbookViewId="0">
      <pane ySplit="1" topLeftCell="A2405" activePane="bottomLeft" state="frozen"/>
      <selection pane="bottomLeft" activeCell="H2425" sqref="H2425"/>
    </sheetView>
  </sheetViews>
  <sheetFormatPr defaultColWidth="8.6640625" defaultRowHeight="14.4" x14ac:dyDescent="0.3"/>
  <cols>
    <col min="1" max="1" width="12" customWidth="1"/>
    <col min="2" max="2" width="11" customWidth="1"/>
    <col min="3" max="4" width="12" customWidth="1"/>
    <col min="5" max="5" width="13" customWidth="1"/>
    <col min="6" max="6" width="16" customWidth="1"/>
    <col min="7" max="13" width="12" customWidth="1"/>
  </cols>
  <sheetData>
    <row r="1" spans="1:13" ht="27.6" x14ac:dyDescent="0.3">
      <c r="A1" s="1" t="s">
        <v>2618</v>
      </c>
      <c r="B1" s="1" t="s">
        <v>1</v>
      </c>
      <c r="C1" s="1" t="s">
        <v>2591</v>
      </c>
      <c r="D1" s="1" t="s">
        <v>2619</v>
      </c>
      <c r="E1" s="1" t="s">
        <v>2620</v>
      </c>
      <c r="F1" s="1" t="s">
        <v>2621</v>
      </c>
      <c r="G1" s="1" t="s">
        <v>2622</v>
      </c>
      <c r="H1" s="1" t="s">
        <v>2623</v>
      </c>
      <c r="I1" s="1" t="s">
        <v>5087</v>
      </c>
      <c r="J1" s="1" t="s">
        <v>5088</v>
      </c>
      <c r="K1" s="1" t="s">
        <v>5089</v>
      </c>
      <c r="L1" s="1" t="s">
        <v>2624</v>
      </c>
      <c r="M1" s="1" t="s">
        <v>2625</v>
      </c>
    </row>
    <row r="2" spans="1:13" x14ac:dyDescent="0.3">
      <c r="A2" s="2" t="s">
        <v>2626</v>
      </c>
      <c r="B2" s="2" t="s">
        <v>12</v>
      </c>
      <c r="C2" s="2" t="s">
        <v>2601</v>
      </c>
      <c r="D2" s="3">
        <v>45659</v>
      </c>
      <c r="E2" s="3">
        <v>45668</v>
      </c>
      <c r="F2" s="3">
        <v>45666</v>
      </c>
      <c r="G2" s="2" t="s">
        <v>2627</v>
      </c>
      <c r="H2" s="2">
        <v>11</v>
      </c>
      <c r="I2" s="2">
        <f>IFERROR(INDEX(Raw_Orders!H2:H2430,MATCH(B2,Raw_Orders!A2:A2430,0)),0)</f>
        <v>11</v>
      </c>
      <c r="J2" s="2" t="str">
        <f>IF(E2&gt;=F2,"Yes","No")</f>
        <v>Yes</v>
      </c>
      <c r="K2" s="2" t="str">
        <f>IF(H2&gt;=I2,"Yes","N0")</f>
        <v>Yes</v>
      </c>
      <c r="L2" s="2" t="str">
        <f>IF(AND(J2="Yes",K2="Yes"),"Yes","No")</f>
        <v>Yes</v>
      </c>
      <c r="M2" s="2">
        <f>IF(L2="Yes",1,0)</f>
        <v>1</v>
      </c>
    </row>
    <row r="3" spans="1:13" x14ac:dyDescent="0.3">
      <c r="A3" s="5" t="s">
        <v>2628</v>
      </c>
      <c r="B3" s="5" t="s">
        <v>18</v>
      </c>
      <c r="C3" s="5" t="s">
        <v>2616</v>
      </c>
      <c r="D3" s="6">
        <v>45658</v>
      </c>
      <c r="E3" s="6">
        <v>45666</v>
      </c>
      <c r="F3" s="6">
        <v>45675</v>
      </c>
      <c r="G3" s="5" t="s">
        <v>2629</v>
      </c>
      <c r="H3" s="5">
        <v>6</v>
      </c>
      <c r="I3" s="5">
        <f>IFERROR(INDEX(Raw_Orders!H3:H2431,MATCH(B3,Raw_Orders!A3:A2431,0)),0)</f>
        <v>9</v>
      </c>
      <c r="J3" s="5" t="str">
        <f t="shared" ref="J3:J66" si="0">IF(E3&gt;=F3,"Yes","No")</f>
        <v>No</v>
      </c>
      <c r="K3" s="5" t="str">
        <f t="shared" ref="K3:K66" si="1">IF(H3&gt;=I3,"Yes","N0")</f>
        <v>N0</v>
      </c>
      <c r="L3" s="5" t="str">
        <f>IF(AND(J3="Yes",K3="Yes"),"Yes","No")</f>
        <v>No</v>
      </c>
      <c r="M3" s="5">
        <f t="shared" ref="M3:M66" si="2">IF(L3="Yes",1,0)</f>
        <v>0</v>
      </c>
    </row>
    <row r="4" spans="1:13" x14ac:dyDescent="0.3">
      <c r="A4" s="2" t="s">
        <v>2630</v>
      </c>
      <c r="B4" s="2" t="s">
        <v>23</v>
      </c>
      <c r="C4" s="2" t="s">
        <v>2616</v>
      </c>
      <c r="D4" s="3">
        <v>45658</v>
      </c>
      <c r="E4" s="3">
        <v>45662</v>
      </c>
      <c r="F4" s="3">
        <v>45673</v>
      </c>
      <c r="G4" s="2" t="s">
        <v>2631</v>
      </c>
      <c r="H4" s="2">
        <v>19</v>
      </c>
      <c r="I4" s="2">
        <f>IFERROR(INDEX(Raw_Orders!H4:H2432,MATCH(B4,Raw_Orders!A4:A2432,0)),0)</f>
        <v>19</v>
      </c>
      <c r="J4" s="2" t="str">
        <f t="shared" si="0"/>
        <v>No</v>
      </c>
      <c r="K4" s="2" t="str">
        <f t="shared" si="1"/>
        <v>Yes</v>
      </c>
      <c r="L4" s="2" t="str">
        <f t="shared" ref="L4:L67" si="3">IF(AND(J4="Yes",K4="Yes"),"Yes","No")</f>
        <v>No</v>
      </c>
      <c r="M4" s="2">
        <f t="shared" si="2"/>
        <v>0</v>
      </c>
    </row>
    <row r="5" spans="1:13" x14ac:dyDescent="0.3">
      <c r="A5" s="5" t="s">
        <v>2632</v>
      </c>
      <c r="B5" s="5" t="s">
        <v>28</v>
      </c>
      <c r="C5" s="5" t="s">
        <v>2606</v>
      </c>
      <c r="D5" s="6">
        <v>45660</v>
      </c>
      <c r="E5" s="6">
        <v>45664</v>
      </c>
      <c r="F5" s="6">
        <v>45670</v>
      </c>
      <c r="G5" s="5" t="s">
        <v>2633</v>
      </c>
      <c r="H5" s="5">
        <v>33</v>
      </c>
      <c r="I5" s="5">
        <f>IFERROR(INDEX(Raw_Orders!H5:H2433,MATCH(B5,Raw_Orders!A5:A2433,0)),0)</f>
        <v>33</v>
      </c>
      <c r="J5" s="5" t="str">
        <f t="shared" si="0"/>
        <v>No</v>
      </c>
      <c r="K5" s="5" t="str">
        <f t="shared" si="1"/>
        <v>Yes</v>
      </c>
      <c r="L5" s="5" t="str">
        <f t="shared" si="3"/>
        <v>No</v>
      </c>
      <c r="M5" s="5">
        <f t="shared" si="2"/>
        <v>0</v>
      </c>
    </row>
    <row r="6" spans="1:13" x14ac:dyDescent="0.3">
      <c r="A6" s="2" t="s">
        <v>2634</v>
      </c>
      <c r="B6" s="2" t="s">
        <v>34</v>
      </c>
      <c r="C6" s="2" t="s">
        <v>2606</v>
      </c>
      <c r="D6" s="3">
        <v>45658</v>
      </c>
      <c r="E6" s="3">
        <v>45668</v>
      </c>
      <c r="F6" s="3">
        <v>45664</v>
      </c>
      <c r="G6" s="2" t="s">
        <v>2633</v>
      </c>
      <c r="H6" s="2">
        <v>52</v>
      </c>
      <c r="I6" s="2">
        <f>IFERROR(INDEX(Raw_Orders!H6:H2434,MATCH(B6,Raw_Orders!A6:A2434,0)),0)</f>
        <v>59</v>
      </c>
      <c r="J6" s="2" t="str">
        <f t="shared" si="0"/>
        <v>Yes</v>
      </c>
      <c r="K6" s="2" t="str">
        <f t="shared" si="1"/>
        <v>N0</v>
      </c>
      <c r="L6" s="2" t="str">
        <f t="shared" si="3"/>
        <v>No</v>
      </c>
      <c r="M6" s="2">
        <f t="shared" si="2"/>
        <v>0</v>
      </c>
    </row>
    <row r="7" spans="1:13" x14ac:dyDescent="0.3">
      <c r="A7" s="5" t="s">
        <v>2635</v>
      </c>
      <c r="B7" s="5" t="s">
        <v>38</v>
      </c>
      <c r="C7" s="5" t="s">
        <v>2608</v>
      </c>
      <c r="D7" s="6">
        <v>45658</v>
      </c>
      <c r="E7" s="6">
        <v>45662</v>
      </c>
      <c r="F7" s="6">
        <v>45673</v>
      </c>
      <c r="G7" s="5" t="s">
        <v>2627</v>
      </c>
      <c r="H7" s="5">
        <v>41</v>
      </c>
      <c r="I7" s="5">
        <f>IFERROR(INDEX(Raw_Orders!H7:H2435,MATCH(B7,Raw_Orders!A7:A2435,0)),0)</f>
        <v>41</v>
      </c>
      <c r="J7" s="5" t="str">
        <f t="shared" si="0"/>
        <v>No</v>
      </c>
      <c r="K7" s="5" t="str">
        <f t="shared" si="1"/>
        <v>Yes</v>
      </c>
      <c r="L7" s="5" t="str">
        <f t="shared" si="3"/>
        <v>No</v>
      </c>
      <c r="M7" s="5">
        <f t="shared" si="2"/>
        <v>0</v>
      </c>
    </row>
    <row r="8" spans="1:13" x14ac:dyDescent="0.3">
      <c r="A8" s="2" t="s">
        <v>2636</v>
      </c>
      <c r="B8" s="2" t="s">
        <v>43</v>
      </c>
      <c r="C8" s="2" t="s">
        <v>2608</v>
      </c>
      <c r="D8" s="3">
        <v>45659</v>
      </c>
      <c r="E8" s="3">
        <v>45661</v>
      </c>
      <c r="F8" s="3">
        <v>45672</v>
      </c>
      <c r="G8" s="2" t="s">
        <v>2631</v>
      </c>
      <c r="H8" s="2">
        <v>2</v>
      </c>
      <c r="I8" s="2">
        <f>IFERROR(INDEX(Raw_Orders!H8:H2436,MATCH(B8,Raw_Orders!A8:A2436,0)),0)</f>
        <v>2</v>
      </c>
      <c r="J8" s="2" t="str">
        <f t="shared" si="0"/>
        <v>No</v>
      </c>
      <c r="K8" s="2" t="str">
        <f t="shared" si="1"/>
        <v>Yes</v>
      </c>
      <c r="L8" s="2" t="str">
        <f t="shared" si="3"/>
        <v>No</v>
      </c>
      <c r="M8" s="2">
        <f t="shared" si="2"/>
        <v>0</v>
      </c>
    </row>
    <row r="9" spans="1:13" x14ac:dyDescent="0.3">
      <c r="A9" s="5" t="s">
        <v>2637</v>
      </c>
      <c r="B9" s="5" t="s">
        <v>48</v>
      </c>
      <c r="C9" s="5" t="s">
        <v>2608</v>
      </c>
      <c r="D9" s="6">
        <v>45659</v>
      </c>
      <c r="E9" s="6">
        <v>45666</v>
      </c>
      <c r="F9" s="6">
        <v>45672</v>
      </c>
      <c r="G9" s="5" t="s">
        <v>2627</v>
      </c>
      <c r="H9" s="5">
        <v>4</v>
      </c>
      <c r="I9" s="5">
        <f>IFERROR(INDEX(Raw_Orders!H9:H2437,MATCH(B9,Raw_Orders!A9:A2437,0)),0)</f>
        <v>12</v>
      </c>
      <c r="J9" s="5" t="str">
        <f t="shared" si="0"/>
        <v>No</v>
      </c>
      <c r="K9" s="5" t="str">
        <f t="shared" si="1"/>
        <v>N0</v>
      </c>
      <c r="L9" s="5" t="str">
        <f t="shared" si="3"/>
        <v>No</v>
      </c>
      <c r="M9" s="5">
        <f t="shared" si="2"/>
        <v>0</v>
      </c>
    </row>
    <row r="10" spans="1:13" x14ac:dyDescent="0.3">
      <c r="A10" s="2" t="s">
        <v>2638</v>
      </c>
      <c r="B10" s="2" t="s">
        <v>52</v>
      </c>
      <c r="C10" s="2" t="s">
        <v>2611</v>
      </c>
      <c r="D10" s="3">
        <v>45660</v>
      </c>
      <c r="E10" s="3">
        <v>45664</v>
      </c>
      <c r="F10" s="3">
        <v>45668</v>
      </c>
      <c r="G10" s="2" t="s">
        <v>2633</v>
      </c>
      <c r="H10" s="2">
        <v>27</v>
      </c>
      <c r="I10" s="2">
        <f>IFERROR(INDEX(Raw_Orders!H10:H2438,MATCH(B10,Raw_Orders!A10:A2438,0)),0)</f>
        <v>27</v>
      </c>
      <c r="J10" s="2" t="str">
        <f t="shared" si="0"/>
        <v>No</v>
      </c>
      <c r="K10" s="2" t="str">
        <f t="shared" si="1"/>
        <v>Yes</v>
      </c>
      <c r="L10" s="2" t="str">
        <f t="shared" si="3"/>
        <v>No</v>
      </c>
      <c r="M10" s="2">
        <f t="shared" si="2"/>
        <v>0</v>
      </c>
    </row>
    <row r="11" spans="1:13" x14ac:dyDescent="0.3">
      <c r="A11" s="5" t="s">
        <v>2639</v>
      </c>
      <c r="B11" s="5" t="s">
        <v>56</v>
      </c>
      <c r="C11" s="5" t="s">
        <v>2598</v>
      </c>
      <c r="D11" s="6">
        <v>45660</v>
      </c>
      <c r="E11" s="6">
        <v>45663</v>
      </c>
      <c r="F11" s="6">
        <v>45673</v>
      </c>
      <c r="G11" s="5" t="s">
        <v>2631</v>
      </c>
      <c r="H11" s="5">
        <v>16</v>
      </c>
      <c r="I11" s="5">
        <f>IFERROR(INDEX(Raw_Orders!H11:H2439,MATCH(B11,Raw_Orders!A11:A2439,0)),0)</f>
        <v>16</v>
      </c>
      <c r="J11" s="5" t="str">
        <f t="shared" si="0"/>
        <v>No</v>
      </c>
      <c r="K11" s="5" t="str">
        <f t="shared" si="1"/>
        <v>Yes</v>
      </c>
      <c r="L11" s="5" t="str">
        <f t="shared" si="3"/>
        <v>No</v>
      </c>
      <c r="M11" s="5">
        <f t="shared" si="2"/>
        <v>0</v>
      </c>
    </row>
    <row r="12" spans="1:13" x14ac:dyDescent="0.3">
      <c r="A12" s="2" t="s">
        <v>2640</v>
      </c>
      <c r="B12" s="2" t="s">
        <v>60</v>
      </c>
      <c r="C12" s="2" t="s">
        <v>2611</v>
      </c>
      <c r="D12" s="3">
        <v>45659</v>
      </c>
      <c r="E12" s="3">
        <v>45663</v>
      </c>
      <c r="F12" s="3">
        <v>45670</v>
      </c>
      <c r="G12" s="2" t="s">
        <v>2641</v>
      </c>
      <c r="H12" s="2">
        <v>59</v>
      </c>
      <c r="I12" s="2">
        <f>IFERROR(INDEX(Raw_Orders!H12:H2440,MATCH(B12,Raw_Orders!A12:A2440,0)),0)</f>
        <v>59</v>
      </c>
      <c r="J12" s="2" t="str">
        <f t="shared" si="0"/>
        <v>No</v>
      </c>
      <c r="K12" s="2" t="str">
        <f t="shared" si="1"/>
        <v>Yes</v>
      </c>
      <c r="L12" s="2" t="str">
        <f t="shared" si="3"/>
        <v>No</v>
      </c>
      <c r="M12" s="2">
        <f t="shared" si="2"/>
        <v>0</v>
      </c>
    </row>
    <row r="13" spans="1:13" x14ac:dyDescent="0.3">
      <c r="A13" s="5" t="s">
        <v>2642</v>
      </c>
      <c r="B13" s="5" t="s">
        <v>64</v>
      </c>
      <c r="C13" s="5" t="s">
        <v>2601</v>
      </c>
      <c r="D13" s="6">
        <v>45659</v>
      </c>
      <c r="E13" s="6">
        <v>45669</v>
      </c>
      <c r="F13" s="6">
        <v>45666</v>
      </c>
      <c r="G13" s="5" t="s">
        <v>2633</v>
      </c>
      <c r="H13" s="5">
        <v>14</v>
      </c>
      <c r="I13" s="5">
        <f>IFERROR(INDEX(Raw_Orders!H13:H2441,MATCH(B13,Raw_Orders!A13:A2441,0)),0)</f>
        <v>14</v>
      </c>
      <c r="J13" s="5" t="str">
        <f t="shared" si="0"/>
        <v>Yes</v>
      </c>
      <c r="K13" s="5" t="str">
        <f t="shared" si="1"/>
        <v>Yes</v>
      </c>
      <c r="L13" s="5" t="str">
        <f t="shared" si="3"/>
        <v>Yes</v>
      </c>
      <c r="M13" s="5">
        <f t="shared" si="2"/>
        <v>1</v>
      </c>
    </row>
    <row r="14" spans="1:13" x14ac:dyDescent="0.3">
      <c r="A14" s="2" t="s">
        <v>2643</v>
      </c>
      <c r="B14" s="2" t="s">
        <v>68</v>
      </c>
      <c r="C14" s="2" t="s">
        <v>2616</v>
      </c>
      <c r="D14" s="3">
        <v>45660</v>
      </c>
      <c r="E14" s="3">
        <v>45669</v>
      </c>
      <c r="F14" s="3">
        <v>45677</v>
      </c>
      <c r="G14" s="2" t="s">
        <v>2641</v>
      </c>
      <c r="H14" s="2">
        <v>18</v>
      </c>
      <c r="I14" s="2">
        <f>IFERROR(INDEX(Raw_Orders!H14:H2442,MATCH(B14,Raw_Orders!A14:A2442,0)),0)</f>
        <v>18</v>
      </c>
      <c r="J14" s="2" t="str">
        <f t="shared" si="0"/>
        <v>No</v>
      </c>
      <c r="K14" s="2" t="str">
        <f t="shared" si="1"/>
        <v>Yes</v>
      </c>
      <c r="L14" s="2" t="str">
        <f t="shared" si="3"/>
        <v>No</v>
      </c>
      <c r="M14" s="2">
        <f t="shared" si="2"/>
        <v>0</v>
      </c>
    </row>
    <row r="15" spans="1:13" x14ac:dyDescent="0.3">
      <c r="A15" s="5" t="s">
        <v>2644</v>
      </c>
      <c r="B15" s="5" t="s">
        <v>70</v>
      </c>
      <c r="C15" s="5" t="s">
        <v>2608</v>
      </c>
      <c r="D15" s="6">
        <v>45661</v>
      </c>
      <c r="E15" s="6">
        <v>45665</v>
      </c>
      <c r="F15" s="6">
        <v>45674</v>
      </c>
      <c r="G15" s="5" t="s">
        <v>2641</v>
      </c>
      <c r="H15" s="5">
        <v>26</v>
      </c>
      <c r="I15" s="5">
        <f>IFERROR(INDEX(Raw_Orders!H15:H2443,MATCH(B15,Raw_Orders!A15:A2443,0)),0)</f>
        <v>26</v>
      </c>
      <c r="J15" s="5" t="str">
        <f t="shared" si="0"/>
        <v>No</v>
      </c>
      <c r="K15" s="5" t="str">
        <f t="shared" si="1"/>
        <v>Yes</v>
      </c>
      <c r="L15" s="5" t="str">
        <f t="shared" si="3"/>
        <v>No</v>
      </c>
      <c r="M15" s="5">
        <f t="shared" si="2"/>
        <v>0</v>
      </c>
    </row>
    <row r="16" spans="1:13" x14ac:dyDescent="0.3">
      <c r="A16" s="2" t="s">
        <v>2645</v>
      </c>
      <c r="B16" s="2" t="s">
        <v>72</v>
      </c>
      <c r="C16" s="2" t="s">
        <v>2608</v>
      </c>
      <c r="D16" s="3">
        <v>45659</v>
      </c>
      <c r="E16" s="3">
        <v>45664</v>
      </c>
      <c r="F16" s="3">
        <v>45671</v>
      </c>
      <c r="G16" s="2" t="s">
        <v>2631</v>
      </c>
      <c r="H16" s="2">
        <v>6</v>
      </c>
      <c r="I16" s="2">
        <f>IFERROR(INDEX(Raw_Orders!H16:H2444,MATCH(B16,Raw_Orders!A16:A2444,0)),0)</f>
        <v>6</v>
      </c>
      <c r="J16" s="2" t="str">
        <f t="shared" si="0"/>
        <v>No</v>
      </c>
      <c r="K16" s="2" t="str">
        <f t="shared" si="1"/>
        <v>Yes</v>
      </c>
      <c r="L16" s="2" t="str">
        <f t="shared" si="3"/>
        <v>No</v>
      </c>
      <c r="M16" s="2">
        <f t="shared" si="2"/>
        <v>0</v>
      </c>
    </row>
    <row r="17" spans="1:13" x14ac:dyDescent="0.3">
      <c r="A17" s="5" t="s">
        <v>2646</v>
      </c>
      <c r="B17" s="5" t="s">
        <v>73</v>
      </c>
      <c r="C17" s="5" t="s">
        <v>2598</v>
      </c>
      <c r="D17" s="6">
        <v>45660</v>
      </c>
      <c r="E17" s="6">
        <v>45664</v>
      </c>
      <c r="F17" s="6">
        <v>45674</v>
      </c>
      <c r="G17" s="5" t="s">
        <v>2627</v>
      </c>
      <c r="H17" s="5">
        <v>13</v>
      </c>
      <c r="I17" s="5">
        <f>IFERROR(INDEX(Raw_Orders!H17:H2445,MATCH(B17,Raw_Orders!A17:A2445,0)),0)</f>
        <v>13</v>
      </c>
      <c r="J17" s="5" t="str">
        <f t="shared" si="0"/>
        <v>No</v>
      </c>
      <c r="K17" s="5" t="str">
        <f t="shared" si="1"/>
        <v>Yes</v>
      </c>
      <c r="L17" s="5" t="str">
        <f t="shared" si="3"/>
        <v>No</v>
      </c>
      <c r="M17" s="5">
        <f t="shared" si="2"/>
        <v>0</v>
      </c>
    </row>
    <row r="18" spans="1:13" x14ac:dyDescent="0.3">
      <c r="A18" s="2" t="s">
        <v>2647</v>
      </c>
      <c r="B18" s="2" t="s">
        <v>74</v>
      </c>
      <c r="C18" s="2" t="s">
        <v>2598</v>
      </c>
      <c r="D18" s="3">
        <v>45661</v>
      </c>
      <c r="E18" s="3">
        <v>45663</v>
      </c>
      <c r="F18" s="3">
        <v>45674</v>
      </c>
      <c r="G18" s="2" t="s">
        <v>2641</v>
      </c>
      <c r="H18" s="2">
        <v>50</v>
      </c>
      <c r="I18" s="2">
        <f>IFERROR(INDEX(Raw_Orders!H18:H2446,MATCH(B18,Raw_Orders!A18:A2446,0)),0)</f>
        <v>50</v>
      </c>
      <c r="J18" s="2" t="str">
        <f t="shared" si="0"/>
        <v>No</v>
      </c>
      <c r="K18" s="2" t="str">
        <f t="shared" si="1"/>
        <v>Yes</v>
      </c>
      <c r="L18" s="2" t="str">
        <f t="shared" si="3"/>
        <v>No</v>
      </c>
      <c r="M18" s="2">
        <f t="shared" si="2"/>
        <v>0</v>
      </c>
    </row>
    <row r="19" spans="1:13" x14ac:dyDescent="0.3">
      <c r="A19" s="5" t="s">
        <v>2648</v>
      </c>
      <c r="B19" s="5" t="s">
        <v>76</v>
      </c>
      <c r="C19" s="5" t="s">
        <v>2601</v>
      </c>
      <c r="D19" s="6">
        <v>45660</v>
      </c>
      <c r="E19" s="6">
        <v>45668</v>
      </c>
      <c r="F19" s="6">
        <v>45665</v>
      </c>
      <c r="G19" s="5" t="s">
        <v>2641</v>
      </c>
      <c r="H19" s="5">
        <v>11</v>
      </c>
      <c r="I19" s="5">
        <f>IFERROR(INDEX(Raw_Orders!H19:H2447,MATCH(B19,Raw_Orders!A19:A2447,0)),0)</f>
        <v>11</v>
      </c>
      <c r="J19" s="5" t="str">
        <f t="shared" si="0"/>
        <v>Yes</v>
      </c>
      <c r="K19" s="5" t="str">
        <f t="shared" si="1"/>
        <v>Yes</v>
      </c>
      <c r="L19" s="5" t="str">
        <f t="shared" si="3"/>
        <v>Yes</v>
      </c>
      <c r="M19" s="5">
        <f t="shared" si="2"/>
        <v>1</v>
      </c>
    </row>
    <row r="20" spans="1:13" x14ac:dyDescent="0.3">
      <c r="A20" s="2" t="s">
        <v>2649</v>
      </c>
      <c r="B20" s="2" t="s">
        <v>78</v>
      </c>
      <c r="C20" s="2" t="s">
        <v>2601</v>
      </c>
      <c r="D20" s="3">
        <v>45660</v>
      </c>
      <c r="E20" s="3">
        <v>45667</v>
      </c>
      <c r="F20" s="3">
        <v>45667</v>
      </c>
      <c r="G20" s="2" t="s">
        <v>2631</v>
      </c>
      <c r="H20" s="2">
        <v>13</v>
      </c>
      <c r="I20" s="2">
        <f>IFERROR(INDEX(Raw_Orders!H20:H2448,MATCH(B20,Raw_Orders!A20:A2448,0)),0)</f>
        <v>13</v>
      </c>
      <c r="J20" s="2" t="str">
        <f t="shared" si="0"/>
        <v>Yes</v>
      </c>
      <c r="K20" s="2" t="str">
        <f t="shared" si="1"/>
        <v>Yes</v>
      </c>
      <c r="L20" s="2" t="str">
        <f t="shared" si="3"/>
        <v>Yes</v>
      </c>
      <c r="M20" s="2">
        <f t="shared" si="2"/>
        <v>1</v>
      </c>
    </row>
    <row r="21" spans="1:13" x14ac:dyDescent="0.3">
      <c r="A21" s="5" t="s">
        <v>2650</v>
      </c>
      <c r="B21" s="5" t="s">
        <v>80</v>
      </c>
      <c r="C21" s="5" t="s">
        <v>2604</v>
      </c>
      <c r="D21" s="6">
        <v>45662</v>
      </c>
      <c r="E21" s="6">
        <v>45664</v>
      </c>
      <c r="F21" s="6">
        <v>45666</v>
      </c>
      <c r="G21" s="5" t="s">
        <v>2627</v>
      </c>
      <c r="H21" s="5">
        <v>21</v>
      </c>
      <c r="I21" s="5">
        <f>IFERROR(INDEX(Raw_Orders!H21:H2449,MATCH(B21,Raw_Orders!A21:A2449,0)),0)</f>
        <v>23</v>
      </c>
      <c r="J21" s="5" t="str">
        <f t="shared" si="0"/>
        <v>No</v>
      </c>
      <c r="K21" s="5" t="str">
        <f t="shared" si="1"/>
        <v>N0</v>
      </c>
      <c r="L21" s="5" t="str">
        <f t="shared" si="3"/>
        <v>No</v>
      </c>
      <c r="M21" s="5">
        <f t="shared" si="2"/>
        <v>0</v>
      </c>
    </row>
    <row r="22" spans="1:13" x14ac:dyDescent="0.3">
      <c r="A22" s="2" t="s">
        <v>2651</v>
      </c>
      <c r="B22" s="2" t="s">
        <v>82</v>
      </c>
      <c r="C22" s="2" t="s">
        <v>2606</v>
      </c>
      <c r="D22" s="3">
        <v>45660</v>
      </c>
      <c r="E22" s="3">
        <v>45666</v>
      </c>
      <c r="F22" s="3">
        <v>45668</v>
      </c>
      <c r="G22" s="2" t="s">
        <v>2627</v>
      </c>
      <c r="H22" s="2">
        <v>35</v>
      </c>
      <c r="I22" s="2">
        <f>IFERROR(INDEX(Raw_Orders!H22:H2450,MATCH(B22,Raw_Orders!A22:A2450,0)),0)</f>
        <v>35</v>
      </c>
      <c r="J22" s="2" t="str">
        <f t="shared" si="0"/>
        <v>No</v>
      </c>
      <c r="K22" s="2" t="str">
        <f t="shared" si="1"/>
        <v>Yes</v>
      </c>
      <c r="L22" s="2" t="str">
        <f t="shared" si="3"/>
        <v>No</v>
      </c>
      <c r="M22" s="2">
        <f t="shared" si="2"/>
        <v>0</v>
      </c>
    </row>
    <row r="23" spans="1:13" x14ac:dyDescent="0.3">
      <c r="A23" s="5" t="s">
        <v>2652</v>
      </c>
      <c r="B23" s="5" t="s">
        <v>84</v>
      </c>
      <c r="C23" s="5" t="s">
        <v>2606</v>
      </c>
      <c r="D23" s="6">
        <v>45660</v>
      </c>
      <c r="E23" s="6">
        <v>45667</v>
      </c>
      <c r="F23" s="6">
        <v>45670</v>
      </c>
      <c r="G23" s="5" t="s">
        <v>2633</v>
      </c>
      <c r="H23" s="5">
        <v>28</v>
      </c>
      <c r="I23" s="5">
        <f>IFERROR(INDEX(Raw_Orders!H23:H2451,MATCH(B23,Raw_Orders!A23:A2451,0)),0)</f>
        <v>29</v>
      </c>
      <c r="J23" s="5" t="str">
        <f t="shared" si="0"/>
        <v>No</v>
      </c>
      <c r="K23" s="5" t="str">
        <f t="shared" si="1"/>
        <v>N0</v>
      </c>
      <c r="L23" s="5" t="str">
        <f t="shared" si="3"/>
        <v>No</v>
      </c>
      <c r="M23" s="5">
        <f t="shared" si="2"/>
        <v>0</v>
      </c>
    </row>
    <row r="24" spans="1:13" x14ac:dyDescent="0.3">
      <c r="A24" s="2" t="s">
        <v>2653</v>
      </c>
      <c r="B24" s="2" t="s">
        <v>88</v>
      </c>
      <c r="C24" s="2" t="s">
        <v>2598</v>
      </c>
      <c r="D24" s="3">
        <v>45661</v>
      </c>
      <c r="E24" s="3">
        <v>45665</v>
      </c>
      <c r="F24" s="3">
        <v>45674</v>
      </c>
      <c r="G24" s="2" t="s">
        <v>2633</v>
      </c>
      <c r="H24" s="2">
        <v>38</v>
      </c>
      <c r="I24" s="2">
        <f>IFERROR(INDEX(Raw_Orders!H24:H2452,MATCH(B24,Raw_Orders!A24:A2452,0)),0)</f>
        <v>40</v>
      </c>
      <c r="J24" s="2" t="str">
        <f t="shared" si="0"/>
        <v>No</v>
      </c>
      <c r="K24" s="2" t="str">
        <f t="shared" si="1"/>
        <v>N0</v>
      </c>
      <c r="L24" s="2" t="str">
        <f t="shared" si="3"/>
        <v>No</v>
      </c>
      <c r="M24" s="2">
        <f t="shared" si="2"/>
        <v>0</v>
      </c>
    </row>
    <row r="25" spans="1:13" x14ac:dyDescent="0.3">
      <c r="A25" s="5" t="s">
        <v>2654</v>
      </c>
      <c r="B25" s="5" t="s">
        <v>90</v>
      </c>
      <c r="C25" s="5" t="s">
        <v>2598</v>
      </c>
      <c r="D25" s="6">
        <v>45662</v>
      </c>
      <c r="E25" s="6">
        <v>45667</v>
      </c>
      <c r="F25" s="6">
        <v>45679</v>
      </c>
      <c r="G25" s="5" t="s">
        <v>2633</v>
      </c>
      <c r="H25" s="5">
        <v>8</v>
      </c>
      <c r="I25" s="5">
        <f>IFERROR(INDEX(Raw_Orders!H25:H2453,MATCH(B25,Raw_Orders!A25:A2453,0)),0)</f>
        <v>14</v>
      </c>
      <c r="J25" s="5" t="str">
        <f t="shared" si="0"/>
        <v>No</v>
      </c>
      <c r="K25" s="5" t="str">
        <f t="shared" si="1"/>
        <v>N0</v>
      </c>
      <c r="L25" s="5" t="str">
        <f t="shared" si="3"/>
        <v>No</v>
      </c>
      <c r="M25" s="5">
        <f t="shared" si="2"/>
        <v>0</v>
      </c>
    </row>
    <row r="26" spans="1:13" x14ac:dyDescent="0.3">
      <c r="A26" s="2" t="s">
        <v>2655</v>
      </c>
      <c r="B26" s="2" t="s">
        <v>92</v>
      </c>
      <c r="C26" s="2" t="s">
        <v>2598</v>
      </c>
      <c r="D26" s="3">
        <v>45663</v>
      </c>
      <c r="E26" s="3">
        <v>45671</v>
      </c>
      <c r="F26" s="3">
        <v>45676</v>
      </c>
      <c r="G26" s="2" t="s">
        <v>2627</v>
      </c>
      <c r="H26" s="2">
        <v>29</v>
      </c>
      <c r="I26" s="2">
        <f>IFERROR(INDEX(Raw_Orders!H26:H2454,MATCH(B26,Raw_Orders!A26:A2454,0)),0)</f>
        <v>29</v>
      </c>
      <c r="J26" s="2" t="str">
        <f t="shared" si="0"/>
        <v>No</v>
      </c>
      <c r="K26" s="2" t="str">
        <f t="shared" si="1"/>
        <v>Yes</v>
      </c>
      <c r="L26" s="2" t="str">
        <f t="shared" si="3"/>
        <v>No</v>
      </c>
      <c r="M26" s="2">
        <f t="shared" si="2"/>
        <v>0</v>
      </c>
    </row>
    <row r="27" spans="1:13" x14ac:dyDescent="0.3">
      <c r="A27" s="5" t="s">
        <v>2656</v>
      </c>
      <c r="B27" s="5" t="s">
        <v>94</v>
      </c>
      <c r="C27" s="5" t="s">
        <v>2614</v>
      </c>
      <c r="D27" s="6">
        <v>45663</v>
      </c>
      <c r="E27" s="6">
        <v>45670</v>
      </c>
      <c r="F27" s="6">
        <v>45676</v>
      </c>
      <c r="G27" s="5" t="s">
        <v>2631</v>
      </c>
      <c r="H27" s="5">
        <v>11</v>
      </c>
      <c r="I27" s="5">
        <f>IFERROR(INDEX(Raw_Orders!H27:H2455,MATCH(B27,Raw_Orders!A27:A2455,0)),0)</f>
        <v>11</v>
      </c>
      <c r="J27" s="5" t="str">
        <f t="shared" si="0"/>
        <v>No</v>
      </c>
      <c r="K27" s="5" t="str">
        <f t="shared" si="1"/>
        <v>Yes</v>
      </c>
      <c r="L27" s="5" t="str">
        <f t="shared" si="3"/>
        <v>No</v>
      </c>
      <c r="M27" s="5">
        <f t="shared" si="2"/>
        <v>0</v>
      </c>
    </row>
    <row r="28" spans="1:13" x14ac:dyDescent="0.3">
      <c r="A28" s="2" t="s">
        <v>2657</v>
      </c>
      <c r="B28" s="2" t="s">
        <v>95</v>
      </c>
      <c r="C28" s="2" t="s">
        <v>2614</v>
      </c>
      <c r="D28" s="3">
        <v>45662</v>
      </c>
      <c r="E28" s="3">
        <v>45668</v>
      </c>
      <c r="F28" s="3">
        <v>45676</v>
      </c>
      <c r="G28" s="2" t="s">
        <v>2631</v>
      </c>
      <c r="H28" s="2">
        <v>26</v>
      </c>
      <c r="I28" s="2">
        <f>IFERROR(INDEX(Raw_Orders!H28:H2456,MATCH(B28,Raw_Orders!A28:A2456,0)),0)</f>
        <v>29</v>
      </c>
      <c r="J28" s="2" t="str">
        <f t="shared" si="0"/>
        <v>No</v>
      </c>
      <c r="K28" s="2" t="str">
        <f t="shared" si="1"/>
        <v>N0</v>
      </c>
      <c r="L28" s="2" t="str">
        <f t="shared" si="3"/>
        <v>No</v>
      </c>
      <c r="M28" s="2">
        <f t="shared" si="2"/>
        <v>0</v>
      </c>
    </row>
    <row r="29" spans="1:13" x14ac:dyDescent="0.3">
      <c r="A29" s="5" t="s">
        <v>2658</v>
      </c>
      <c r="B29" s="5" t="s">
        <v>99</v>
      </c>
      <c r="C29" s="5" t="s">
        <v>2616</v>
      </c>
      <c r="D29" s="6">
        <v>45662</v>
      </c>
      <c r="E29" s="6">
        <v>45664</v>
      </c>
      <c r="F29" s="6">
        <v>45677</v>
      </c>
      <c r="G29" s="5" t="s">
        <v>2633</v>
      </c>
      <c r="H29" s="5">
        <v>7</v>
      </c>
      <c r="I29" s="5">
        <f>IFERROR(INDEX(Raw_Orders!H29:H2457,MATCH(B29,Raw_Orders!A29:A2457,0)),0)</f>
        <v>7</v>
      </c>
      <c r="J29" s="5" t="str">
        <f t="shared" si="0"/>
        <v>No</v>
      </c>
      <c r="K29" s="5" t="str">
        <f t="shared" si="1"/>
        <v>Yes</v>
      </c>
      <c r="L29" s="5" t="str">
        <f t="shared" si="3"/>
        <v>No</v>
      </c>
      <c r="M29" s="5">
        <f t="shared" si="2"/>
        <v>0</v>
      </c>
    </row>
    <row r="30" spans="1:13" x14ac:dyDescent="0.3">
      <c r="A30" s="2" t="s">
        <v>2659</v>
      </c>
      <c r="B30" s="2" t="s">
        <v>101</v>
      </c>
      <c r="C30" s="2" t="s">
        <v>2606</v>
      </c>
      <c r="D30" s="3">
        <v>45661</v>
      </c>
      <c r="E30" s="3">
        <v>45666</v>
      </c>
      <c r="F30" s="3">
        <v>45671</v>
      </c>
      <c r="G30" s="2" t="s">
        <v>2631</v>
      </c>
      <c r="H30" s="2">
        <v>50</v>
      </c>
      <c r="I30" s="2">
        <f>IFERROR(INDEX(Raw_Orders!H30:H2458,MATCH(B30,Raw_Orders!A30:A2458,0)),0)</f>
        <v>50</v>
      </c>
      <c r="J30" s="2" t="str">
        <f t="shared" si="0"/>
        <v>No</v>
      </c>
      <c r="K30" s="2" t="str">
        <f t="shared" si="1"/>
        <v>Yes</v>
      </c>
      <c r="L30" s="2" t="str">
        <f t="shared" si="3"/>
        <v>No</v>
      </c>
      <c r="M30" s="2">
        <f t="shared" si="2"/>
        <v>0</v>
      </c>
    </row>
    <row r="31" spans="1:13" x14ac:dyDescent="0.3">
      <c r="A31" s="5" t="s">
        <v>2660</v>
      </c>
      <c r="B31" s="5" t="s">
        <v>103</v>
      </c>
      <c r="C31" s="5" t="s">
        <v>2606</v>
      </c>
      <c r="D31" s="6">
        <v>45662</v>
      </c>
      <c r="E31" s="6">
        <v>45669</v>
      </c>
      <c r="F31" s="6">
        <v>45668</v>
      </c>
      <c r="G31" s="5" t="s">
        <v>2631</v>
      </c>
      <c r="H31" s="5">
        <v>41</v>
      </c>
      <c r="I31" s="5">
        <f>IFERROR(INDEX(Raw_Orders!H31:H2459,MATCH(B31,Raw_Orders!A31:A2459,0)),0)</f>
        <v>41</v>
      </c>
      <c r="J31" s="5" t="str">
        <f t="shared" si="0"/>
        <v>Yes</v>
      </c>
      <c r="K31" s="5" t="str">
        <f t="shared" si="1"/>
        <v>Yes</v>
      </c>
      <c r="L31" s="5" t="str">
        <f t="shared" si="3"/>
        <v>Yes</v>
      </c>
      <c r="M31" s="5">
        <f t="shared" si="2"/>
        <v>1</v>
      </c>
    </row>
    <row r="32" spans="1:13" x14ac:dyDescent="0.3">
      <c r="A32" s="2" t="s">
        <v>2661</v>
      </c>
      <c r="B32" s="2" t="s">
        <v>105</v>
      </c>
      <c r="C32" s="2" t="s">
        <v>2606</v>
      </c>
      <c r="D32" s="3">
        <v>45662</v>
      </c>
      <c r="E32" s="3">
        <v>45670</v>
      </c>
      <c r="F32" s="3">
        <v>45667</v>
      </c>
      <c r="G32" s="2" t="s">
        <v>2633</v>
      </c>
      <c r="H32" s="2">
        <v>25</v>
      </c>
      <c r="I32" s="2">
        <f>IFERROR(INDEX(Raw_Orders!H32:H2460,MATCH(B32,Raw_Orders!A32:A2460,0)),0)</f>
        <v>26</v>
      </c>
      <c r="J32" s="2" t="str">
        <f t="shared" si="0"/>
        <v>Yes</v>
      </c>
      <c r="K32" s="2" t="str">
        <f t="shared" si="1"/>
        <v>N0</v>
      </c>
      <c r="L32" s="2" t="str">
        <f t="shared" si="3"/>
        <v>No</v>
      </c>
      <c r="M32" s="2">
        <f t="shared" si="2"/>
        <v>0</v>
      </c>
    </row>
    <row r="33" spans="1:13" x14ac:dyDescent="0.3">
      <c r="A33" s="5" t="s">
        <v>2662</v>
      </c>
      <c r="B33" s="5" t="s">
        <v>106</v>
      </c>
      <c r="C33" s="5" t="s">
        <v>2608</v>
      </c>
      <c r="D33" s="6">
        <v>45661</v>
      </c>
      <c r="E33" s="6">
        <v>45666</v>
      </c>
      <c r="F33" s="6">
        <v>45674</v>
      </c>
      <c r="G33" s="5" t="s">
        <v>2627</v>
      </c>
      <c r="H33" s="5">
        <v>7</v>
      </c>
      <c r="I33" s="5">
        <f>IFERROR(INDEX(Raw_Orders!H33:H2461,MATCH(B33,Raw_Orders!A33:A2461,0)),0)</f>
        <v>7</v>
      </c>
      <c r="J33" s="5" t="str">
        <f t="shared" si="0"/>
        <v>No</v>
      </c>
      <c r="K33" s="5" t="str">
        <f t="shared" si="1"/>
        <v>Yes</v>
      </c>
      <c r="L33" s="5" t="str">
        <f t="shared" si="3"/>
        <v>No</v>
      </c>
      <c r="M33" s="5">
        <f t="shared" si="2"/>
        <v>0</v>
      </c>
    </row>
    <row r="34" spans="1:13" x14ac:dyDescent="0.3">
      <c r="A34" s="2" t="s">
        <v>2663</v>
      </c>
      <c r="B34" s="2" t="s">
        <v>108</v>
      </c>
      <c r="C34" s="2" t="s">
        <v>2608</v>
      </c>
      <c r="D34" s="3">
        <v>45662</v>
      </c>
      <c r="E34" s="3">
        <v>45670</v>
      </c>
      <c r="F34" s="3">
        <v>45677</v>
      </c>
      <c r="G34" s="2" t="s">
        <v>2631</v>
      </c>
      <c r="H34" s="2">
        <v>8</v>
      </c>
      <c r="I34" s="2">
        <f>IFERROR(INDEX(Raw_Orders!H34:H2462,MATCH(B34,Raw_Orders!A34:A2462,0)),0)</f>
        <v>8</v>
      </c>
      <c r="J34" s="2" t="str">
        <f t="shared" si="0"/>
        <v>No</v>
      </c>
      <c r="K34" s="2" t="str">
        <f t="shared" si="1"/>
        <v>Yes</v>
      </c>
      <c r="L34" s="2" t="str">
        <f t="shared" si="3"/>
        <v>No</v>
      </c>
      <c r="M34" s="2">
        <f t="shared" si="2"/>
        <v>0</v>
      </c>
    </row>
    <row r="35" spans="1:13" x14ac:dyDescent="0.3">
      <c r="A35" s="5" t="s">
        <v>2664</v>
      </c>
      <c r="B35" s="5" t="s">
        <v>110</v>
      </c>
      <c r="C35" s="5" t="s">
        <v>2598</v>
      </c>
      <c r="D35" s="6">
        <v>45663</v>
      </c>
      <c r="E35" s="6">
        <v>45666</v>
      </c>
      <c r="F35" s="6">
        <v>45676</v>
      </c>
      <c r="G35" s="5" t="s">
        <v>2641</v>
      </c>
      <c r="H35" s="5">
        <v>23</v>
      </c>
      <c r="I35" s="5">
        <f>IFERROR(INDEX(Raw_Orders!H35:H2463,MATCH(B35,Raw_Orders!A35:A2463,0)),0)</f>
        <v>23</v>
      </c>
      <c r="J35" s="5" t="str">
        <f t="shared" si="0"/>
        <v>No</v>
      </c>
      <c r="K35" s="5" t="str">
        <f t="shared" si="1"/>
        <v>Yes</v>
      </c>
      <c r="L35" s="5" t="str">
        <f t="shared" si="3"/>
        <v>No</v>
      </c>
      <c r="M35" s="5">
        <f t="shared" si="2"/>
        <v>0</v>
      </c>
    </row>
    <row r="36" spans="1:13" x14ac:dyDescent="0.3">
      <c r="A36" s="2" t="s">
        <v>2665</v>
      </c>
      <c r="B36" s="2" t="s">
        <v>112</v>
      </c>
      <c r="C36" s="2" t="s">
        <v>2611</v>
      </c>
      <c r="D36" s="3">
        <v>45662</v>
      </c>
      <c r="E36" s="3">
        <v>45669</v>
      </c>
      <c r="F36" s="3">
        <v>45673</v>
      </c>
      <c r="G36" s="2" t="s">
        <v>2641</v>
      </c>
      <c r="H36" s="2">
        <v>41</v>
      </c>
      <c r="I36" s="2">
        <f>IFERROR(INDEX(Raw_Orders!H36:H2464,MATCH(B36,Raw_Orders!A36:A2464,0)),0)</f>
        <v>41</v>
      </c>
      <c r="J36" s="2" t="str">
        <f t="shared" si="0"/>
        <v>No</v>
      </c>
      <c r="K36" s="2" t="str">
        <f t="shared" si="1"/>
        <v>Yes</v>
      </c>
      <c r="L36" s="2" t="str">
        <f t="shared" si="3"/>
        <v>No</v>
      </c>
      <c r="M36" s="2">
        <f t="shared" si="2"/>
        <v>0</v>
      </c>
    </row>
    <row r="37" spans="1:13" x14ac:dyDescent="0.3">
      <c r="A37" s="5" t="s">
        <v>2666</v>
      </c>
      <c r="B37" s="5" t="s">
        <v>114</v>
      </c>
      <c r="C37" s="5" t="s">
        <v>2614</v>
      </c>
      <c r="D37" s="6">
        <v>45663</v>
      </c>
      <c r="E37" s="6">
        <v>45668</v>
      </c>
      <c r="F37" s="6">
        <v>45679</v>
      </c>
      <c r="G37" s="5" t="s">
        <v>2641</v>
      </c>
      <c r="H37" s="5">
        <v>4</v>
      </c>
      <c r="I37" s="5">
        <f>IFERROR(INDEX(Raw_Orders!H37:H2465,MATCH(B37,Raw_Orders!A37:A2465,0)),0)</f>
        <v>9</v>
      </c>
      <c r="J37" s="5" t="str">
        <f t="shared" si="0"/>
        <v>No</v>
      </c>
      <c r="K37" s="5" t="str">
        <f t="shared" si="1"/>
        <v>N0</v>
      </c>
      <c r="L37" s="5" t="str">
        <f t="shared" si="3"/>
        <v>No</v>
      </c>
      <c r="M37" s="5">
        <f t="shared" si="2"/>
        <v>0</v>
      </c>
    </row>
    <row r="38" spans="1:13" x14ac:dyDescent="0.3">
      <c r="A38" s="2" t="s">
        <v>2667</v>
      </c>
      <c r="B38" s="2" t="s">
        <v>116</v>
      </c>
      <c r="C38" s="2" t="s">
        <v>2614</v>
      </c>
      <c r="D38" s="3">
        <v>45664</v>
      </c>
      <c r="E38" s="3">
        <v>45670</v>
      </c>
      <c r="F38" s="3">
        <v>45677</v>
      </c>
      <c r="G38" s="2" t="s">
        <v>2633</v>
      </c>
      <c r="H38" s="2">
        <v>42</v>
      </c>
      <c r="I38" s="2">
        <f>IFERROR(INDEX(Raw_Orders!H38:H2466,MATCH(B38,Raw_Orders!A38:A2466,0)),0)</f>
        <v>42</v>
      </c>
      <c r="J38" s="2" t="str">
        <f t="shared" si="0"/>
        <v>No</v>
      </c>
      <c r="K38" s="2" t="str">
        <f t="shared" si="1"/>
        <v>Yes</v>
      </c>
      <c r="L38" s="2" t="str">
        <f t="shared" si="3"/>
        <v>No</v>
      </c>
      <c r="M38" s="2">
        <f t="shared" si="2"/>
        <v>0</v>
      </c>
    </row>
    <row r="39" spans="1:13" x14ac:dyDescent="0.3">
      <c r="A39" s="5" t="s">
        <v>2668</v>
      </c>
      <c r="B39" s="5" t="s">
        <v>118</v>
      </c>
      <c r="C39" s="5" t="s">
        <v>2616</v>
      </c>
      <c r="D39" s="6">
        <v>45662</v>
      </c>
      <c r="E39" s="6">
        <v>45665</v>
      </c>
      <c r="F39" s="6">
        <v>45677</v>
      </c>
      <c r="G39" s="5" t="s">
        <v>2629</v>
      </c>
      <c r="H39" s="5">
        <v>50</v>
      </c>
      <c r="I39" s="5">
        <f>IFERROR(INDEX(Raw_Orders!H39:H2467,MATCH(B39,Raw_Orders!A39:A2467,0)),0)</f>
        <v>50</v>
      </c>
      <c r="J39" s="5" t="str">
        <f t="shared" si="0"/>
        <v>No</v>
      </c>
      <c r="K39" s="5" t="str">
        <f t="shared" si="1"/>
        <v>Yes</v>
      </c>
      <c r="L39" s="5" t="str">
        <f t="shared" si="3"/>
        <v>No</v>
      </c>
      <c r="M39" s="5">
        <f t="shared" si="2"/>
        <v>0</v>
      </c>
    </row>
    <row r="40" spans="1:13" x14ac:dyDescent="0.3">
      <c r="A40" s="2" t="s">
        <v>2669</v>
      </c>
      <c r="B40" s="2" t="s">
        <v>121</v>
      </c>
      <c r="C40" s="2" t="s">
        <v>2616</v>
      </c>
      <c r="D40" s="3">
        <v>45664</v>
      </c>
      <c r="E40" s="3">
        <v>45666</v>
      </c>
      <c r="F40" s="3">
        <v>45679</v>
      </c>
      <c r="G40" s="2" t="s">
        <v>2633</v>
      </c>
      <c r="H40" s="2">
        <v>24</v>
      </c>
      <c r="I40" s="2">
        <f>IFERROR(INDEX(Raw_Orders!H40:H2468,MATCH(B40,Raw_Orders!A40:A2468,0)),0)</f>
        <v>24</v>
      </c>
      <c r="J40" s="2" t="str">
        <f t="shared" si="0"/>
        <v>No</v>
      </c>
      <c r="K40" s="2" t="str">
        <f t="shared" si="1"/>
        <v>Yes</v>
      </c>
      <c r="L40" s="2" t="str">
        <f t="shared" si="3"/>
        <v>No</v>
      </c>
      <c r="M40" s="2">
        <f t="shared" si="2"/>
        <v>0</v>
      </c>
    </row>
    <row r="41" spans="1:13" x14ac:dyDescent="0.3">
      <c r="A41" s="5" t="s">
        <v>2670</v>
      </c>
      <c r="B41" s="5" t="s">
        <v>123</v>
      </c>
      <c r="C41" s="5" t="s">
        <v>2606</v>
      </c>
      <c r="D41" s="6">
        <v>45662</v>
      </c>
      <c r="E41" s="6">
        <v>45670</v>
      </c>
      <c r="F41" s="6">
        <v>45667</v>
      </c>
      <c r="G41" s="5" t="s">
        <v>2633</v>
      </c>
      <c r="H41" s="5">
        <v>34</v>
      </c>
      <c r="I41" s="5">
        <f>IFERROR(INDEX(Raw_Orders!H41:H2469,MATCH(B41,Raw_Orders!A41:A2469,0)),0)</f>
        <v>35</v>
      </c>
      <c r="J41" s="5" t="str">
        <f t="shared" si="0"/>
        <v>Yes</v>
      </c>
      <c r="K41" s="5" t="str">
        <f t="shared" si="1"/>
        <v>N0</v>
      </c>
      <c r="L41" s="5" t="str">
        <f t="shared" si="3"/>
        <v>No</v>
      </c>
      <c r="M41" s="5">
        <f t="shared" si="2"/>
        <v>0</v>
      </c>
    </row>
    <row r="42" spans="1:13" x14ac:dyDescent="0.3">
      <c r="A42" s="2" t="s">
        <v>2671</v>
      </c>
      <c r="B42" s="2" t="s">
        <v>124</v>
      </c>
      <c r="C42" s="2" t="s">
        <v>2606</v>
      </c>
      <c r="D42" s="3">
        <v>45663</v>
      </c>
      <c r="E42" s="3">
        <v>45671</v>
      </c>
      <c r="F42" s="3">
        <v>45673</v>
      </c>
      <c r="G42" s="2" t="s">
        <v>2631</v>
      </c>
      <c r="H42" s="2">
        <v>29</v>
      </c>
      <c r="I42" s="2">
        <f>IFERROR(INDEX(Raw_Orders!H42:H2470,MATCH(B42,Raw_Orders!A42:A2470,0)),0)</f>
        <v>29</v>
      </c>
      <c r="J42" s="2" t="str">
        <f t="shared" si="0"/>
        <v>No</v>
      </c>
      <c r="K42" s="2" t="str">
        <f t="shared" si="1"/>
        <v>Yes</v>
      </c>
      <c r="L42" s="2" t="str">
        <f t="shared" si="3"/>
        <v>No</v>
      </c>
      <c r="M42" s="2">
        <f t="shared" si="2"/>
        <v>0</v>
      </c>
    </row>
    <row r="43" spans="1:13" x14ac:dyDescent="0.3">
      <c r="A43" s="5" t="s">
        <v>2672</v>
      </c>
      <c r="B43" s="5" t="s">
        <v>126</v>
      </c>
      <c r="C43" s="5" t="s">
        <v>2606</v>
      </c>
      <c r="D43" s="6">
        <v>45663</v>
      </c>
      <c r="E43" s="6">
        <v>45666</v>
      </c>
      <c r="F43" s="6">
        <v>45671</v>
      </c>
      <c r="G43" s="5" t="s">
        <v>2641</v>
      </c>
      <c r="H43" s="5">
        <v>23</v>
      </c>
      <c r="I43" s="5">
        <f>IFERROR(INDEX(Raw_Orders!H43:H2471,MATCH(B43,Raw_Orders!A43:A2471,0)),0)</f>
        <v>23</v>
      </c>
      <c r="J43" s="5" t="str">
        <f t="shared" si="0"/>
        <v>No</v>
      </c>
      <c r="K43" s="5" t="str">
        <f t="shared" si="1"/>
        <v>Yes</v>
      </c>
      <c r="L43" s="5" t="str">
        <f t="shared" si="3"/>
        <v>No</v>
      </c>
      <c r="M43" s="5">
        <f t="shared" si="2"/>
        <v>0</v>
      </c>
    </row>
    <row r="44" spans="1:13" x14ac:dyDescent="0.3">
      <c r="A44" s="2" t="s">
        <v>2673</v>
      </c>
      <c r="B44" s="2" t="s">
        <v>127</v>
      </c>
      <c r="C44" s="2" t="s">
        <v>2608</v>
      </c>
      <c r="D44" s="3">
        <v>45663</v>
      </c>
      <c r="E44" s="3">
        <v>45671</v>
      </c>
      <c r="F44" s="3">
        <v>45676</v>
      </c>
      <c r="G44" s="2" t="s">
        <v>2629</v>
      </c>
      <c r="H44" s="2">
        <v>11</v>
      </c>
      <c r="I44" s="2">
        <f>IFERROR(INDEX(Raw_Orders!H44:H2472,MATCH(B44,Raw_Orders!A44:A2472,0)),0)</f>
        <v>11</v>
      </c>
      <c r="J44" s="2" t="str">
        <f t="shared" si="0"/>
        <v>No</v>
      </c>
      <c r="K44" s="2" t="str">
        <f t="shared" si="1"/>
        <v>Yes</v>
      </c>
      <c r="L44" s="2" t="str">
        <f t="shared" si="3"/>
        <v>No</v>
      </c>
      <c r="M44" s="2">
        <f t="shared" si="2"/>
        <v>0</v>
      </c>
    </row>
    <row r="45" spans="1:13" x14ac:dyDescent="0.3">
      <c r="A45" s="5" t="s">
        <v>2674</v>
      </c>
      <c r="B45" s="5" t="s">
        <v>129</v>
      </c>
      <c r="C45" s="5" t="s">
        <v>2598</v>
      </c>
      <c r="D45" s="6">
        <v>45665</v>
      </c>
      <c r="E45" s="6">
        <v>45672</v>
      </c>
      <c r="F45" s="6">
        <v>45680</v>
      </c>
      <c r="G45" s="5" t="s">
        <v>2641</v>
      </c>
      <c r="H45" s="5">
        <v>22</v>
      </c>
      <c r="I45" s="5">
        <f>IFERROR(INDEX(Raw_Orders!H45:H2473,MATCH(B45,Raw_Orders!A45:A2473,0)),0)</f>
        <v>27</v>
      </c>
      <c r="J45" s="5" t="str">
        <f t="shared" si="0"/>
        <v>No</v>
      </c>
      <c r="K45" s="5" t="str">
        <f t="shared" si="1"/>
        <v>N0</v>
      </c>
      <c r="L45" s="5" t="str">
        <f t="shared" si="3"/>
        <v>No</v>
      </c>
      <c r="M45" s="5">
        <f t="shared" si="2"/>
        <v>0</v>
      </c>
    </row>
    <row r="46" spans="1:13" x14ac:dyDescent="0.3">
      <c r="A46" s="2" t="s">
        <v>2675</v>
      </c>
      <c r="B46" s="2" t="s">
        <v>130</v>
      </c>
      <c r="C46" s="2" t="s">
        <v>2601</v>
      </c>
      <c r="D46" s="3">
        <v>45665</v>
      </c>
      <c r="E46" s="3">
        <v>45670</v>
      </c>
      <c r="F46" s="3">
        <v>45669</v>
      </c>
      <c r="G46" s="2" t="s">
        <v>2631</v>
      </c>
      <c r="H46" s="2">
        <v>20</v>
      </c>
      <c r="I46" s="2">
        <f>IFERROR(INDEX(Raw_Orders!H46:H2474,MATCH(B46,Raw_Orders!A46:A2474,0)),0)</f>
        <v>27</v>
      </c>
      <c r="J46" s="2" t="str">
        <f t="shared" si="0"/>
        <v>Yes</v>
      </c>
      <c r="K46" s="2" t="str">
        <f t="shared" si="1"/>
        <v>N0</v>
      </c>
      <c r="L46" s="2" t="str">
        <f t="shared" si="3"/>
        <v>No</v>
      </c>
      <c r="M46" s="2">
        <f t="shared" si="2"/>
        <v>0</v>
      </c>
    </row>
    <row r="47" spans="1:13" x14ac:dyDescent="0.3">
      <c r="A47" s="5" t="s">
        <v>2676</v>
      </c>
      <c r="B47" s="5" t="s">
        <v>132</v>
      </c>
      <c r="C47" s="5" t="s">
        <v>2616</v>
      </c>
      <c r="D47" s="6">
        <v>45665</v>
      </c>
      <c r="E47" s="6">
        <v>45673</v>
      </c>
      <c r="F47" s="6">
        <v>45680</v>
      </c>
      <c r="G47" s="5" t="s">
        <v>2627</v>
      </c>
      <c r="H47" s="5">
        <v>40</v>
      </c>
      <c r="I47" s="5">
        <f>IFERROR(INDEX(Raw_Orders!H47:H2475,MATCH(B47,Raw_Orders!A47:A2475,0)),0)</f>
        <v>40</v>
      </c>
      <c r="J47" s="5" t="str">
        <f t="shared" si="0"/>
        <v>No</v>
      </c>
      <c r="K47" s="5" t="str">
        <f t="shared" si="1"/>
        <v>Yes</v>
      </c>
      <c r="L47" s="5" t="str">
        <f t="shared" si="3"/>
        <v>No</v>
      </c>
      <c r="M47" s="5">
        <f t="shared" si="2"/>
        <v>0</v>
      </c>
    </row>
    <row r="48" spans="1:13" x14ac:dyDescent="0.3">
      <c r="A48" s="2" t="s">
        <v>2677</v>
      </c>
      <c r="B48" s="2" t="s">
        <v>133</v>
      </c>
      <c r="C48" s="2" t="s">
        <v>2608</v>
      </c>
      <c r="D48" s="3">
        <v>45664</v>
      </c>
      <c r="E48" s="3">
        <v>45667</v>
      </c>
      <c r="F48" s="3">
        <v>45677</v>
      </c>
      <c r="G48" s="2" t="s">
        <v>2641</v>
      </c>
      <c r="H48" s="2">
        <v>1</v>
      </c>
      <c r="I48" s="2">
        <f>IFERROR(INDEX(Raw_Orders!H48:H2476,MATCH(B48,Raw_Orders!A48:A2476,0)),0)</f>
        <v>5</v>
      </c>
      <c r="J48" s="2" t="str">
        <f t="shared" si="0"/>
        <v>No</v>
      </c>
      <c r="K48" s="2" t="str">
        <f t="shared" si="1"/>
        <v>N0</v>
      </c>
      <c r="L48" s="2" t="str">
        <f t="shared" si="3"/>
        <v>No</v>
      </c>
      <c r="M48" s="2">
        <f t="shared" si="2"/>
        <v>0</v>
      </c>
    </row>
    <row r="49" spans="1:13" x14ac:dyDescent="0.3">
      <c r="A49" s="5" t="s">
        <v>2678</v>
      </c>
      <c r="B49" s="5" t="s">
        <v>134</v>
      </c>
      <c r="C49" s="5" t="s">
        <v>2611</v>
      </c>
      <c r="D49" s="6">
        <v>45666</v>
      </c>
      <c r="E49" s="6">
        <v>45670</v>
      </c>
      <c r="F49" s="6">
        <v>45675</v>
      </c>
      <c r="G49" s="5" t="s">
        <v>2629</v>
      </c>
      <c r="H49" s="5">
        <v>19</v>
      </c>
      <c r="I49" s="5">
        <f>IFERROR(INDEX(Raw_Orders!H49:H2477,MATCH(B49,Raw_Orders!A49:A2477,0)),0)</f>
        <v>19</v>
      </c>
      <c r="J49" s="5" t="str">
        <f t="shared" si="0"/>
        <v>No</v>
      </c>
      <c r="K49" s="5" t="str">
        <f t="shared" si="1"/>
        <v>Yes</v>
      </c>
      <c r="L49" s="5" t="str">
        <f t="shared" si="3"/>
        <v>No</v>
      </c>
      <c r="M49" s="5">
        <f t="shared" si="2"/>
        <v>0</v>
      </c>
    </row>
    <row r="50" spans="1:13" x14ac:dyDescent="0.3">
      <c r="A50" s="2" t="s">
        <v>2679</v>
      </c>
      <c r="B50" s="2" t="s">
        <v>136</v>
      </c>
      <c r="C50" s="2" t="s">
        <v>2598</v>
      </c>
      <c r="D50" s="3">
        <v>45664</v>
      </c>
      <c r="E50" s="3">
        <v>45668</v>
      </c>
      <c r="F50" s="3">
        <v>45677</v>
      </c>
      <c r="G50" s="2" t="s">
        <v>2627</v>
      </c>
      <c r="H50" s="2">
        <v>25</v>
      </c>
      <c r="I50" s="2">
        <f>IFERROR(INDEX(Raw_Orders!H50:H2478,MATCH(B50,Raw_Orders!A50:A2478,0)),0)</f>
        <v>25</v>
      </c>
      <c r="J50" s="2" t="str">
        <f t="shared" si="0"/>
        <v>No</v>
      </c>
      <c r="K50" s="2" t="str">
        <f t="shared" si="1"/>
        <v>Yes</v>
      </c>
      <c r="L50" s="2" t="str">
        <f t="shared" si="3"/>
        <v>No</v>
      </c>
      <c r="M50" s="2">
        <f t="shared" si="2"/>
        <v>0</v>
      </c>
    </row>
    <row r="51" spans="1:13" x14ac:dyDescent="0.3">
      <c r="A51" s="5" t="s">
        <v>2680</v>
      </c>
      <c r="B51" s="5" t="s">
        <v>137</v>
      </c>
      <c r="C51" s="5" t="s">
        <v>2601</v>
      </c>
      <c r="D51" s="6">
        <v>45665</v>
      </c>
      <c r="E51" s="6">
        <v>45673</v>
      </c>
      <c r="F51" s="6">
        <v>45674</v>
      </c>
      <c r="G51" s="5" t="s">
        <v>2627</v>
      </c>
      <c r="H51" s="5">
        <v>6</v>
      </c>
      <c r="I51" s="5">
        <f>IFERROR(INDEX(Raw_Orders!H51:H2479,MATCH(B51,Raw_Orders!A51:A2479,0)),0)</f>
        <v>13</v>
      </c>
      <c r="J51" s="5" t="str">
        <f t="shared" si="0"/>
        <v>No</v>
      </c>
      <c r="K51" s="5" t="str">
        <f t="shared" si="1"/>
        <v>N0</v>
      </c>
      <c r="L51" s="5" t="str">
        <f t="shared" si="3"/>
        <v>No</v>
      </c>
      <c r="M51" s="5">
        <f t="shared" si="2"/>
        <v>0</v>
      </c>
    </row>
    <row r="52" spans="1:13" x14ac:dyDescent="0.3">
      <c r="A52" s="2" t="s">
        <v>2681</v>
      </c>
      <c r="B52" s="2" t="s">
        <v>138</v>
      </c>
      <c r="C52" s="2" t="s">
        <v>2616</v>
      </c>
      <c r="D52" s="3">
        <v>45664</v>
      </c>
      <c r="E52" s="3">
        <v>45668</v>
      </c>
      <c r="F52" s="3">
        <v>45679</v>
      </c>
      <c r="G52" s="2" t="s">
        <v>2627</v>
      </c>
      <c r="H52" s="2">
        <v>40</v>
      </c>
      <c r="I52" s="2">
        <f>IFERROR(INDEX(Raw_Orders!H52:H2480,MATCH(B52,Raw_Orders!A52:A2480,0)),0)</f>
        <v>40</v>
      </c>
      <c r="J52" s="2" t="str">
        <f t="shared" si="0"/>
        <v>No</v>
      </c>
      <c r="K52" s="2" t="str">
        <f t="shared" si="1"/>
        <v>Yes</v>
      </c>
      <c r="L52" s="2" t="str">
        <f t="shared" si="3"/>
        <v>No</v>
      </c>
      <c r="M52" s="2">
        <f t="shared" si="2"/>
        <v>0</v>
      </c>
    </row>
    <row r="53" spans="1:13" x14ac:dyDescent="0.3">
      <c r="A53" s="5" t="s">
        <v>2682</v>
      </c>
      <c r="B53" s="5" t="s">
        <v>140</v>
      </c>
      <c r="C53" s="5" t="s">
        <v>2616</v>
      </c>
      <c r="D53" s="6">
        <v>45664</v>
      </c>
      <c r="E53" s="6">
        <v>45674</v>
      </c>
      <c r="F53" s="6">
        <v>45679</v>
      </c>
      <c r="G53" s="5" t="s">
        <v>2641</v>
      </c>
      <c r="H53" s="5">
        <v>8</v>
      </c>
      <c r="I53" s="5">
        <f>IFERROR(INDEX(Raw_Orders!H53:H2481,MATCH(B53,Raw_Orders!A53:A2481,0)),0)</f>
        <v>8</v>
      </c>
      <c r="J53" s="5" t="str">
        <f t="shared" si="0"/>
        <v>No</v>
      </c>
      <c r="K53" s="5" t="str">
        <f t="shared" si="1"/>
        <v>Yes</v>
      </c>
      <c r="L53" s="5" t="str">
        <f t="shared" si="3"/>
        <v>No</v>
      </c>
      <c r="M53" s="5">
        <f t="shared" si="2"/>
        <v>0</v>
      </c>
    </row>
    <row r="54" spans="1:13" x14ac:dyDescent="0.3">
      <c r="A54" s="2" t="s">
        <v>2683</v>
      </c>
      <c r="B54" s="2" t="s">
        <v>142</v>
      </c>
      <c r="C54" s="2" t="s">
        <v>2606</v>
      </c>
      <c r="D54" s="3">
        <v>45665</v>
      </c>
      <c r="E54" s="3">
        <v>45672</v>
      </c>
      <c r="F54" s="3">
        <v>45672</v>
      </c>
      <c r="G54" s="2" t="s">
        <v>2627</v>
      </c>
      <c r="H54" s="2">
        <v>48</v>
      </c>
      <c r="I54" s="2">
        <f>IFERROR(INDEX(Raw_Orders!H54:H2482,MATCH(B54,Raw_Orders!A54:A2482,0)),0)</f>
        <v>48</v>
      </c>
      <c r="J54" s="2" t="str">
        <f t="shared" si="0"/>
        <v>Yes</v>
      </c>
      <c r="K54" s="2" t="str">
        <f t="shared" si="1"/>
        <v>Yes</v>
      </c>
      <c r="L54" s="2" t="str">
        <f t="shared" si="3"/>
        <v>Yes</v>
      </c>
      <c r="M54" s="2">
        <f t="shared" si="2"/>
        <v>1</v>
      </c>
    </row>
    <row r="55" spans="1:13" x14ac:dyDescent="0.3">
      <c r="A55" s="5" t="s">
        <v>2684</v>
      </c>
      <c r="B55" s="5" t="s">
        <v>143</v>
      </c>
      <c r="C55" s="5" t="s">
        <v>2601</v>
      </c>
      <c r="D55" s="6">
        <v>45667</v>
      </c>
      <c r="E55" s="6">
        <v>45671</v>
      </c>
      <c r="F55" s="6">
        <v>45671</v>
      </c>
      <c r="G55" s="5" t="s">
        <v>2629</v>
      </c>
      <c r="H55" s="5">
        <v>35</v>
      </c>
      <c r="I55" s="5">
        <f>IFERROR(INDEX(Raw_Orders!H55:H2483,MATCH(B55,Raw_Orders!A55:A2483,0)),0)</f>
        <v>35</v>
      </c>
      <c r="J55" s="5" t="str">
        <f t="shared" si="0"/>
        <v>Yes</v>
      </c>
      <c r="K55" s="5" t="str">
        <f t="shared" si="1"/>
        <v>Yes</v>
      </c>
      <c r="L55" s="5" t="str">
        <f t="shared" si="3"/>
        <v>Yes</v>
      </c>
      <c r="M55" s="5">
        <f t="shared" si="2"/>
        <v>1</v>
      </c>
    </row>
    <row r="56" spans="1:13" x14ac:dyDescent="0.3">
      <c r="A56" s="2" t="s">
        <v>2685</v>
      </c>
      <c r="B56" s="2" t="s">
        <v>145</v>
      </c>
      <c r="C56" s="2" t="s">
        <v>2616</v>
      </c>
      <c r="D56" s="3">
        <v>45666</v>
      </c>
      <c r="E56" s="3">
        <v>45672</v>
      </c>
      <c r="F56" s="3">
        <v>45681</v>
      </c>
      <c r="G56" s="2" t="s">
        <v>2627</v>
      </c>
      <c r="H56" s="2">
        <v>24</v>
      </c>
      <c r="I56" s="2">
        <f>IFERROR(INDEX(Raw_Orders!H56:H2484,MATCH(B56,Raw_Orders!A56:A2484,0)),0)</f>
        <v>24</v>
      </c>
      <c r="J56" s="2" t="str">
        <f t="shared" si="0"/>
        <v>No</v>
      </c>
      <c r="K56" s="2" t="str">
        <f t="shared" si="1"/>
        <v>Yes</v>
      </c>
      <c r="L56" s="2" t="str">
        <f t="shared" si="3"/>
        <v>No</v>
      </c>
      <c r="M56" s="2">
        <f t="shared" si="2"/>
        <v>0</v>
      </c>
    </row>
    <row r="57" spans="1:13" x14ac:dyDescent="0.3">
      <c r="A57" s="5" t="s">
        <v>2686</v>
      </c>
      <c r="B57" s="5" t="s">
        <v>147</v>
      </c>
      <c r="C57" s="5" t="s">
        <v>2606</v>
      </c>
      <c r="D57" s="6">
        <v>45665</v>
      </c>
      <c r="E57" s="6">
        <v>45670</v>
      </c>
      <c r="F57" s="6">
        <v>45673</v>
      </c>
      <c r="G57" s="5" t="s">
        <v>2631</v>
      </c>
      <c r="H57" s="5">
        <v>39</v>
      </c>
      <c r="I57" s="5">
        <f>IFERROR(INDEX(Raw_Orders!H57:H2485,MATCH(B57,Raw_Orders!A57:A2485,0)),0)</f>
        <v>43</v>
      </c>
      <c r="J57" s="5" t="str">
        <f t="shared" si="0"/>
        <v>No</v>
      </c>
      <c r="K57" s="5" t="str">
        <f t="shared" si="1"/>
        <v>N0</v>
      </c>
      <c r="L57" s="5" t="str">
        <f t="shared" si="3"/>
        <v>No</v>
      </c>
      <c r="M57" s="5">
        <f t="shared" si="2"/>
        <v>0</v>
      </c>
    </row>
    <row r="58" spans="1:13" x14ac:dyDescent="0.3">
      <c r="A58" s="2" t="s">
        <v>2687</v>
      </c>
      <c r="B58" s="2" t="s">
        <v>148</v>
      </c>
      <c r="C58" s="2" t="s">
        <v>2608</v>
      </c>
      <c r="D58" s="3">
        <v>45666</v>
      </c>
      <c r="E58" s="3">
        <v>45674</v>
      </c>
      <c r="F58" s="3">
        <v>45679</v>
      </c>
      <c r="G58" s="2" t="s">
        <v>2641</v>
      </c>
      <c r="H58" s="2">
        <v>4</v>
      </c>
      <c r="I58" s="2">
        <f>IFERROR(INDEX(Raw_Orders!H58:H2486,MATCH(B58,Raw_Orders!A58:A2486,0)),0)</f>
        <v>4</v>
      </c>
      <c r="J58" s="2" t="str">
        <f t="shared" si="0"/>
        <v>No</v>
      </c>
      <c r="K58" s="2" t="str">
        <f t="shared" si="1"/>
        <v>Yes</v>
      </c>
      <c r="L58" s="2" t="str">
        <f t="shared" si="3"/>
        <v>No</v>
      </c>
      <c r="M58" s="2">
        <f t="shared" si="2"/>
        <v>0</v>
      </c>
    </row>
    <row r="59" spans="1:13" x14ac:dyDescent="0.3">
      <c r="A59" s="5" t="s">
        <v>2688</v>
      </c>
      <c r="B59" s="5" t="s">
        <v>149</v>
      </c>
      <c r="C59" s="5" t="s">
        <v>2611</v>
      </c>
      <c r="D59" s="6">
        <v>45668</v>
      </c>
      <c r="E59" s="6">
        <v>45669</v>
      </c>
      <c r="F59" s="6">
        <v>45679</v>
      </c>
      <c r="G59" s="5" t="s">
        <v>2627</v>
      </c>
      <c r="H59" s="5">
        <v>41</v>
      </c>
      <c r="I59" s="5">
        <f>IFERROR(INDEX(Raw_Orders!H59:H2487,MATCH(B59,Raw_Orders!A59:A2487,0)),0)</f>
        <v>41</v>
      </c>
      <c r="J59" s="5" t="str">
        <f t="shared" si="0"/>
        <v>No</v>
      </c>
      <c r="K59" s="5" t="str">
        <f t="shared" si="1"/>
        <v>Yes</v>
      </c>
      <c r="L59" s="5" t="str">
        <f t="shared" si="3"/>
        <v>No</v>
      </c>
      <c r="M59" s="5">
        <f t="shared" si="2"/>
        <v>0</v>
      </c>
    </row>
    <row r="60" spans="1:13" x14ac:dyDescent="0.3">
      <c r="A60" s="2" t="s">
        <v>2689</v>
      </c>
      <c r="B60" s="2" t="s">
        <v>151</v>
      </c>
      <c r="C60" s="2" t="s">
        <v>2601</v>
      </c>
      <c r="D60" s="3">
        <v>45667</v>
      </c>
      <c r="E60" s="3">
        <v>45675</v>
      </c>
      <c r="F60" s="3">
        <v>45674</v>
      </c>
      <c r="G60" s="2" t="s">
        <v>2627</v>
      </c>
      <c r="H60" s="2">
        <v>6</v>
      </c>
      <c r="I60" s="2">
        <f>IFERROR(INDEX(Raw_Orders!H60:H2488,MATCH(B60,Raw_Orders!A60:A2488,0)),0)</f>
        <v>6</v>
      </c>
      <c r="J60" s="2" t="str">
        <f t="shared" si="0"/>
        <v>Yes</v>
      </c>
      <c r="K60" s="2" t="str">
        <f t="shared" si="1"/>
        <v>Yes</v>
      </c>
      <c r="L60" s="2" t="str">
        <f t="shared" si="3"/>
        <v>Yes</v>
      </c>
      <c r="M60" s="2">
        <f t="shared" si="2"/>
        <v>1</v>
      </c>
    </row>
    <row r="61" spans="1:13" x14ac:dyDescent="0.3">
      <c r="A61" s="5" t="s">
        <v>2690</v>
      </c>
      <c r="B61" s="5" t="s">
        <v>153</v>
      </c>
      <c r="C61" s="5" t="s">
        <v>2601</v>
      </c>
      <c r="D61" s="6">
        <v>45666</v>
      </c>
      <c r="E61" s="6">
        <v>45676</v>
      </c>
      <c r="F61" s="6">
        <v>45671</v>
      </c>
      <c r="G61" s="5" t="s">
        <v>2627</v>
      </c>
      <c r="H61" s="5">
        <v>20</v>
      </c>
      <c r="I61" s="5">
        <f>IFERROR(INDEX(Raw_Orders!H61:H2489,MATCH(B61,Raw_Orders!A61:A2489,0)),0)</f>
        <v>20</v>
      </c>
      <c r="J61" s="5" t="str">
        <f t="shared" si="0"/>
        <v>Yes</v>
      </c>
      <c r="K61" s="5" t="str">
        <f t="shared" si="1"/>
        <v>Yes</v>
      </c>
      <c r="L61" s="5" t="str">
        <f t="shared" si="3"/>
        <v>Yes</v>
      </c>
      <c r="M61" s="5">
        <f t="shared" si="2"/>
        <v>1</v>
      </c>
    </row>
    <row r="62" spans="1:13" x14ac:dyDescent="0.3">
      <c r="A62" s="2" t="s">
        <v>2691</v>
      </c>
      <c r="B62" s="2" t="s">
        <v>155</v>
      </c>
      <c r="C62" s="2" t="s">
        <v>2604</v>
      </c>
      <c r="D62" s="3">
        <v>45668</v>
      </c>
      <c r="E62" s="3">
        <v>45671</v>
      </c>
      <c r="F62" s="3">
        <v>45672</v>
      </c>
      <c r="G62" s="2" t="s">
        <v>2633</v>
      </c>
      <c r="H62" s="2">
        <v>11</v>
      </c>
      <c r="I62" s="2">
        <f>IFERROR(INDEX(Raw_Orders!H62:H2490,MATCH(B62,Raw_Orders!A62:A2490,0)),0)</f>
        <v>11</v>
      </c>
      <c r="J62" s="2" t="str">
        <f t="shared" si="0"/>
        <v>No</v>
      </c>
      <c r="K62" s="2" t="str">
        <f t="shared" si="1"/>
        <v>Yes</v>
      </c>
      <c r="L62" s="2" t="str">
        <f t="shared" si="3"/>
        <v>No</v>
      </c>
      <c r="M62" s="2">
        <f t="shared" si="2"/>
        <v>0</v>
      </c>
    </row>
    <row r="63" spans="1:13" x14ac:dyDescent="0.3">
      <c r="A63" s="5" t="s">
        <v>2692</v>
      </c>
      <c r="B63" s="5" t="s">
        <v>157</v>
      </c>
      <c r="C63" s="5" t="s">
        <v>2608</v>
      </c>
      <c r="D63" s="6">
        <v>45668</v>
      </c>
      <c r="E63" s="6">
        <v>45675</v>
      </c>
      <c r="F63" s="6">
        <v>45681</v>
      </c>
      <c r="G63" s="5" t="s">
        <v>2633</v>
      </c>
      <c r="H63" s="5">
        <v>17</v>
      </c>
      <c r="I63" s="5">
        <f>IFERROR(INDEX(Raw_Orders!H63:H2491,MATCH(B63,Raw_Orders!A63:A2491,0)),0)</f>
        <v>17</v>
      </c>
      <c r="J63" s="5" t="str">
        <f t="shared" si="0"/>
        <v>No</v>
      </c>
      <c r="K63" s="5" t="str">
        <f t="shared" si="1"/>
        <v>Yes</v>
      </c>
      <c r="L63" s="5" t="str">
        <f t="shared" si="3"/>
        <v>No</v>
      </c>
      <c r="M63" s="5">
        <f t="shared" si="2"/>
        <v>0</v>
      </c>
    </row>
    <row r="64" spans="1:13" x14ac:dyDescent="0.3">
      <c r="A64" s="2" t="s">
        <v>2693</v>
      </c>
      <c r="B64" s="2" t="s">
        <v>159</v>
      </c>
      <c r="C64" s="2" t="s">
        <v>2608</v>
      </c>
      <c r="D64" s="3">
        <v>45666</v>
      </c>
      <c r="E64" s="3">
        <v>45676</v>
      </c>
      <c r="F64" s="3">
        <v>45681</v>
      </c>
      <c r="G64" s="2" t="s">
        <v>2631</v>
      </c>
      <c r="H64" s="2">
        <v>6</v>
      </c>
      <c r="I64" s="2">
        <f>IFERROR(INDEX(Raw_Orders!H64:H2492,MATCH(B64,Raw_Orders!A64:A2492,0)),0)</f>
        <v>6</v>
      </c>
      <c r="J64" s="2" t="str">
        <f t="shared" si="0"/>
        <v>No</v>
      </c>
      <c r="K64" s="2" t="str">
        <f t="shared" si="1"/>
        <v>Yes</v>
      </c>
      <c r="L64" s="2" t="str">
        <f t="shared" si="3"/>
        <v>No</v>
      </c>
      <c r="M64" s="2">
        <f t="shared" si="2"/>
        <v>0</v>
      </c>
    </row>
    <row r="65" spans="1:13" x14ac:dyDescent="0.3">
      <c r="A65" s="5" t="s">
        <v>2694</v>
      </c>
      <c r="B65" s="5" t="s">
        <v>160</v>
      </c>
      <c r="C65" s="5" t="s">
        <v>2611</v>
      </c>
      <c r="D65" s="6">
        <v>45669</v>
      </c>
      <c r="E65" s="6">
        <v>45676</v>
      </c>
      <c r="F65" s="6">
        <v>45680</v>
      </c>
      <c r="G65" s="5" t="s">
        <v>2631</v>
      </c>
      <c r="H65" s="5">
        <v>42</v>
      </c>
      <c r="I65" s="5">
        <f>IFERROR(INDEX(Raw_Orders!H65:H2493,MATCH(B65,Raw_Orders!A65:A2493,0)),0)</f>
        <v>43</v>
      </c>
      <c r="J65" s="5" t="str">
        <f t="shared" si="0"/>
        <v>No</v>
      </c>
      <c r="K65" s="5" t="str">
        <f t="shared" si="1"/>
        <v>N0</v>
      </c>
      <c r="L65" s="5" t="str">
        <f t="shared" si="3"/>
        <v>No</v>
      </c>
      <c r="M65" s="5">
        <f t="shared" si="2"/>
        <v>0</v>
      </c>
    </row>
    <row r="66" spans="1:13" x14ac:dyDescent="0.3">
      <c r="A66" s="2" t="s">
        <v>2695</v>
      </c>
      <c r="B66" s="2" t="s">
        <v>161</v>
      </c>
      <c r="C66" s="2" t="s">
        <v>2601</v>
      </c>
      <c r="D66" s="3">
        <v>45667</v>
      </c>
      <c r="E66" s="3">
        <v>45671</v>
      </c>
      <c r="F66" s="3">
        <v>45673</v>
      </c>
      <c r="G66" s="2" t="s">
        <v>2629</v>
      </c>
      <c r="H66" s="2">
        <v>13</v>
      </c>
      <c r="I66" s="2">
        <f>IFERROR(INDEX(Raw_Orders!H66:H2494,MATCH(B66,Raw_Orders!A66:A2494,0)),0)</f>
        <v>17</v>
      </c>
      <c r="J66" s="2" t="str">
        <f t="shared" si="0"/>
        <v>No</v>
      </c>
      <c r="K66" s="2" t="str">
        <f t="shared" si="1"/>
        <v>N0</v>
      </c>
      <c r="L66" s="2" t="str">
        <f t="shared" si="3"/>
        <v>No</v>
      </c>
      <c r="M66" s="2">
        <f t="shared" si="2"/>
        <v>0</v>
      </c>
    </row>
    <row r="67" spans="1:13" x14ac:dyDescent="0.3">
      <c r="A67" s="5" t="s">
        <v>2696</v>
      </c>
      <c r="B67" s="5" t="s">
        <v>162</v>
      </c>
      <c r="C67" s="5" t="s">
        <v>2604</v>
      </c>
      <c r="D67" s="6">
        <v>45667</v>
      </c>
      <c r="E67" s="6">
        <v>45670</v>
      </c>
      <c r="F67" s="6">
        <v>45671</v>
      </c>
      <c r="G67" s="5" t="s">
        <v>2641</v>
      </c>
      <c r="H67" s="5">
        <v>12</v>
      </c>
      <c r="I67" s="5">
        <f>IFERROR(INDEX(Raw_Orders!H67:H2495,MATCH(B67,Raw_Orders!A67:A2495,0)),0)</f>
        <v>12</v>
      </c>
      <c r="J67" s="5" t="str">
        <f t="shared" ref="J67:J130" si="4">IF(E67&gt;=F67,"Yes","No")</f>
        <v>No</v>
      </c>
      <c r="K67" s="5" t="str">
        <f t="shared" ref="K67:K130" si="5">IF(H67&gt;=I67,"Yes","N0")</f>
        <v>Yes</v>
      </c>
      <c r="L67" s="5" t="str">
        <f t="shared" si="3"/>
        <v>No</v>
      </c>
      <c r="M67" s="5">
        <f t="shared" ref="M67:M130" si="6">IF(L67="Yes",1,0)</f>
        <v>0</v>
      </c>
    </row>
    <row r="68" spans="1:13" x14ac:dyDescent="0.3">
      <c r="A68" s="2" t="s">
        <v>2697</v>
      </c>
      <c r="B68" s="2" t="s">
        <v>163</v>
      </c>
      <c r="C68" s="2" t="s">
        <v>2604</v>
      </c>
      <c r="D68" s="3">
        <v>45668</v>
      </c>
      <c r="E68" s="3">
        <v>45673</v>
      </c>
      <c r="F68" s="3">
        <v>45676</v>
      </c>
      <c r="G68" s="2" t="s">
        <v>2633</v>
      </c>
      <c r="H68" s="2">
        <v>31</v>
      </c>
      <c r="I68" s="2">
        <f>IFERROR(INDEX(Raw_Orders!H68:H2496,MATCH(B68,Raw_Orders!A68:A2496,0)),0)</f>
        <v>33</v>
      </c>
      <c r="J68" s="2" t="str">
        <f t="shared" si="4"/>
        <v>No</v>
      </c>
      <c r="K68" s="2" t="str">
        <f t="shared" si="5"/>
        <v>N0</v>
      </c>
      <c r="L68" s="2" t="str">
        <f t="shared" ref="L68:L131" si="7">IF(AND(J68="Yes",K68="Yes"),"Yes","No")</f>
        <v>No</v>
      </c>
      <c r="M68" s="2">
        <f t="shared" si="6"/>
        <v>0</v>
      </c>
    </row>
    <row r="69" spans="1:13" x14ac:dyDescent="0.3">
      <c r="A69" s="5" t="s">
        <v>2698</v>
      </c>
      <c r="B69" s="5" t="s">
        <v>164</v>
      </c>
      <c r="C69" s="5" t="s">
        <v>2606</v>
      </c>
      <c r="D69" s="6">
        <v>45668</v>
      </c>
      <c r="E69" s="6">
        <v>45671</v>
      </c>
      <c r="F69" s="6">
        <v>45674</v>
      </c>
      <c r="G69" s="5" t="s">
        <v>2631</v>
      </c>
      <c r="H69" s="5">
        <v>32</v>
      </c>
      <c r="I69" s="5">
        <f>IFERROR(INDEX(Raw_Orders!H69:H2497,MATCH(B69,Raw_Orders!A69:A2497,0)),0)</f>
        <v>39</v>
      </c>
      <c r="J69" s="5" t="str">
        <f t="shared" si="4"/>
        <v>No</v>
      </c>
      <c r="K69" s="5" t="str">
        <f t="shared" si="5"/>
        <v>N0</v>
      </c>
      <c r="L69" s="5" t="str">
        <f t="shared" si="7"/>
        <v>No</v>
      </c>
      <c r="M69" s="5">
        <f t="shared" si="6"/>
        <v>0</v>
      </c>
    </row>
    <row r="70" spans="1:13" x14ac:dyDescent="0.3">
      <c r="A70" s="2" t="s">
        <v>2699</v>
      </c>
      <c r="B70" s="2" t="s">
        <v>165</v>
      </c>
      <c r="C70" s="2" t="s">
        <v>2606</v>
      </c>
      <c r="D70" s="3">
        <v>45667</v>
      </c>
      <c r="E70" s="3">
        <v>45676</v>
      </c>
      <c r="F70" s="3">
        <v>45673</v>
      </c>
      <c r="G70" s="2" t="s">
        <v>2633</v>
      </c>
      <c r="H70" s="2">
        <v>34</v>
      </c>
      <c r="I70" s="2">
        <f>IFERROR(INDEX(Raw_Orders!H70:H2498,MATCH(B70,Raw_Orders!A70:A2498,0)),0)</f>
        <v>34</v>
      </c>
      <c r="J70" s="2" t="str">
        <f t="shared" si="4"/>
        <v>Yes</v>
      </c>
      <c r="K70" s="2" t="str">
        <f t="shared" si="5"/>
        <v>Yes</v>
      </c>
      <c r="L70" s="2" t="str">
        <f t="shared" si="7"/>
        <v>Yes</v>
      </c>
      <c r="M70" s="2">
        <f t="shared" si="6"/>
        <v>1</v>
      </c>
    </row>
    <row r="71" spans="1:13" x14ac:dyDescent="0.3">
      <c r="A71" s="5" t="s">
        <v>2700</v>
      </c>
      <c r="B71" s="5" t="s">
        <v>167</v>
      </c>
      <c r="C71" s="5" t="s">
        <v>2608</v>
      </c>
      <c r="D71" s="6">
        <v>45669</v>
      </c>
      <c r="E71" s="6">
        <v>45673</v>
      </c>
      <c r="F71" s="6">
        <v>45681</v>
      </c>
      <c r="G71" s="5" t="s">
        <v>2629</v>
      </c>
      <c r="H71" s="5">
        <v>27</v>
      </c>
      <c r="I71" s="5">
        <f>IFERROR(INDEX(Raw_Orders!H71:H2499,MATCH(B71,Raw_Orders!A71:A2499,0)),0)</f>
        <v>27</v>
      </c>
      <c r="J71" s="5" t="str">
        <f t="shared" si="4"/>
        <v>No</v>
      </c>
      <c r="K71" s="5" t="str">
        <f t="shared" si="5"/>
        <v>Yes</v>
      </c>
      <c r="L71" s="5" t="str">
        <f t="shared" si="7"/>
        <v>No</v>
      </c>
      <c r="M71" s="5">
        <f t="shared" si="6"/>
        <v>0</v>
      </c>
    </row>
    <row r="72" spans="1:13" x14ac:dyDescent="0.3">
      <c r="A72" s="2" t="s">
        <v>2701</v>
      </c>
      <c r="B72" s="2" t="s">
        <v>168</v>
      </c>
      <c r="C72" s="2" t="s">
        <v>2598</v>
      </c>
      <c r="D72" s="3">
        <v>45670</v>
      </c>
      <c r="E72" s="3">
        <v>45676</v>
      </c>
      <c r="F72" s="3">
        <v>45683</v>
      </c>
      <c r="G72" s="2" t="s">
        <v>2631</v>
      </c>
      <c r="H72" s="2">
        <v>53</v>
      </c>
      <c r="I72" s="2">
        <f>IFERROR(INDEX(Raw_Orders!H72:H2500,MATCH(B72,Raw_Orders!A72:A2500,0)),0)</f>
        <v>53</v>
      </c>
      <c r="J72" s="2" t="str">
        <f t="shared" si="4"/>
        <v>No</v>
      </c>
      <c r="K72" s="2" t="str">
        <f t="shared" si="5"/>
        <v>Yes</v>
      </c>
      <c r="L72" s="2" t="str">
        <f t="shared" si="7"/>
        <v>No</v>
      </c>
      <c r="M72" s="2">
        <f t="shared" si="6"/>
        <v>0</v>
      </c>
    </row>
    <row r="73" spans="1:13" x14ac:dyDescent="0.3">
      <c r="A73" s="5" t="s">
        <v>2702</v>
      </c>
      <c r="B73" s="5" t="s">
        <v>169</v>
      </c>
      <c r="C73" s="5" t="s">
        <v>2598</v>
      </c>
      <c r="D73" s="6">
        <v>45668</v>
      </c>
      <c r="E73" s="6">
        <v>45676</v>
      </c>
      <c r="F73" s="6">
        <v>45683</v>
      </c>
      <c r="G73" s="5" t="s">
        <v>2629</v>
      </c>
      <c r="H73" s="5">
        <v>33</v>
      </c>
      <c r="I73" s="5">
        <f>IFERROR(INDEX(Raw_Orders!H73:H2501,MATCH(B73,Raw_Orders!A73:A2501,0)),0)</f>
        <v>33</v>
      </c>
      <c r="J73" s="5" t="str">
        <f t="shared" si="4"/>
        <v>No</v>
      </c>
      <c r="K73" s="5" t="str">
        <f t="shared" si="5"/>
        <v>Yes</v>
      </c>
      <c r="L73" s="5" t="str">
        <f t="shared" si="7"/>
        <v>No</v>
      </c>
      <c r="M73" s="5">
        <f t="shared" si="6"/>
        <v>0</v>
      </c>
    </row>
    <row r="74" spans="1:13" x14ac:dyDescent="0.3">
      <c r="A74" s="2" t="s">
        <v>2703</v>
      </c>
      <c r="B74" s="2" t="s">
        <v>171</v>
      </c>
      <c r="C74" s="2" t="s">
        <v>2614</v>
      </c>
      <c r="D74" s="3">
        <v>45669</v>
      </c>
      <c r="E74" s="3">
        <v>45678</v>
      </c>
      <c r="F74" s="3">
        <v>45685</v>
      </c>
      <c r="G74" s="2" t="s">
        <v>2631</v>
      </c>
      <c r="H74" s="2">
        <v>40</v>
      </c>
      <c r="I74" s="2">
        <f>IFERROR(INDEX(Raw_Orders!H74:H2502,MATCH(B74,Raw_Orders!A74:A2502,0)),0)</f>
        <v>40</v>
      </c>
      <c r="J74" s="2" t="str">
        <f t="shared" si="4"/>
        <v>No</v>
      </c>
      <c r="K74" s="2" t="str">
        <f t="shared" si="5"/>
        <v>Yes</v>
      </c>
      <c r="L74" s="2" t="str">
        <f t="shared" si="7"/>
        <v>No</v>
      </c>
      <c r="M74" s="2">
        <f t="shared" si="6"/>
        <v>0</v>
      </c>
    </row>
    <row r="75" spans="1:13" x14ac:dyDescent="0.3">
      <c r="A75" s="5" t="s">
        <v>2704</v>
      </c>
      <c r="B75" s="5" t="s">
        <v>173</v>
      </c>
      <c r="C75" s="5" t="s">
        <v>2601</v>
      </c>
      <c r="D75" s="6">
        <v>45670</v>
      </c>
      <c r="E75" s="6">
        <v>45675</v>
      </c>
      <c r="F75" s="6">
        <v>45675</v>
      </c>
      <c r="G75" s="5" t="s">
        <v>2631</v>
      </c>
      <c r="H75" s="5">
        <v>12</v>
      </c>
      <c r="I75" s="5">
        <f>IFERROR(INDEX(Raw_Orders!H75:H2503,MATCH(B75,Raw_Orders!A75:A2503,0)),0)</f>
        <v>12</v>
      </c>
      <c r="J75" s="5" t="str">
        <f t="shared" si="4"/>
        <v>Yes</v>
      </c>
      <c r="K75" s="5" t="str">
        <f t="shared" si="5"/>
        <v>Yes</v>
      </c>
      <c r="L75" s="5" t="str">
        <f t="shared" si="7"/>
        <v>Yes</v>
      </c>
      <c r="M75" s="5">
        <f t="shared" si="6"/>
        <v>1</v>
      </c>
    </row>
    <row r="76" spans="1:13" x14ac:dyDescent="0.3">
      <c r="A76" s="2" t="s">
        <v>2705</v>
      </c>
      <c r="B76" s="2" t="s">
        <v>174</v>
      </c>
      <c r="C76" s="2" t="s">
        <v>2606</v>
      </c>
      <c r="D76" s="3">
        <v>45669</v>
      </c>
      <c r="E76" s="3">
        <v>45675</v>
      </c>
      <c r="F76" s="3">
        <v>45675</v>
      </c>
      <c r="G76" s="2" t="s">
        <v>2627</v>
      </c>
      <c r="H76" s="2">
        <v>39</v>
      </c>
      <c r="I76" s="2">
        <f>IFERROR(INDEX(Raw_Orders!H76:H2504,MATCH(B76,Raw_Orders!A76:A2504,0)),0)</f>
        <v>39</v>
      </c>
      <c r="J76" s="2" t="str">
        <f t="shared" si="4"/>
        <v>Yes</v>
      </c>
      <c r="K76" s="2" t="str">
        <f t="shared" si="5"/>
        <v>Yes</v>
      </c>
      <c r="L76" s="2" t="str">
        <f t="shared" si="7"/>
        <v>Yes</v>
      </c>
      <c r="M76" s="2">
        <f t="shared" si="6"/>
        <v>1</v>
      </c>
    </row>
    <row r="77" spans="1:13" x14ac:dyDescent="0.3">
      <c r="A77" s="5" t="s">
        <v>2706</v>
      </c>
      <c r="B77" s="5" t="s">
        <v>176</v>
      </c>
      <c r="C77" s="5" t="s">
        <v>2608</v>
      </c>
      <c r="D77" s="6">
        <v>45668</v>
      </c>
      <c r="E77" s="6">
        <v>45678</v>
      </c>
      <c r="F77" s="6">
        <v>45680</v>
      </c>
      <c r="G77" s="5" t="s">
        <v>2633</v>
      </c>
      <c r="H77" s="5">
        <v>11</v>
      </c>
      <c r="I77" s="5">
        <f>IFERROR(INDEX(Raw_Orders!H77:H2505,MATCH(B77,Raw_Orders!A77:A2505,0)),0)</f>
        <v>11</v>
      </c>
      <c r="J77" s="5" t="str">
        <f t="shared" si="4"/>
        <v>No</v>
      </c>
      <c r="K77" s="5" t="str">
        <f t="shared" si="5"/>
        <v>Yes</v>
      </c>
      <c r="L77" s="5" t="str">
        <f t="shared" si="7"/>
        <v>No</v>
      </c>
      <c r="M77" s="5">
        <f t="shared" si="6"/>
        <v>0</v>
      </c>
    </row>
    <row r="78" spans="1:13" x14ac:dyDescent="0.3">
      <c r="A78" s="2" t="s">
        <v>2707</v>
      </c>
      <c r="B78" s="2" t="s">
        <v>177</v>
      </c>
      <c r="C78" s="2" t="s">
        <v>2598</v>
      </c>
      <c r="D78" s="3">
        <v>45671</v>
      </c>
      <c r="E78" s="3">
        <v>45676</v>
      </c>
      <c r="F78" s="3">
        <v>45686</v>
      </c>
      <c r="G78" s="2" t="s">
        <v>2627</v>
      </c>
      <c r="H78" s="2">
        <v>33</v>
      </c>
      <c r="I78" s="2">
        <f>IFERROR(INDEX(Raw_Orders!H78:H2506,MATCH(B78,Raw_Orders!A78:A2506,0)),0)</f>
        <v>33</v>
      </c>
      <c r="J78" s="2" t="str">
        <f t="shared" si="4"/>
        <v>No</v>
      </c>
      <c r="K78" s="2" t="str">
        <f t="shared" si="5"/>
        <v>Yes</v>
      </c>
      <c r="L78" s="2" t="str">
        <f t="shared" si="7"/>
        <v>No</v>
      </c>
      <c r="M78" s="2">
        <f t="shared" si="6"/>
        <v>0</v>
      </c>
    </row>
    <row r="79" spans="1:13" x14ac:dyDescent="0.3">
      <c r="A79" s="5" t="s">
        <v>2708</v>
      </c>
      <c r="B79" s="5" t="s">
        <v>179</v>
      </c>
      <c r="C79" s="5" t="s">
        <v>2598</v>
      </c>
      <c r="D79" s="6">
        <v>45671</v>
      </c>
      <c r="E79" s="6">
        <v>45675</v>
      </c>
      <c r="F79" s="6">
        <v>45684</v>
      </c>
      <c r="G79" s="5" t="s">
        <v>2629</v>
      </c>
      <c r="H79" s="5">
        <v>45</v>
      </c>
      <c r="I79" s="5">
        <f>IFERROR(INDEX(Raw_Orders!H79:H2507,MATCH(B79,Raw_Orders!A79:A2507,0)),0)</f>
        <v>45</v>
      </c>
      <c r="J79" s="5" t="str">
        <f t="shared" si="4"/>
        <v>No</v>
      </c>
      <c r="K79" s="5" t="str">
        <f t="shared" si="5"/>
        <v>Yes</v>
      </c>
      <c r="L79" s="5" t="str">
        <f t="shared" si="7"/>
        <v>No</v>
      </c>
      <c r="M79" s="5">
        <f t="shared" si="6"/>
        <v>0</v>
      </c>
    </row>
    <row r="80" spans="1:13" x14ac:dyDescent="0.3">
      <c r="A80" s="2" t="s">
        <v>2709</v>
      </c>
      <c r="B80" s="2" t="s">
        <v>181</v>
      </c>
      <c r="C80" s="2" t="s">
        <v>2606</v>
      </c>
      <c r="D80" s="3">
        <v>45670</v>
      </c>
      <c r="E80" s="3">
        <v>45676</v>
      </c>
      <c r="F80" s="3">
        <v>45680</v>
      </c>
      <c r="G80" s="2" t="s">
        <v>2629</v>
      </c>
      <c r="H80" s="2">
        <v>39</v>
      </c>
      <c r="I80" s="2">
        <f>IFERROR(INDEX(Raw_Orders!H80:H2508,MATCH(B80,Raw_Orders!A80:A2508,0)),0)</f>
        <v>42</v>
      </c>
      <c r="J80" s="2" t="str">
        <f t="shared" si="4"/>
        <v>No</v>
      </c>
      <c r="K80" s="2" t="str">
        <f t="shared" si="5"/>
        <v>N0</v>
      </c>
      <c r="L80" s="2" t="str">
        <f t="shared" si="7"/>
        <v>No</v>
      </c>
      <c r="M80" s="2">
        <f t="shared" si="6"/>
        <v>0</v>
      </c>
    </row>
    <row r="81" spans="1:13" x14ac:dyDescent="0.3">
      <c r="A81" s="5" t="s">
        <v>2710</v>
      </c>
      <c r="B81" s="5" t="s">
        <v>182</v>
      </c>
      <c r="C81" s="5" t="s">
        <v>2608</v>
      </c>
      <c r="D81" s="6">
        <v>45669</v>
      </c>
      <c r="E81" s="6">
        <v>45677</v>
      </c>
      <c r="F81" s="6">
        <v>45686</v>
      </c>
      <c r="G81" s="5" t="s">
        <v>2641</v>
      </c>
      <c r="H81" s="5">
        <v>39</v>
      </c>
      <c r="I81" s="5">
        <f>IFERROR(INDEX(Raw_Orders!H81:H2509,MATCH(B81,Raw_Orders!A81:A2509,0)),0)</f>
        <v>39</v>
      </c>
      <c r="J81" s="5" t="str">
        <f t="shared" si="4"/>
        <v>No</v>
      </c>
      <c r="K81" s="5" t="str">
        <f t="shared" si="5"/>
        <v>Yes</v>
      </c>
      <c r="L81" s="5" t="str">
        <f t="shared" si="7"/>
        <v>No</v>
      </c>
      <c r="M81" s="5">
        <f t="shared" si="6"/>
        <v>0</v>
      </c>
    </row>
    <row r="82" spans="1:13" x14ac:dyDescent="0.3">
      <c r="A82" s="2" t="s">
        <v>2711</v>
      </c>
      <c r="B82" s="2" t="s">
        <v>184</v>
      </c>
      <c r="C82" s="2" t="s">
        <v>2608</v>
      </c>
      <c r="D82" s="3">
        <v>45669</v>
      </c>
      <c r="E82" s="3">
        <v>45675</v>
      </c>
      <c r="F82" s="3">
        <v>45682</v>
      </c>
      <c r="G82" s="2" t="s">
        <v>2627</v>
      </c>
      <c r="H82" s="2">
        <v>6</v>
      </c>
      <c r="I82" s="2">
        <f>IFERROR(INDEX(Raw_Orders!H82:H2510,MATCH(B82,Raw_Orders!A82:A2510,0)),0)</f>
        <v>6</v>
      </c>
      <c r="J82" s="2" t="str">
        <f t="shared" si="4"/>
        <v>No</v>
      </c>
      <c r="K82" s="2" t="str">
        <f t="shared" si="5"/>
        <v>Yes</v>
      </c>
      <c r="L82" s="2" t="str">
        <f t="shared" si="7"/>
        <v>No</v>
      </c>
      <c r="M82" s="2">
        <f t="shared" si="6"/>
        <v>0</v>
      </c>
    </row>
    <row r="83" spans="1:13" x14ac:dyDescent="0.3">
      <c r="A83" s="5" t="s">
        <v>2712</v>
      </c>
      <c r="B83" s="5" t="s">
        <v>186</v>
      </c>
      <c r="C83" s="5" t="s">
        <v>2611</v>
      </c>
      <c r="D83" s="6">
        <v>45671</v>
      </c>
      <c r="E83" s="6">
        <v>45680</v>
      </c>
      <c r="F83" s="6">
        <v>45677</v>
      </c>
      <c r="G83" s="5" t="s">
        <v>2627</v>
      </c>
      <c r="H83" s="5">
        <v>40</v>
      </c>
      <c r="I83" s="5">
        <f>IFERROR(INDEX(Raw_Orders!H83:H2511,MATCH(B83,Raw_Orders!A83:A2511,0)),0)</f>
        <v>41</v>
      </c>
      <c r="J83" s="5" t="str">
        <f t="shared" si="4"/>
        <v>Yes</v>
      </c>
      <c r="K83" s="5" t="str">
        <f t="shared" si="5"/>
        <v>N0</v>
      </c>
      <c r="L83" s="5" t="str">
        <f t="shared" si="7"/>
        <v>No</v>
      </c>
      <c r="M83" s="5">
        <f t="shared" si="6"/>
        <v>0</v>
      </c>
    </row>
    <row r="84" spans="1:13" x14ac:dyDescent="0.3">
      <c r="A84" s="2" t="s">
        <v>2713</v>
      </c>
      <c r="B84" s="2" t="s">
        <v>187</v>
      </c>
      <c r="C84" s="2" t="s">
        <v>2601</v>
      </c>
      <c r="D84" s="3">
        <v>45672</v>
      </c>
      <c r="E84" s="3">
        <v>45675</v>
      </c>
      <c r="F84" s="3">
        <v>45678</v>
      </c>
      <c r="G84" s="2" t="s">
        <v>2633</v>
      </c>
      <c r="H84" s="2">
        <v>11</v>
      </c>
      <c r="I84" s="2">
        <f>IFERROR(INDEX(Raw_Orders!H84:H2512,MATCH(B84,Raw_Orders!A84:A2512,0)),0)</f>
        <v>11</v>
      </c>
      <c r="J84" s="2" t="str">
        <f t="shared" si="4"/>
        <v>No</v>
      </c>
      <c r="K84" s="2" t="str">
        <f t="shared" si="5"/>
        <v>Yes</v>
      </c>
      <c r="L84" s="2" t="str">
        <f t="shared" si="7"/>
        <v>No</v>
      </c>
      <c r="M84" s="2">
        <f t="shared" si="6"/>
        <v>0</v>
      </c>
    </row>
    <row r="85" spans="1:13" x14ac:dyDescent="0.3">
      <c r="A85" s="5" t="s">
        <v>2714</v>
      </c>
      <c r="B85" s="5" t="s">
        <v>188</v>
      </c>
      <c r="C85" s="5" t="s">
        <v>2606</v>
      </c>
      <c r="D85" s="6">
        <v>45672</v>
      </c>
      <c r="E85" s="6">
        <v>45680</v>
      </c>
      <c r="F85" s="6">
        <v>45677</v>
      </c>
      <c r="G85" s="5" t="s">
        <v>2627</v>
      </c>
      <c r="H85" s="5">
        <v>47</v>
      </c>
      <c r="I85" s="5">
        <f>IFERROR(INDEX(Raw_Orders!H85:H2513,MATCH(B85,Raw_Orders!A85:A2513,0)),0)</f>
        <v>47</v>
      </c>
      <c r="J85" s="5" t="str">
        <f t="shared" si="4"/>
        <v>Yes</v>
      </c>
      <c r="K85" s="5" t="str">
        <f t="shared" si="5"/>
        <v>Yes</v>
      </c>
      <c r="L85" s="5" t="str">
        <f t="shared" si="7"/>
        <v>Yes</v>
      </c>
      <c r="M85" s="5">
        <f t="shared" si="6"/>
        <v>1</v>
      </c>
    </row>
    <row r="86" spans="1:13" x14ac:dyDescent="0.3">
      <c r="A86" s="2" t="s">
        <v>2715</v>
      </c>
      <c r="B86" s="2" t="s">
        <v>189</v>
      </c>
      <c r="C86" s="2" t="s">
        <v>2608</v>
      </c>
      <c r="D86" s="3">
        <v>45671</v>
      </c>
      <c r="E86" s="3">
        <v>45680</v>
      </c>
      <c r="F86" s="3">
        <v>45684</v>
      </c>
      <c r="G86" s="2" t="s">
        <v>2633</v>
      </c>
      <c r="H86" s="2">
        <v>27</v>
      </c>
      <c r="I86" s="2">
        <f>IFERROR(INDEX(Raw_Orders!H86:H2514,MATCH(B86,Raw_Orders!A86:A2514,0)),0)</f>
        <v>27</v>
      </c>
      <c r="J86" s="2" t="str">
        <f t="shared" si="4"/>
        <v>No</v>
      </c>
      <c r="K86" s="2" t="str">
        <f t="shared" si="5"/>
        <v>Yes</v>
      </c>
      <c r="L86" s="2" t="str">
        <f t="shared" si="7"/>
        <v>No</v>
      </c>
      <c r="M86" s="2">
        <f t="shared" si="6"/>
        <v>0</v>
      </c>
    </row>
    <row r="87" spans="1:13" x14ac:dyDescent="0.3">
      <c r="A87" s="5" t="s">
        <v>2716</v>
      </c>
      <c r="B87" s="5" t="s">
        <v>190</v>
      </c>
      <c r="C87" s="5" t="s">
        <v>2608</v>
      </c>
      <c r="D87" s="6">
        <v>45670</v>
      </c>
      <c r="E87" s="6">
        <v>45674</v>
      </c>
      <c r="F87" s="6">
        <v>45685</v>
      </c>
      <c r="G87" s="5" t="s">
        <v>2633</v>
      </c>
      <c r="H87" s="5">
        <v>6</v>
      </c>
      <c r="I87" s="5">
        <f>IFERROR(INDEX(Raw_Orders!H87:H2515,MATCH(B87,Raw_Orders!A87:A2515,0)),0)</f>
        <v>7</v>
      </c>
      <c r="J87" s="5" t="str">
        <f t="shared" si="4"/>
        <v>No</v>
      </c>
      <c r="K87" s="5" t="str">
        <f t="shared" si="5"/>
        <v>N0</v>
      </c>
      <c r="L87" s="5" t="str">
        <f t="shared" si="7"/>
        <v>No</v>
      </c>
      <c r="M87" s="5">
        <f t="shared" si="6"/>
        <v>0</v>
      </c>
    </row>
    <row r="88" spans="1:13" x14ac:dyDescent="0.3">
      <c r="A88" s="2" t="s">
        <v>2717</v>
      </c>
      <c r="B88" s="2" t="s">
        <v>192</v>
      </c>
      <c r="C88" s="2" t="s">
        <v>2608</v>
      </c>
      <c r="D88" s="3">
        <v>45670</v>
      </c>
      <c r="E88" s="3">
        <v>45674</v>
      </c>
      <c r="F88" s="3">
        <v>45684</v>
      </c>
      <c r="G88" s="2" t="s">
        <v>2627</v>
      </c>
      <c r="H88" s="2">
        <v>11</v>
      </c>
      <c r="I88" s="2">
        <f>IFERROR(INDEX(Raw_Orders!H88:H2516,MATCH(B88,Raw_Orders!A88:A2516,0)),0)</f>
        <v>11</v>
      </c>
      <c r="J88" s="2" t="str">
        <f t="shared" si="4"/>
        <v>No</v>
      </c>
      <c r="K88" s="2" t="str">
        <f t="shared" si="5"/>
        <v>Yes</v>
      </c>
      <c r="L88" s="2" t="str">
        <f t="shared" si="7"/>
        <v>No</v>
      </c>
      <c r="M88" s="2">
        <f t="shared" si="6"/>
        <v>0</v>
      </c>
    </row>
    <row r="89" spans="1:13" x14ac:dyDescent="0.3">
      <c r="A89" s="5" t="s">
        <v>2718</v>
      </c>
      <c r="B89" s="5" t="s">
        <v>193</v>
      </c>
      <c r="C89" s="5" t="s">
        <v>2611</v>
      </c>
      <c r="D89" s="6">
        <v>45672</v>
      </c>
      <c r="E89" s="6">
        <v>45677</v>
      </c>
      <c r="F89" s="6">
        <v>45680</v>
      </c>
      <c r="G89" s="5" t="s">
        <v>2629</v>
      </c>
      <c r="H89" s="5">
        <v>3</v>
      </c>
      <c r="I89" s="5">
        <f>IFERROR(INDEX(Raw_Orders!H89:H2517,MATCH(B89,Raw_Orders!A89:A2517,0)),0)</f>
        <v>4</v>
      </c>
      <c r="J89" s="5" t="str">
        <f t="shared" si="4"/>
        <v>No</v>
      </c>
      <c r="K89" s="5" t="str">
        <f t="shared" si="5"/>
        <v>N0</v>
      </c>
      <c r="L89" s="5" t="str">
        <f t="shared" si="7"/>
        <v>No</v>
      </c>
      <c r="M89" s="5">
        <f t="shared" si="6"/>
        <v>0</v>
      </c>
    </row>
    <row r="90" spans="1:13" x14ac:dyDescent="0.3">
      <c r="A90" s="2" t="s">
        <v>2719</v>
      </c>
      <c r="B90" s="2" t="s">
        <v>194</v>
      </c>
      <c r="C90" s="2" t="s">
        <v>2601</v>
      </c>
      <c r="D90" s="3">
        <v>45673</v>
      </c>
      <c r="E90" s="3">
        <v>45678</v>
      </c>
      <c r="F90" s="3">
        <v>45678</v>
      </c>
      <c r="G90" s="2" t="s">
        <v>2633</v>
      </c>
      <c r="H90" s="2">
        <v>19</v>
      </c>
      <c r="I90" s="2">
        <f>IFERROR(INDEX(Raw_Orders!H90:H2518,MATCH(B90,Raw_Orders!A90:A2518,0)),0)</f>
        <v>23</v>
      </c>
      <c r="J90" s="2" t="str">
        <f t="shared" si="4"/>
        <v>Yes</v>
      </c>
      <c r="K90" s="2" t="str">
        <f t="shared" si="5"/>
        <v>N0</v>
      </c>
      <c r="L90" s="2" t="str">
        <f t="shared" si="7"/>
        <v>No</v>
      </c>
      <c r="M90" s="2">
        <f t="shared" si="6"/>
        <v>0</v>
      </c>
    </row>
    <row r="91" spans="1:13" x14ac:dyDescent="0.3">
      <c r="A91" s="5" t="s">
        <v>2720</v>
      </c>
      <c r="B91" s="5" t="s">
        <v>196</v>
      </c>
      <c r="C91" s="5" t="s">
        <v>2604</v>
      </c>
      <c r="D91" s="6">
        <v>45671</v>
      </c>
      <c r="E91" s="6">
        <v>45677</v>
      </c>
      <c r="F91" s="6">
        <v>45675</v>
      </c>
      <c r="G91" s="5" t="s">
        <v>2627</v>
      </c>
      <c r="H91" s="5">
        <v>7</v>
      </c>
      <c r="I91" s="5">
        <f>IFERROR(INDEX(Raw_Orders!H91:H2519,MATCH(B91,Raw_Orders!A91:A2519,0)),0)</f>
        <v>7</v>
      </c>
      <c r="J91" s="5" t="str">
        <f t="shared" si="4"/>
        <v>Yes</v>
      </c>
      <c r="K91" s="5" t="str">
        <f t="shared" si="5"/>
        <v>Yes</v>
      </c>
      <c r="L91" s="5" t="str">
        <f t="shared" si="7"/>
        <v>Yes</v>
      </c>
      <c r="M91" s="5">
        <f t="shared" si="6"/>
        <v>1</v>
      </c>
    </row>
    <row r="92" spans="1:13" x14ac:dyDescent="0.3">
      <c r="A92" s="2" t="s">
        <v>2721</v>
      </c>
      <c r="B92" s="2" t="s">
        <v>197</v>
      </c>
      <c r="C92" s="2" t="s">
        <v>2604</v>
      </c>
      <c r="D92" s="3">
        <v>45672</v>
      </c>
      <c r="E92" s="3">
        <v>45674</v>
      </c>
      <c r="F92" s="3">
        <v>45677</v>
      </c>
      <c r="G92" s="2" t="s">
        <v>2629</v>
      </c>
      <c r="H92" s="2">
        <v>20</v>
      </c>
      <c r="I92" s="2">
        <f>IFERROR(INDEX(Raw_Orders!H92:H2520,MATCH(B92,Raw_Orders!A92:A2520,0)),0)</f>
        <v>20</v>
      </c>
      <c r="J92" s="2" t="str">
        <f t="shared" si="4"/>
        <v>No</v>
      </c>
      <c r="K92" s="2" t="str">
        <f t="shared" si="5"/>
        <v>Yes</v>
      </c>
      <c r="L92" s="2" t="str">
        <f t="shared" si="7"/>
        <v>No</v>
      </c>
      <c r="M92" s="2">
        <f t="shared" si="6"/>
        <v>0</v>
      </c>
    </row>
    <row r="93" spans="1:13" x14ac:dyDescent="0.3">
      <c r="A93" s="5" t="s">
        <v>2722</v>
      </c>
      <c r="B93" s="5" t="s">
        <v>199</v>
      </c>
      <c r="C93" s="5" t="s">
        <v>2606</v>
      </c>
      <c r="D93" s="6">
        <v>45672</v>
      </c>
      <c r="E93" s="6">
        <v>45678</v>
      </c>
      <c r="F93" s="6">
        <v>45680</v>
      </c>
      <c r="G93" s="5" t="s">
        <v>2629</v>
      </c>
      <c r="H93" s="5">
        <v>29</v>
      </c>
      <c r="I93" s="5">
        <f>IFERROR(INDEX(Raw_Orders!H93:H2521,MATCH(B93,Raw_Orders!A93:A2521,0)),0)</f>
        <v>29</v>
      </c>
      <c r="J93" s="5" t="str">
        <f t="shared" si="4"/>
        <v>No</v>
      </c>
      <c r="K93" s="5" t="str">
        <f t="shared" si="5"/>
        <v>Yes</v>
      </c>
      <c r="L93" s="5" t="str">
        <f t="shared" si="7"/>
        <v>No</v>
      </c>
      <c r="M93" s="5">
        <f t="shared" si="6"/>
        <v>0</v>
      </c>
    </row>
    <row r="94" spans="1:13" x14ac:dyDescent="0.3">
      <c r="A94" s="2" t="s">
        <v>2723</v>
      </c>
      <c r="B94" s="2" t="s">
        <v>200</v>
      </c>
      <c r="C94" s="2" t="s">
        <v>2601</v>
      </c>
      <c r="D94" s="3">
        <v>45674</v>
      </c>
      <c r="E94" s="3">
        <v>45679</v>
      </c>
      <c r="F94" s="3">
        <v>45679</v>
      </c>
      <c r="G94" s="2" t="s">
        <v>2627</v>
      </c>
      <c r="H94" s="2">
        <v>7</v>
      </c>
      <c r="I94" s="2">
        <f>IFERROR(INDEX(Raw_Orders!H94:H2522,MATCH(B94,Raw_Orders!A94:A2522,0)),0)</f>
        <v>7</v>
      </c>
      <c r="J94" s="2" t="str">
        <f t="shared" si="4"/>
        <v>Yes</v>
      </c>
      <c r="K94" s="2" t="str">
        <f t="shared" si="5"/>
        <v>Yes</v>
      </c>
      <c r="L94" s="2" t="str">
        <f t="shared" si="7"/>
        <v>Yes</v>
      </c>
      <c r="M94" s="2">
        <f t="shared" si="6"/>
        <v>1</v>
      </c>
    </row>
    <row r="95" spans="1:13" x14ac:dyDescent="0.3">
      <c r="A95" s="5" t="s">
        <v>2724</v>
      </c>
      <c r="B95" s="5" t="s">
        <v>201</v>
      </c>
      <c r="C95" s="5" t="s">
        <v>2616</v>
      </c>
      <c r="D95" s="6">
        <v>45674</v>
      </c>
      <c r="E95" s="6">
        <v>45679</v>
      </c>
      <c r="F95" s="6">
        <v>45688</v>
      </c>
      <c r="G95" s="5" t="s">
        <v>2631</v>
      </c>
      <c r="H95" s="5">
        <v>7</v>
      </c>
      <c r="I95" s="5">
        <f>IFERROR(INDEX(Raw_Orders!H95:H2523,MATCH(B95,Raw_Orders!A95:A2523,0)),0)</f>
        <v>12</v>
      </c>
      <c r="J95" s="5" t="str">
        <f t="shared" si="4"/>
        <v>No</v>
      </c>
      <c r="K95" s="5" t="str">
        <f t="shared" si="5"/>
        <v>N0</v>
      </c>
      <c r="L95" s="5" t="str">
        <f t="shared" si="7"/>
        <v>No</v>
      </c>
      <c r="M95" s="5">
        <f t="shared" si="6"/>
        <v>0</v>
      </c>
    </row>
    <row r="96" spans="1:13" x14ac:dyDescent="0.3">
      <c r="A96" s="2" t="s">
        <v>2725</v>
      </c>
      <c r="B96" s="2" t="s">
        <v>202</v>
      </c>
      <c r="C96" s="2" t="s">
        <v>2604</v>
      </c>
      <c r="D96" s="3">
        <v>45674</v>
      </c>
      <c r="E96" s="3">
        <v>45681</v>
      </c>
      <c r="F96" s="3">
        <v>45678</v>
      </c>
      <c r="G96" s="2" t="s">
        <v>2627</v>
      </c>
      <c r="H96" s="2">
        <v>28</v>
      </c>
      <c r="I96" s="2">
        <f>IFERROR(INDEX(Raw_Orders!H96:H2524,MATCH(B96,Raw_Orders!A96:A2524,0)),0)</f>
        <v>28</v>
      </c>
      <c r="J96" s="2" t="str">
        <f t="shared" si="4"/>
        <v>Yes</v>
      </c>
      <c r="K96" s="2" t="str">
        <f t="shared" si="5"/>
        <v>Yes</v>
      </c>
      <c r="L96" s="2" t="str">
        <f t="shared" si="7"/>
        <v>Yes</v>
      </c>
      <c r="M96" s="2">
        <f t="shared" si="6"/>
        <v>1</v>
      </c>
    </row>
    <row r="97" spans="1:13" x14ac:dyDescent="0.3">
      <c r="A97" s="5" t="s">
        <v>2726</v>
      </c>
      <c r="B97" s="5" t="s">
        <v>204</v>
      </c>
      <c r="C97" s="5" t="s">
        <v>2616</v>
      </c>
      <c r="D97" s="6">
        <v>45672</v>
      </c>
      <c r="E97" s="6">
        <v>45675</v>
      </c>
      <c r="F97" s="6">
        <v>45687</v>
      </c>
      <c r="G97" s="5" t="s">
        <v>2631</v>
      </c>
      <c r="H97" s="5">
        <v>20</v>
      </c>
      <c r="I97" s="5">
        <f>IFERROR(INDEX(Raw_Orders!H97:H2525,MATCH(B97,Raw_Orders!A97:A2525,0)),0)</f>
        <v>20</v>
      </c>
      <c r="J97" s="5" t="str">
        <f t="shared" si="4"/>
        <v>No</v>
      </c>
      <c r="K97" s="5" t="str">
        <f t="shared" si="5"/>
        <v>Yes</v>
      </c>
      <c r="L97" s="5" t="str">
        <f t="shared" si="7"/>
        <v>No</v>
      </c>
      <c r="M97" s="5">
        <f t="shared" si="6"/>
        <v>0</v>
      </c>
    </row>
    <row r="98" spans="1:13" x14ac:dyDescent="0.3">
      <c r="A98" s="2" t="s">
        <v>2727</v>
      </c>
      <c r="B98" s="2" t="s">
        <v>205</v>
      </c>
      <c r="C98" s="2" t="s">
        <v>2606</v>
      </c>
      <c r="D98" s="3">
        <v>45673</v>
      </c>
      <c r="E98" s="3">
        <v>45675</v>
      </c>
      <c r="F98" s="3">
        <v>45678</v>
      </c>
      <c r="G98" s="2" t="s">
        <v>2627</v>
      </c>
      <c r="H98" s="2">
        <v>41</v>
      </c>
      <c r="I98" s="2">
        <f>IFERROR(INDEX(Raw_Orders!H98:H2526,MATCH(B98,Raw_Orders!A98:A2526,0)),0)</f>
        <v>41</v>
      </c>
      <c r="J98" s="2" t="str">
        <f t="shared" si="4"/>
        <v>No</v>
      </c>
      <c r="K98" s="2" t="str">
        <f t="shared" si="5"/>
        <v>Yes</v>
      </c>
      <c r="L98" s="2" t="str">
        <f t="shared" si="7"/>
        <v>No</v>
      </c>
      <c r="M98" s="2">
        <f t="shared" si="6"/>
        <v>0</v>
      </c>
    </row>
    <row r="99" spans="1:13" x14ac:dyDescent="0.3">
      <c r="A99" s="5" t="s">
        <v>2728</v>
      </c>
      <c r="B99" s="5" t="s">
        <v>206</v>
      </c>
      <c r="C99" s="5" t="s">
        <v>2608</v>
      </c>
      <c r="D99" s="6">
        <v>45672</v>
      </c>
      <c r="E99" s="6">
        <v>45682</v>
      </c>
      <c r="F99" s="6">
        <v>45684</v>
      </c>
      <c r="G99" s="5" t="s">
        <v>2629</v>
      </c>
      <c r="H99" s="5">
        <v>9</v>
      </c>
      <c r="I99" s="5">
        <f>IFERROR(INDEX(Raw_Orders!H99:H2527,MATCH(B99,Raw_Orders!A99:A2527,0)),0)</f>
        <v>9</v>
      </c>
      <c r="J99" s="5" t="str">
        <f t="shared" si="4"/>
        <v>No</v>
      </c>
      <c r="K99" s="5" t="str">
        <f t="shared" si="5"/>
        <v>Yes</v>
      </c>
      <c r="L99" s="5" t="str">
        <f t="shared" si="7"/>
        <v>No</v>
      </c>
      <c r="M99" s="5">
        <f t="shared" si="6"/>
        <v>0</v>
      </c>
    </row>
    <row r="100" spans="1:13" x14ac:dyDescent="0.3">
      <c r="A100" s="2" t="s">
        <v>2729</v>
      </c>
      <c r="B100" s="2" t="s">
        <v>207</v>
      </c>
      <c r="C100" s="2" t="s">
        <v>2598</v>
      </c>
      <c r="D100" s="3">
        <v>45675</v>
      </c>
      <c r="E100" s="3">
        <v>45683</v>
      </c>
      <c r="F100" s="3">
        <v>45692</v>
      </c>
      <c r="G100" s="2" t="s">
        <v>2631</v>
      </c>
      <c r="H100" s="2">
        <v>39</v>
      </c>
      <c r="I100" s="2">
        <f>IFERROR(INDEX(Raw_Orders!H100:H2528,MATCH(B100,Raw_Orders!A100:A2528,0)),0)</f>
        <v>45</v>
      </c>
      <c r="J100" s="2" t="str">
        <f t="shared" si="4"/>
        <v>No</v>
      </c>
      <c r="K100" s="2" t="str">
        <f t="shared" si="5"/>
        <v>N0</v>
      </c>
      <c r="L100" s="2" t="str">
        <f t="shared" si="7"/>
        <v>No</v>
      </c>
      <c r="M100" s="2">
        <f t="shared" si="6"/>
        <v>0</v>
      </c>
    </row>
    <row r="101" spans="1:13" x14ac:dyDescent="0.3">
      <c r="A101" s="5" t="s">
        <v>2730</v>
      </c>
      <c r="B101" s="5" t="s">
        <v>209</v>
      </c>
      <c r="C101" s="5" t="s">
        <v>2598</v>
      </c>
      <c r="D101" s="6">
        <v>45674</v>
      </c>
      <c r="E101" s="6">
        <v>45677</v>
      </c>
      <c r="F101" s="6">
        <v>45687</v>
      </c>
      <c r="G101" s="5" t="s">
        <v>2633</v>
      </c>
      <c r="H101" s="5">
        <v>3</v>
      </c>
      <c r="I101" s="5">
        <f>IFERROR(INDEX(Raw_Orders!H101:H2529,MATCH(B101,Raw_Orders!A101:A2529,0)),0)</f>
        <v>3</v>
      </c>
      <c r="J101" s="5" t="str">
        <f t="shared" si="4"/>
        <v>No</v>
      </c>
      <c r="K101" s="5" t="str">
        <f t="shared" si="5"/>
        <v>Yes</v>
      </c>
      <c r="L101" s="5" t="str">
        <f t="shared" si="7"/>
        <v>No</v>
      </c>
      <c r="M101" s="5">
        <f t="shared" si="6"/>
        <v>0</v>
      </c>
    </row>
    <row r="102" spans="1:13" x14ac:dyDescent="0.3">
      <c r="A102" s="2" t="s">
        <v>2731</v>
      </c>
      <c r="B102" s="2" t="s">
        <v>210</v>
      </c>
      <c r="C102" s="2" t="s">
        <v>2611</v>
      </c>
      <c r="D102" s="3">
        <v>45674</v>
      </c>
      <c r="E102" s="3">
        <v>45682</v>
      </c>
      <c r="F102" s="3">
        <v>45682</v>
      </c>
      <c r="G102" s="2" t="s">
        <v>2629</v>
      </c>
      <c r="H102" s="2">
        <v>17</v>
      </c>
      <c r="I102" s="2">
        <f>IFERROR(INDEX(Raw_Orders!H102:H2530,MATCH(B102,Raw_Orders!A102:A2530,0)),0)</f>
        <v>17</v>
      </c>
      <c r="J102" s="2" t="str">
        <f t="shared" si="4"/>
        <v>Yes</v>
      </c>
      <c r="K102" s="2" t="str">
        <f t="shared" si="5"/>
        <v>Yes</v>
      </c>
      <c r="L102" s="2" t="str">
        <f t="shared" si="7"/>
        <v>Yes</v>
      </c>
      <c r="M102" s="2">
        <f t="shared" si="6"/>
        <v>1</v>
      </c>
    </row>
    <row r="103" spans="1:13" x14ac:dyDescent="0.3">
      <c r="A103" s="5" t="s">
        <v>2732</v>
      </c>
      <c r="B103" s="5" t="s">
        <v>211</v>
      </c>
      <c r="C103" s="5" t="s">
        <v>2614</v>
      </c>
      <c r="D103" s="6">
        <v>45675</v>
      </c>
      <c r="E103" s="6">
        <v>45681</v>
      </c>
      <c r="F103" s="6">
        <v>45690</v>
      </c>
      <c r="G103" s="5" t="s">
        <v>2627</v>
      </c>
      <c r="H103" s="5">
        <v>27</v>
      </c>
      <c r="I103" s="5">
        <f>IFERROR(INDEX(Raw_Orders!H103:H2531,MATCH(B103,Raw_Orders!A103:A2531,0)),0)</f>
        <v>27</v>
      </c>
      <c r="J103" s="5" t="str">
        <f t="shared" si="4"/>
        <v>No</v>
      </c>
      <c r="K103" s="5" t="str">
        <f t="shared" si="5"/>
        <v>Yes</v>
      </c>
      <c r="L103" s="5" t="str">
        <f t="shared" si="7"/>
        <v>No</v>
      </c>
      <c r="M103" s="5">
        <f t="shared" si="6"/>
        <v>0</v>
      </c>
    </row>
    <row r="104" spans="1:13" x14ac:dyDescent="0.3">
      <c r="A104" s="2" t="s">
        <v>2733</v>
      </c>
      <c r="B104" s="2" t="s">
        <v>212</v>
      </c>
      <c r="C104" s="2" t="s">
        <v>2616</v>
      </c>
      <c r="D104" s="3">
        <v>45673</v>
      </c>
      <c r="E104" s="3">
        <v>45676</v>
      </c>
      <c r="F104" s="3">
        <v>45689</v>
      </c>
      <c r="G104" s="2" t="s">
        <v>2631</v>
      </c>
      <c r="H104" s="2">
        <v>50</v>
      </c>
      <c r="I104" s="2">
        <f>IFERROR(INDEX(Raw_Orders!H104:H2532,MATCH(B104,Raw_Orders!A104:A2532,0)),0)</f>
        <v>50</v>
      </c>
      <c r="J104" s="2" t="str">
        <f t="shared" si="4"/>
        <v>No</v>
      </c>
      <c r="K104" s="2" t="str">
        <f t="shared" si="5"/>
        <v>Yes</v>
      </c>
      <c r="L104" s="2" t="str">
        <f t="shared" si="7"/>
        <v>No</v>
      </c>
      <c r="M104" s="2">
        <f t="shared" si="6"/>
        <v>0</v>
      </c>
    </row>
    <row r="105" spans="1:13" x14ac:dyDescent="0.3">
      <c r="A105" s="5" t="s">
        <v>2734</v>
      </c>
      <c r="B105" s="5" t="s">
        <v>214</v>
      </c>
      <c r="C105" s="5" t="s">
        <v>2606</v>
      </c>
      <c r="D105" s="6">
        <v>45675</v>
      </c>
      <c r="E105" s="6">
        <v>45676</v>
      </c>
      <c r="F105" s="6">
        <v>45681</v>
      </c>
      <c r="G105" s="5" t="s">
        <v>2631</v>
      </c>
      <c r="H105" s="5">
        <v>27</v>
      </c>
      <c r="I105" s="5">
        <f>IFERROR(INDEX(Raw_Orders!H105:H2533,MATCH(B105,Raw_Orders!A105:A2533,0)),0)</f>
        <v>27</v>
      </c>
      <c r="J105" s="5" t="str">
        <f t="shared" si="4"/>
        <v>No</v>
      </c>
      <c r="K105" s="5" t="str">
        <f t="shared" si="5"/>
        <v>Yes</v>
      </c>
      <c r="L105" s="5" t="str">
        <f t="shared" si="7"/>
        <v>No</v>
      </c>
      <c r="M105" s="5">
        <f t="shared" si="6"/>
        <v>0</v>
      </c>
    </row>
    <row r="106" spans="1:13" x14ac:dyDescent="0.3">
      <c r="A106" s="2" t="s">
        <v>2735</v>
      </c>
      <c r="B106" s="2" t="s">
        <v>215</v>
      </c>
      <c r="C106" s="2" t="s">
        <v>2608</v>
      </c>
      <c r="D106" s="3">
        <v>45673</v>
      </c>
      <c r="E106" s="3">
        <v>45679</v>
      </c>
      <c r="F106" s="3">
        <v>45686</v>
      </c>
      <c r="G106" s="2" t="s">
        <v>2627</v>
      </c>
      <c r="H106" s="2">
        <v>6</v>
      </c>
      <c r="I106" s="2">
        <f>IFERROR(INDEX(Raw_Orders!H106:H2534,MATCH(B106,Raw_Orders!A106:A2534,0)),0)</f>
        <v>6</v>
      </c>
      <c r="J106" s="2" t="str">
        <f t="shared" si="4"/>
        <v>No</v>
      </c>
      <c r="K106" s="2" t="str">
        <f t="shared" si="5"/>
        <v>Yes</v>
      </c>
      <c r="L106" s="2" t="str">
        <f t="shared" si="7"/>
        <v>No</v>
      </c>
      <c r="M106" s="2">
        <f t="shared" si="6"/>
        <v>0</v>
      </c>
    </row>
    <row r="107" spans="1:13" x14ac:dyDescent="0.3">
      <c r="A107" s="5" t="s">
        <v>2736</v>
      </c>
      <c r="B107" s="5" t="s">
        <v>216</v>
      </c>
      <c r="C107" s="5" t="s">
        <v>2608</v>
      </c>
      <c r="D107" s="6">
        <v>45675</v>
      </c>
      <c r="E107" s="6">
        <v>45676</v>
      </c>
      <c r="F107" s="6">
        <v>45688</v>
      </c>
      <c r="G107" s="5" t="s">
        <v>2641</v>
      </c>
      <c r="H107" s="5">
        <v>7</v>
      </c>
      <c r="I107" s="5">
        <f>IFERROR(INDEX(Raw_Orders!H107:H2535,MATCH(B107,Raw_Orders!A107:A2535,0)),0)</f>
        <v>7</v>
      </c>
      <c r="J107" s="5" t="str">
        <f t="shared" si="4"/>
        <v>No</v>
      </c>
      <c r="K107" s="5" t="str">
        <f t="shared" si="5"/>
        <v>Yes</v>
      </c>
      <c r="L107" s="5" t="str">
        <f t="shared" si="7"/>
        <v>No</v>
      </c>
      <c r="M107" s="5">
        <f t="shared" si="6"/>
        <v>0</v>
      </c>
    </row>
    <row r="108" spans="1:13" x14ac:dyDescent="0.3">
      <c r="A108" s="2" t="s">
        <v>2737</v>
      </c>
      <c r="B108" s="2" t="s">
        <v>218</v>
      </c>
      <c r="C108" s="2" t="s">
        <v>2598</v>
      </c>
      <c r="D108" s="3">
        <v>45674</v>
      </c>
      <c r="E108" s="3">
        <v>45684</v>
      </c>
      <c r="F108" s="3">
        <v>45686</v>
      </c>
      <c r="G108" s="2" t="s">
        <v>2641</v>
      </c>
      <c r="H108" s="2">
        <v>59</v>
      </c>
      <c r="I108" s="2">
        <f>IFERROR(INDEX(Raw_Orders!H108:H2536,MATCH(B108,Raw_Orders!A108:A2536,0)),0)</f>
        <v>59</v>
      </c>
      <c r="J108" s="2" t="str">
        <f t="shared" si="4"/>
        <v>No</v>
      </c>
      <c r="K108" s="2" t="str">
        <f t="shared" si="5"/>
        <v>Yes</v>
      </c>
      <c r="L108" s="2" t="str">
        <f t="shared" si="7"/>
        <v>No</v>
      </c>
      <c r="M108" s="2">
        <f t="shared" si="6"/>
        <v>0</v>
      </c>
    </row>
    <row r="109" spans="1:13" x14ac:dyDescent="0.3">
      <c r="A109" s="5" t="s">
        <v>2738</v>
      </c>
      <c r="B109" s="5" t="s">
        <v>219</v>
      </c>
      <c r="C109" s="5" t="s">
        <v>2614</v>
      </c>
      <c r="D109" s="6">
        <v>45674</v>
      </c>
      <c r="E109" s="6">
        <v>45684</v>
      </c>
      <c r="F109" s="6">
        <v>45692</v>
      </c>
      <c r="G109" s="5" t="s">
        <v>2629</v>
      </c>
      <c r="H109" s="5">
        <v>26</v>
      </c>
      <c r="I109" s="5">
        <f>IFERROR(INDEX(Raw_Orders!H109:H2537,MATCH(B109,Raw_Orders!A109:A2537,0)),0)</f>
        <v>26</v>
      </c>
      <c r="J109" s="5" t="str">
        <f t="shared" si="4"/>
        <v>No</v>
      </c>
      <c r="K109" s="5" t="str">
        <f t="shared" si="5"/>
        <v>Yes</v>
      </c>
      <c r="L109" s="5" t="str">
        <f t="shared" si="7"/>
        <v>No</v>
      </c>
      <c r="M109" s="5">
        <f t="shared" si="6"/>
        <v>0</v>
      </c>
    </row>
    <row r="110" spans="1:13" x14ac:dyDescent="0.3">
      <c r="A110" s="2" t="s">
        <v>2739</v>
      </c>
      <c r="B110" s="2" t="s">
        <v>221</v>
      </c>
      <c r="C110" s="2" t="s">
        <v>2604</v>
      </c>
      <c r="D110" s="3">
        <v>45675</v>
      </c>
      <c r="E110" s="3">
        <v>45679</v>
      </c>
      <c r="F110" s="3">
        <v>45680</v>
      </c>
      <c r="G110" s="2" t="s">
        <v>2631</v>
      </c>
      <c r="H110" s="2">
        <v>16</v>
      </c>
      <c r="I110" s="2">
        <f>IFERROR(INDEX(Raw_Orders!H110:H2538,MATCH(B110,Raw_Orders!A110:A2538,0)),0)</f>
        <v>16</v>
      </c>
      <c r="J110" s="2" t="str">
        <f t="shared" si="4"/>
        <v>No</v>
      </c>
      <c r="K110" s="2" t="str">
        <f t="shared" si="5"/>
        <v>Yes</v>
      </c>
      <c r="L110" s="2" t="str">
        <f t="shared" si="7"/>
        <v>No</v>
      </c>
      <c r="M110" s="2">
        <f t="shared" si="6"/>
        <v>0</v>
      </c>
    </row>
    <row r="111" spans="1:13" x14ac:dyDescent="0.3">
      <c r="A111" s="5" t="s">
        <v>2740</v>
      </c>
      <c r="B111" s="5" t="s">
        <v>223</v>
      </c>
      <c r="C111" s="5" t="s">
        <v>2606</v>
      </c>
      <c r="D111" s="6">
        <v>45674</v>
      </c>
      <c r="E111" s="6">
        <v>45681</v>
      </c>
      <c r="F111" s="6">
        <v>45680</v>
      </c>
      <c r="G111" s="5" t="s">
        <v>2629</v>
      </c>
      <c r="H111" s="5">
        <v>55</v>
      </c>
      <c r="I111" s="5">
        <f>IFERROR(INDEX(Raw_Orders!H111:H2539,MATCH(B111,Raw_Orders!A111:A2539,0)),0)</f>
        <v>55</v>
      </c>
      <c r="J111" s="5" t="str">
        <f t="shared" si="4"/>
        <v>Yes</v>
      </c>
      <c r="K111" s="5" t="str">
        <f t="shared" si="5"/>
        <v>Yes</v>
      </c>
      <c r="L111" s="5" t="str">
        <f t="shared" si="7"/>
        <v>Yes</v>
      </c>
      <c r="M111" s="5">
        <f t="shared" si="6"/>
        <v>1</v>
      </c>
    </row>
    <row r="112" spans="1:13" x14ac:dyDescent="0.3">
      <c r="A112" s="2" t="s">
        <v>2741</v>
      </c>
      <c r="B112" s="2" t="s">
        <v>224</v>
      </c>
      <c r="C112" s="2" t="s">
        <v>2611</v>
      </c>
      <c r="D112" s="3">
        <v>45675</v>
      </c>
      <c r="E112" s="3">
        <v>45684</v>
      </c>
      <c r="F112" s="3">
        <v>45684</v>
      </c>
      <c r="G112" s="2" t="s">
        <v>2641</v>
      </c>
      <c r="H112" s="2">
        <v>23</v>
      </c>
      <c r="I112" s="2">
        <f>IFERROR(INDEX(Raw_Orders!H112:H2540,MATCH(B112,Raw_Orders!A112:A2540,0)),0)</f>
        <v>23</v>
      </c>
      <c r="J112" s="2" t="str">
        <f t="shared" si="4"/>
        <v>Yes</v>
      </c>
      <c r="K112" s="2" t="str">
        <f t="shared" si="5"/>
        <v>Yes</v>
      </c>
      <c r="L112" s="2" t="str">
        <f t="shared" si="7"/>
        <v>Yes</v>
      </c>
      <c r="M112" s="2">
        <f t="shared" si="6"/>
        <v>1</v>
      </c>
    </row>
    <row r="113" spans="1:13" x14ac:dyDescent="0.3">
      <c r="A113" s="5" t="s">
        <v>2742</v>
      </c>
      <c r="B113" s="5" t="s">
        <v>225</v>
      </c>
      <c r="C113" s="5" t="s">
        <v>2614</v>
      </c>
      <c r="D113" s="6">
        <v>45677</v>
      </c>
      <c r="E113" s="6">
        <v>45684</v>
      </c>
      <c r="F113" s="6">
        <v>45693</v>
      </c>
      <c r="G113" s="5" t="s">
        <v>2631</v>
      </c>
      <c r="H113" s="5">
        <v>14</v>
      </c>
      <c r="I113" s="5">
        <f>IFERROR(INDEX(Raw_Orders!H113:H2541,MATCH(B113,Raw_Orders!A113:A2541,0)),0)</f>
        <v>14</v>
      </c>
      <c r="J113" s="5" t="str">
        <f t="shared" si="4"/>
        <v>No</v>
      </c>
      <c r="K113" s="5" t="str">
        <f t="shared" si="5"/>
        <v>Yes</v>
      </c>
      <c r="L113" s="5" t="str">
        <f t="shared" si="7"/>
        <v>No</v>
      </c>
      <c r="M113" s="5">
        <f t="shared" si="6"/>
        <v>0</v>
      </c>
    </row>
    <row r="114" spans="1:13" x14ac:dyDescent="0.3">
      <c r="A114" s="2" t="s">
        <v>2743</v>
      </c>
      <c r="B114" s="2" t="s">
        <v>226</v>
      </c>
      <c r="C114" s="2" t="s">
        <v>2601</v>
      </c>
      <c r="D114" s="3">
        <v>45676</v>
      </c>
      <c r="E114" s="3">
        <v>45684</v>
      </c>
      <c r="F114" s="3">
        <v>45683</v>
      </c>
      <c r="G114" s="2" t="s">
        <v>2627</v>
      </c>
      <c r="H114" s="2">
        <v>27</v>
      </c>
      <c r="I114" s="2">
        <f>IFERROR(INDEX(Raw_Orders!H114:H2542,MATCH(B114,Raw_Orders!A114:A2542,0)),0)</f>
        <v>27</v>
      </c>
      <c r="J114" s="2" t="str">
        <f t="shared" si="4"/>
        <v>Yes</v>
      </c>
      <c r="K114" s="2" t="str">
        <f t="shared" si="5"/>
        <v>Yes</v>
      </c>
      <c r="L114" s="2" t="str">
        <f t="shared" si="7"/>
        <v>Yes</v>
      </c>
      <c r="M114" s="2">
        <f t="shared" si="6"/>
        <v>1</v>
      </c>
    </row>
    <row r="115" spans="1:13" x14ac:dyDescent="0.3">
      <c r="A115" s="5" t="s">
        <v>2744</v>
      </c>
      <c r="B115" s="5" t="s">
        <v>228</v>
      </c>
      <c r="C115" s="5" t="s">
        <v>2604</v>
      </c>
      <c r="D115" s="6">
        <v>45677</v>
      </c>
      <c r="E115" s="6">
        <v>45683</v>
      </c>
      <c r="F115" s="6">
        <v>45681</v>
      </c>
      <c r="G115" s="5" t="s">
        <v>2631</v>
      </c>
      <c r="H115" s="5">
        <v>6</v>
      </c>
      <c r="I115" s="5">
        <f>IFERROR(INDEX(Raw_Orders!H115:H2543,MATCH(B115,Raw_Orders!A115:A2543,0)),0)</f>
        <v>6</v>
      </c>
      <c r="J115" s="5" t="str">
        <f t="shared" si="4"/>
        <v>Yes</v>
      </c>
      <c r="K115" s="5" t="str">
        <f t="shared" si="5"/>
        <v>Yes</v>
      </c>
      <c r="L115" s="5" t="str">
        <f t="shared" si="7"/>
        <v>Yes</v>
      </c>
      <c r="M115" s="5">
        <f t="shared" si="6"/>
        <v>1</v>
      </c>
    </row>
    <row r="116" spans="1:13" x14ac:dyDescent="0.3">
      <c r="A116" s="2" t="s">
        <v>2745</v>
      </c>
      <c r="B116" s="2" t="s">
        <v>230</v>
      </c>
      <c r="C116" s="2" t="s">
        <v>2604</v>
      </c>
      <c r="D116" s="3">
        <v>45676</v>
      </c>
      <c r="E116" s="3">
        <v>45680</v>
      </c>
      <c r="F116" s="3">
        <v>45684</v>
      </c>
      <c r="G116" s="2" t="s">
        <v>2629</v>
      </c>
      <c r="H116" s="2">
        <v>36</v>
      </c>
      <c r="I116" s="2">
        <f>IFERROR(INDEX(Raw_Orders!H116:H2544,MATCH(B116,Raw_Orders!A116:A2544,0)),0)</f>
        <v>42</v>
      </c>
      <c r="J116" s="2" t="str">
        <f t="shared" si="4"/>
        <v>No</v>
      </c>
      <c r="K116" s="2" t="str">
        <f t="shared" si="5"/>
        <v>N0</v>
      </c>
      <c r="L116" s="2" t="str">
        <f t="shared" si="7"/>
        <v>No</v>
      </c>
      <c r="M116" s="2">
        <f t="shared" si="6"/>
        <v>0</v>
      </c>
    </row>
    <row r="117" spans="1:13" x14ac:dyDescent="0.3">
      <c r="A117" s="5" t="s">
        <v>2746</v>
      </c>
      <c r="B117" s="5" t="s">
        <v>231</v>
      </c>
      <c r="C117" s="5" t="s">
        <v>2604</v>
      </c>
      <c r="D117" s="6">
        <v>45675</v>
      </c>
      <c r="E117" s="6">
        <v>45682</v>
      </c>
      <c r="F117" s="6">
        <v>45681</v>
      </c>
      <c r="G117" s="5" t="s">
        <v>2629</v>
      </c>
      <c r="H117" s="5">
        <v>19</v>
      </c>
      <c r="I117" s="5">
        <f>IFERROR(INDEX(Raw_Orders!H117:H2545,MATCH(B117,Raw_Orders!A117:A2545,0)),0)</f>
        <v>19</v>
      </c>
      <c r="J117" s="5" t="str">
        <f t="shared" si="4"/>
        <v>Yes</v>
      </c>
      <c r="K117" s="5" t="str">
        <f t="shared" si="5"/>
        <v>Yes</v>
      </c>
      <c r="L117" s="5" t="str">
        <f t="shared" si="7"/>
        <v>Yes</v>
      </c>
      <c r="M117" s="5">
        <f t="shared" si="6"/>
        <v>1</v>
      </c>
    </row>
    <row r="118" spans="1:13" x14ac:dyDescent="0.3">
      <c r="A118" s="2" t="s">
        <v>2747</v>
      </c>
      <c r="B118" s="2" t="s">
        <v>233</v>
      </c>
      <c r="C118" s="2" t="s">
        <v>2608</v>
      </c>
      <c r="D118" s="3">
        <v>45675</v>
      </c>
      <c r="E118" s="3">
        <v>45685</v>
      </c>
      <c r="F118" s="3">
        <v>45689</v>
      </c>
      <c r="G118" s="2" t="s">
        <v>2641</v>
      </c>
      <c r="H118" s="2">
        <v>5</v>
      </c>
      <c r="I118" s="2">
        <f>IFERROR(INDEX(Raw_Orders!H118:H2546,MATCH(B118,Raw_Orders!A118:A2546,0)),0)</f>
        <v>5</v>
      </c>
      <c r="J118" s="2" t="str">
        <f t="shared" si="4"/>
        <v>No</v>
      </c>
      <c r="K118" s="2" t="str">
        <f t="shared" si="5"/>
        <v>Yes</v>
      </c>
      <c r="L118" s="2" t="str">
        <f t="shared" si="7"/>
        <v>No</v>
      </c>
      <c r="M118" s="2">
        <f t="shared" si="6"/>
        <v>0</v>
      </c>
    </row>
    <row r="119" spans="1:13" x14ac:dyDescent="0.3">
      <c r="A119" s="5" t="s">
        <v>2748</v>
      </c>
      <c r="B119" s="5" t="s">
        <v>235</v>
      </c>
      <c r="C119" s="5" t="s">
        <v>2611</v>
      </c>
      <c r="D119" s="6">
        <v>45678</v>
      </c>
      <c r="E119" s="6">
        <v>45683</v>
      </c>
      <c r="F119" s="6">
        <v>45689</v>
      </c>
      <c r="G119" s="5" t="s">
        <v>2641</v>
      </c>
      <c r="H119" s="5">
        <v>50</v>
      </c>
      <c r="I119" s="5">
        <f>IFERROR(INDEX(Raw_Orders!H119:H2547,MATCH(B119,Raw_Orders!A119:A2547,0)),0)</f>
        <v>50</v>
      </c>
      <c r="J119" s="5" t="str">
        <f t="shared" si="4"/>
        <v>No</v>
      </c>
      <c r="K119" s="5" t="str">
        <f t="shared" si="5"/>
        <v>Yes</v>
      </c>
      <c r="L119" s="5" t="str">
        <f t="shared" si="7"/>
        <v>No</v>
      </c>
      <c r="M119" s="5">
        <f t="shared" si="6"/>
        <v>0</v>
      </c>
    </row>
    <row r="120" spans="1:13" x14ac:dyDescent="0.3">
      <c r="A120" s="2" t="s">
        <v>2749</v>
      </c>
      <c r="B120" s="2" t="s">
        <v>236</v>
      </c>
      <c r="C120" s="2" t="s">
        <v>2611</v>
      </c>
      <c r="D120" s="3">
        <v>45678</v>
      </c>
      <c r="E120" s="3">
        <v>45680</v>
      </c>
      <c r="F120" s="3">
        <v>45685</v>
      </c>
      <c r="G120" s="2" t="s">
        <v>2631</v>
      </c>
      <c r="H120" s="2">
        <v>17</v>
      </c>
      <c r="I120" s="2">
        <f>IFERROR(INDEX(Raw_Orders!H120:H2548,MATCH(B120,Raw_Orders!A120:A2548,0)),0)</f>
        <v>24</v>
      </c>
      <c r="J120" s="2" t="str">
        <f t="shared" si="4"/>
        <v>No</v>
      </c>
      <c r="K120" s="2" t="str">
        <f t="shared" si="5"/>
        <v>N0</v>
      </c>
      <c r="L120" s="2" t="str">
        <f t="shared" si="7"/>
        <v>No</v>
      </c>
      <c r="M120" s="2">
        <f t="shared" si="6"/>
        <v>0</v>
      </c>
    </row>
    <row r="121" spans="1:13" x14ac:dyDescent="0.3">
      <c r="A121" s="5" t="s">
        <v>2750</v>
      </c>
      <c r="B121" s="5" t="s">
        <v>237</v>
      </c>
      <c r="C121" s="5" t="s">
        <v>2614</v>
      </c>
      <c r="D121" s="6">
        <v>45677</v>
      </c>
      <c r="E121" s="6">
        <v>45679</v>
      </c>
      <c r="F121" s="6">
        <v>45691</v>
      </c>
      <c r="G121" s="5" t="s">
        <v>2641</v>
      </c>
      <c r="H121" s="5">
        <v>35</v>
      </c>
      <c r="I121" s="5">
        <f>IFERROR(INDEX(Raw_Orders!H121:H2549,MATCH(B121,Raw_Orders!A121:A2549,0)),0)</f>
        <v>35</v>
      </c>
      <c r="J121" s="5" t="str">
        <f t="shared" si="4"/>
        <v>No</v>
      </c>
      <c r="K121" s="5" t="str">
        <f t="shared" si="5"/>
        <v>Yes</v>
      </c>
      <c r="L121" s="5" t="str">
        <f t="shared" si="7"/>
        <v>No</v>
      </c>
      <c r="M121" s="5">
        <f t="shared" si="6"/>
        <v>0</v>
      </c>
    </row>
    <row r="122" spans="1:13" x14ac:dyDescent="0.3">
      <c r="A122" s="2" t="s">
        <v>2751</v>
      </c>
      <c r="B122" s="2" t="s">
        <v>239</v>
      </c>
      <c r="C122" s="2" t="s">
        <v>2601</v>
      </c>
      <c r="D122" s="3">
        <v>45678</v>
      </c>
      <c r="E122" s="3">
        <v>45681</v>
      </c>
      <c r="F122" s="3">
        <v>45683</v>
      </c>
      <c r="G122" s="2" t="s">
        <v>2633</v>
      </c>
      <c r="H122" s="2">
        <v>17</v>
      </c>
      <c r="I122" s="2">
        <f>IFERROR(INDEX(Raw_Orders!H122:H2550,MATCH(B122,Raw_Orders!A122:A2550,0)),0)</f>
        <v>17</v>
      </c>
      <c r="J122" s="2" t="str">
        <f t="shared" si="4"/>
        <v>No</v>
      </c>
      <c r="K122" s="2" t="str">
        <f t="shared" si="5"/>
        <v>Yes</v>
      </c>
      <c r="L122" s="2" t="str">
        <f t="shared" si="7"/>
        <v>No</v>
      </c>
      <c r="M122" s="2">
        <f t="shared" si="6"/>
        <v>0</v>
      </c>
    </row>
    <row r="123" spans="1:13" x14ac:dyDescent="0.3">
      <c r="A123" s="5" t="s">
        <v>2752</v>
      </c>
      <c r="B123" s="5" t="s">
        <v>241</v>
      </c>
      <c r="C123" s="5" t="s">
        <v>2604</v>
      </c>
      <c r="D123" s="6">
        <v>45676</v>
      </c>
      <c r="E123" s="6">
        <v>45685</v>
      </c>
      <c r="F123" s="6">
        <v>45684</v>
      </c>
      <c r="G123" s="5" t="s">
        <v>2631</v>
      </c>
      <c r="H123" s="5">
        <v>18</v>
      </c>
      <c r="I123" s="5">
        <f>IFERROR(INDEX(Raw_Orders!H123:H2551,MATCH(B123,Raw_Orders!A123:A2551,0)),0)</f>
        <v>18</v>
      </c>
      <c r="J123" s="5" t="str">
        <f t="shared" si="4"/>
        <v>Yes</v>
      </c>
      <c r="K123" s="5" t="str">
        <f t="shared" si="5"/>
        <v>Yes</v>
      </c>
      <c r="L123" s="5" t="str">
        <f t="shared" si="7"/>
        <v>Yes</v>
      </c>
      <c r="M123" s="5">
        <f t="shared" si="6"/>
        <v>1</v>
      </c>
    </row>
    <row r="124" spans="1:13" x14ac:dyDescent="0.3">
      <c r="A124" s="2" t="s">
        <v>2753</v>
      </c>
      <c r="B124" s="2" t="s">
        <v>242</v>
      </c>
      <c r="C124" s="2" t="s">
        <v>2606</v>
      </c>
      <c r="D124" s="3">
        <v>45676</v>
      </c>
      <c r="E124" s="3">
        <v>45679</v>
      </c>
      <c r="F124" s="3">
        <v>45682</v>
      </c>
      <c r="G124" s="2" t="s">
        <v>2627</v>
      </c>
      <c r="H124" s="2">
        <v>28</v>
      </c>
      <c r="I124" s="2">
        <f>IFERROR(INDEX(Raw_Orders!H124:H2552,MATCH(B124,Raw_Orders!A124:A2552,0)),0)</f>
        <v>28</v>
      </c>
      <c r="J124" s="2" t="str">
        <f t="shared" si="4"/>
        <v>No</v>
      </c>
      <c r="K124" s="2" t="str">
        <f t="shared" si="5"/>
        <v>Yes</v>
      </c>
      <c r="L124" s="2" t="str">
        <f t="shared" si="7"/>
        <v>No</v>
      </c>
      <c r="M124" s="2">
        <f t="shared" si="6"/>
        <v>0</v>
      </c>
    </row>
    <row r="125" spans="1:13" x14ac:dyDescent="0.3">
      <c r="A125" s="5" t="s">
        <v>2754</v>
      </c>
      <c r="B125" s="5" t="s">
        <v>243</v>
      </c>
      <c r="C125" s="5" t="s">
        <v>2606</v>
      </c>
      <c r="D125" s="6">
        <v>45678</v>
      </c>
      <c r="E125" s="6">
        <v>45686</v>
      </c>
      <c r="F125" s="6">
        <v>45684</v>
      </c>
      <c r="G125" s="5" t="s">
        <v>2627</v>
      </c>
      <c r="H125" s="5">
        <v>18</v>
      </c>
      <c r="I125" s="5">
        <f>IFERROR(INDEX(Raw_Orders!H125:H2553,MATCH(B125,Raw_Orders!A125:A2553,0)),0)</f>
        <v>18</v>
      </c>
      <c r="J125" s="5" t="str">
        <f t="shared" si="4"/>
        <v>Yes</v>
      </c>
      <c r="K125" s="5" t="str">
        <f t="shared" si="5"/>
        <v>Yes</v>
      </c>
      <c r="L125" s="5" t="str">
        <f t="shared" si="7"/>
        <v>Yes</v>
      </c>
      <c r="M125" s="5">
        <f t="shared" si="6"/>
        <v>1</v>
      </c>
    </row>
    <row r="126" spans="1:13" x14ac:dyDescent="0.3">
      <c r="A126" s="2" t="s">
        <v>2755</v>
      </c>
      <c r="B126" s="2" t="s">
        <v>244</v>
      </c>
      <c r="C126" s="2" t="s">
        <v>2608</v>
      </c>
      <c r="D126" s="3">
        <v>45678</v>
      </c>
      <c r="E126" s="3">
        <v>45682</v>
      </c>
      <c r="F126" s="3">
        <v>45690</v>
      </c>
      <c r="G126" s="2" t="s">
        <v>2641</v>
      </c>
      <c r="H126" s="2">
        <v>6</v>
      </c>
      <c r="I126" s="2">
        <f>IFERROR(INDEX(Raw_Orders!H126:H2554,MATCH(B126,Raw_Orders!A126:A2554,0)),0)</f>
        <v>6</v>
      </c>
      <c r="J126" s="2" t="str">
        <f t="shared" si="4"/>
        <v>No</v>
      </c>
      <c r="K126" s="2" t="str">
        <f t="shared" si="5"/>
        <v>Yes</v>
      </c>
      <c r="L126" s="2" t="str">
        <f t="shared" si="7"/>
        <v>No</v>
      </c>
      <c r="M126" s="2">
        <f t="shared" si="6"/>
        <v>0</v>
      </c>
    </row>
    <row r="127" spans="1:13" x14ac:dyDescent="0.3">
      <c r="A127" s="5" t="s">
        <v>2756</v>
      </c>
      <c r="B127" s="5" t="s">
        <v>245</v>
      </c>
      <c r="C127" s="5" t="s">
        <v>2608</v>
      </c>
      <c r="D127" s="6">
        <v>45676</v>
      </c>
      <c r="E127" s="6">
        <v>45685</v>
      </c>
      <c r="F127" s="6">
        <v>45688</v>
      </c>
      <c r="G127" s="5" t="s">
        <v>2631</v>
      </c>
      <c r="H127" s="5">
        <v>7</v>
      </c>
      <c r="I127" s="5">
        <f>IFERROR(INDEX(Raw_Orders!H127:H2555,MATCH(B127,Raw_Orders!A127:A2555,0)),0)</f>
        <v>14</v>
      </c>
      <c r="J127" s="5" t="str">
        <f t="shared" si="4"/>
        <v>No</v>
      </c>
      <c r="K127" s="5" t="str">
        <f t="shared" si="5"/>
        <v>N0</v>
      </c>
      <c r="L127" s="5" t="str">
        <f t="shared" si="7"/>
        <v>No</v>
      </c>
      <c r="M127" s="5">
        <f t="shared" si="6"/>
        <v>0</v>
      </c>
    </row>
    <row r="128" spans="1:13" x14ac:dyDescent="0.3">
      <c r="A128" s="2" t="s">
        <v>2757</v>
      </c>
      <c r="B128" s="2" t="s">
        <v>246</v>
      </c>
      <c r="C128" s="2" t="s">
        <v>2611</v>
      </c>
      <c r="D128" s="3">
        <v>45678</v>
      </c>
      <c r="E128" s="3">
        <v>45684</v>
      </c>
      <c r="F128" s="3">
        <v>45684</v>
      </c>
      <c r="G128" s="2" t="s">
        <v>2633</v>
      </c>
      <c r="H128" s="2">
        <v>53</v>
      </c>
      <c r="I128" s="2">
        <f>IFERROR(INDEX(Raw_Orders!H128:H2556,MATCH(B128,Raw_Orders!A128:A2556,0)),0)</f>
        <v>53</v>
      </c>
      <c r="J128" s="2" t="str">
        <f t="shared" si="4"/>
        <v>Yes</v>
      </c>
      <c r="K128" s="2" t="str">
        <f t="shared" si="5"/>
        <v>Yes</v>
      </c>
      <c r="L128" s="2" t="str">
        <f t="shared" si="7"/>
        <v>Yes</v>
      </c>
      <c r="M128" s="2">
        <f t="shared" si="6"/>
        <v>1</v>
      </c>
    </row>
    <row r="129" spans="1:13" x14ac:dyDescent="0.3">
      <c r="A129" s="5" t="s">
        <v>2758</v>
      </c>
      <c r="B129" s="5" t="s">
        <v>247</v>
      </c>
      <c r="C129" s="5" t="s">
        <v>2616</v>
      </c>
      <c r="D129" s="6">
        <v>45679</v>
      </c>
      <c r="E129" s="6">
        <v>45685</v>
      </c>
      <c r="F129" s="6">
        <v>45694</v>
      </c>
      <c r="G129" s="5" t="s">
        <v>2631</v>
      </c>
      <c r="H129" s="5">
        <v>14</v>
      </c>
      <c r="I129" s="5">
        <f>IFERROR(INDEX(Raw_Orders!H129:H2557,MATCH(B129,Raw_Orders!A129:A2557,0)),0)</f>
        <v>18</v>
      </c>
      <c r="J129" s="5" t="str">
        <f t="shared" si="4"/>
        <v>No</v>
      </c>
      <c r="K129" s="5" t="str">
        <f t="shared" si="5"/>
        <v>N0</v>
      </c>
      <c r="L129" s="5" t="str">
        <f t="shared" si="7"/>
        <v>No</v>
      </c>
      <c r="M129" s="5">
        <f t="shared" si="6"/>
        <v>0</v>
      </c>
    </row>
    <row r="130" spans="1:13" x14ac:dyDescent="0.3">
      <c r="A130" s="2" t="s">
        <v>2759</v>
      </c>
      <c r="B130" s="2" t="s">
        <v>249</v>
      </c>
      <c r="C130" s="2" t="s">
        <v>2611</v>
      </c>
      <c r="D130" s="3">
        <v>45678</v>
      </c>
      <c r="E130" s="3">
        <v>45683</v>
      </c>
      <c r="F130" s="3">
        <v>45684</v>
      </c>
      <c r="G130" s="2" t="s">
        <v>2629</v>
      </c>
      <c r="H130" s="2">
        <v>20</v>
      </c>
      <c r="I130" s="2">
        <f>IFERROR(INDEX(Raw_Orders!H130:H2558,MATCH(B130,Raw_Orders!A130:A2558,0)),0)</f>
        <v>20</v>
      </c>
      <c r="J130" s="2" t="str">
        <f t="shared" si="4"/>
        <v>No</v>
      </c>
      <c r="K130" s="2" t="str">
        <f t="shared" si="5"/>
        <v>Yes</v>
      </c>
      <c r="L130" s="2" t="str">
        <f t="shared" si="7"/>
        <v>No</v>
      </c>
      <c r="M130" s="2">
        <f t="shared" si="6"/>
        <v>0</v>
      </c>
    </row>
    <row r="131" spans="1:13" x14ac:dyDescent="0.3">
      <c r="A131" s="5" t="s">
        <v>2760</v>
      </c>
      <c r="B131" s="5" t="s">
        <v>251</v>
      </c>
      <c r="C131" s="5" t="s">
        <v>2601</v>
      </c>
      <c r="D131" s="6">
        <v>45680</v>
      </c>
      <c r="E131" s="6">
        <v>45687</v>
      </c>
      <c r="F131" s="6">
        <v>45687</v>
      </c>
      <c r="G131" s="5" t="s">
        <v>2627</v>
      </c>
      <c r="H131" s="5">
        <v>16</v>
      </c>
      <c r="I131" s="5">
        <f>IFERROR(INDEX(Raw_Orders!H131:H2559,MATCH(B131,Raw_Orders!A131:A2559,0)),0)</f>
        <v>16</v>
      </c>
      <c r="J131" s="5" t="str">
        <f t="shared" ref="J131:J194" si="8">IF(E131&gt;=F131,"Yes","No")</f>
        <v>Yes</v>
      </c>
      <c r="K131" s="5" t="str">
        <f t="shared" ref="K131:K194" si="9">IF(H131&gt;=I131,"Yes","N0")</f>
        <v>Yes</v>
      </c>
      <c r="L131" s="5" t="str">
        <f t="shared" si="7"/>
        <v>Yes</v>
      </c>
      <c r="M131" s="5">
        <f t="shared" ref="M131:M194" si="10">IF(L131="Yes",1,0)</f>
        <v>1</v>
      </c>
    </row>
    <row r="132" spans="1:13" x14ac:dyDescent="0.3">
      <c r="A132" s="2" t="s">
        <v>2761</v>
      </c>
      <c r="B132" s="2" t="s">
        <v>252</v>
      </c>
      <c r="C132" s="2" t="s">
        <v>2601</v>
      </c>
      <c r="D132" s="3">
        <v>45680</v>
      </c>
      <c r="E132" s="3">
        <v>45685</v>
      </c>
      <c r="F132" s="3">
        <v>45685</v>
      </c>
      <c r="G132" s="2" t="s">
        <v>2641</v>
      </c>
      <c r="H132" s="2">
        <v>1</v>
      </c>
      <c r="I132" s="2">
        <f>IFERROR(INDEX(Raw_Orders!H132:H2560,MATCH(B132,Raw_Orders!A132:A2560,0)),0)</f>
        <v>3</v>
      </c>
      <c r="J132" s="2" t="str">
        <f t="shared" si="8"/>
        <v>Yes</v>
      </c>
      <c r="K132" s="2" t="str">
        <f t="shared" si="9"/>
        <v>N0</v>
      </c>
      <c r="L132" s="2" t="str">
        <f t="shared" ref="L132:L195" si="11">IF(AND(J132="Yes",K132="Yes"),"Yes","No")</f>
        <v>No</v>
      </c>
      <c r="M132" s="2">
        <f t="shared" si="10"/>
        <v>0</v>
      </c>
    </row>
    <row r="133" spans="1:13" x14ac:dyDescent="0.3">
      <c r="A133" s="5" t="s">
        <v>2762</v>
      </c>
      <c r="B133" s="5" t="s">
        <v>253</v>
      </c>
      <c r="C133" s="5" t="s">
        <v>2604</v>
      </c>
      <c r="D133" s="6">
        <v>45680</v>
      </c>
      <c r="E133" s="6">
        <v>45686</v>
      </c>
      <c r="F133" s="6">
        <v>45684</v>
      </c>
      <c r="G133" s="5" t="s">
        <v>2641</v>
      </c>
      <c r="H133" s="5">
        <v>15</v>
      </c>
      <c r="I133" s="5">
        <f>IFERROR(INDEX(Raw_Orders!H133:H2561,MATCH(B133,Raw_Orders!A133:A2561,0)),0)</f>
        <v>15</v>
      </c>
      <c r="J133" s="5" t="str">
        <f t="shared" si="8"/>
        <v>Yes</v>
      </c>
      <c r="K133" s="5" t="str">
        <f t="shared" si="9"/>
        <v>Yes</v>
      </c>
      <c r="L133" s="5" t="str">
        <f t="shared" si="11"/>
        <v>Yes</v>
      </c>
      <c r="M133" s="5">
        <f t="shared" si="10"/>
        <v>1</v>
      </c>
    </row>
    <row r="134" spans="1:13" x14ac:dyDescent="0.3">
      <c r="A134" s="2" t="s">
        <v>2763</v>
      </c>
      <c r="B134" s="2" t="s">
        <v>254</v>
      </c>
      <c r="C134" s="2" t="s">
        <v>2606</v>
      </c>
      <c r="D134" s="3">
        <v>45680</v>
      </c>
      <c r="E134" s="3">
        <v>45687</v>
      </c>
      <c r="F134" s="3">
        <v>45686</v>
      </c>
      <c r="G134" s="2" t="s">
        <v>2627</v>
      </c>
      <c r="H134" s="2">
        <v>64</v>
      </c>
      <c r="I134" s="2">
        <f>IFERROR(INDEX(Raw_Orders!H134:H2562,MATCH(B134,Raw_Orders!A134:A2562,0)),0)</f>
        <v>64</v>
      </c>
      <c r="J134" s="2" t="str">
        <f t="shared" si="8"/>
        <v>Yes</v>
      </c>
      <c r="K134" s="2" t="str">
        <f t="shared" si="9"/>
        <v>Yes</v>
      </c>
      <c r="L134" s="2" t="str">
        <f t="shared" si="11"/>
        <v>Yes</v>
      </c>
      <c r="M134" s="2">
        <f t="shared" si="10"/>
        <v>1</v>
      </c>
    </row>
    <row r="135" spans="1:13" x14ac:dyDescent="0.3">
      <c r="A135" s="5" t="s">
        <v>2764</v>
      </c>
      <c r="B135" s="5" t="s">
        <v>255</v>
      </c>
      <c r="C135" s="5" t="s">
        <v>2606</v>
      </c>
      <c r="D135" s="6">
        <v>45678</v>
      </c>
      <c r="E135" s="6">
        <v>45687</v>
      </c>
      <c r="F135" s="6">
        <v>45684</v>
      </c>
      <c r="G135" s="5" t="s">
        <v>2631</v>
      </c>
      <c r="H135" s="5">
        <v>22</v>
      </c>
      <c r="I135" s="5">
        <f>IFERROR(INDEX(Raw_Orders!H135:H2563,MATCH(B135,Raw_Orders!A135:A2563,0)),0)</f>
        <v>22</v>
      </c>
      <c r="J135" s="5" t="str">
        <f t="shared" si="8"/>
        <v>Yes</v>
      </c>
      <c r="K135" s="5" t="str">
        <f t="shared" si="9"/>
        <v>Yes</v>
      </c>
      <c r="L135" s="5" t="str">
        <f t="shared" si="11"/>
        <v>Yes</v>
      </c>
      <c r="M135" s="5">
        <f t="shared" si="10"/>
        <v>1</v>
      </c>
    </row>
    <row r="136" spans="1:13" x14ac:dyDescent="0.3">
      <c r="A136" s="2" t="s">
        <v>2765</v>
      </c>
      <c r="B136" s="2" t="s">
        <v>256</v>
      </c>
      <c r="C136" s="2" t="s">
        <v>2614</v>
      </c>
      <c r="D136" s="3">
        <v>45680</v>
      </c>
      <c r="E136" s="3">
        <v>45687</v>
      </c>
      <c r="F136" s="3">
        <v>45694</v>
      </c>
      <c r="G136" s="2" t="s">
        <v>2641</v>
      </c>
      <c r="H136" s="2">
        <v>19</v>
      </c>
      <c r="I136" s="2">
        <f>IFERROR(INDEX(Raw_Orders!H136:H2564,MATCH(B136,Raw_Orders!A136:A2564,0)),0)</f>
        <v>27</v>
      </c>
      <c r="J136" s="2" t="str">
        <f t="shared" si="8"/>
        <v>No</v>
      </c>
      <c r="K136" s="2" t="str">
        <f t="shared" si="9"/>
        <v>N0</v>
      </c>
      <c r="L136" s="2" t="str">
        <f t="shared" si="11"/>
        <v>No</v>
      </c>
      <c r="M136" s="2">
        <f t="shared" si="10"/>
        <v>0</v>
      </c>
    </row>
    <row r="137" spans="1:13" x14ac:dyDescent="0.3">
      <c r="A137" s="5" t="s">
        <v>2766</v>
      </c>
      <c r="B137" s="5" t="s">
        <v>257</v>
      </c>
      <c r="C137" s="5" t="s">
        <v>2606</v>
      </c>
      <c r="D137" s="6">
        <v>45680</v>
      </c>
      <c r="E137" s="6">
        <v>45682</v>
      </c>
      <c r="F137" s="6">
        <v>45688</v>
      </c>
      <c r="G137" s="5" t="s">
        <v>2627</v>
      </c>
      <c r="H137" s="5">
        <v>38</v>
      </c>
      <c r="I137" s="5">
        <f>IFERROR(INDEX(Raw_Orders!H137:H2565,MATCH(B137,Raw_Orders!A137:A2565,0)),0)</f>
        <v>41</v>
      </c>
      <c r="J137" s="5" t="str">
        <f t="shared" si="8"/>
        <v>No</v>
      </c>
      <c r="K137" s="5" t="str">
        <f t="shared" si="9"/>
        <v>N0</v>
      </c>
      <c r="L137" s="5" t="str">
        <f t="shared" si="11"/>
        <v>No</v>
      </c>
      <c r="M137" s="5">
        <f t="shared" si="10"/>
        <v>0</v>
      </c>
    </row>
    <row r="138" spans="1:13" x14ac:dyDescent="0.3">
      <c r="A138" s="2" t="s">
        <v>2767</v>
      </c>
      <c r="B138" s="2" t="s">
        <v>258</v>
      </c>
      <c r="C138" s="2" t="s">
        <v>2608</v>
      </c>
      <c r="D138" s="3">
        <v>45681</v>
      </c>
      <c r="E138" s="3">
        <v>45688</v>
      </c>
      <c r="F138" s="3">
        <v>45698</v>
      </c>
      <c r="G138" s="2" t="s">
        <v>2629</v>
      </c>
      <c r="H138" s="2">
        <v>19</v>
      </c>
      <c r="I138" s="2">
        <f>IFERROR(INDEX(Raw_Orders!H138:H2566,MATCH(B138,Raw_Orders!A138:A2566,0)),0)</f>
        <v>27</v>
      </c>
      <c r="J138" s="2" t="str">
        <f t="shared" si="8"/>
        <v>No</v>
      </c>
      <c r="K138" s="2" t="str">
        <f t="shared" si="9"/>
        <v>N0</v>
      </c>
      <c r="L138" s="2" t="str">
        <f t="shared" si="11"/>
        <v>No</v>
      </c>
      <c r="M138" s="2">
        <f t="shared" si="10"/>
        <v>0</v>
      </c>
    </row>
    <row r="139" spans="1:13" x14ac:dyDescent="0.3">
      <c r="A139" s="5" t="s">
        <v>2768</v>
      </c>
      <c r="B139" s="5" t="s">
        <v>259</v>
      </c>
      <c r="C139" s="5" t="s">
        <v>2611</v>
      </c>
      <c r="D139" s="6">
        <v>45680</v>
      </c>
      <c r="E139" s="6">
        <v>45685</v>
      </c>
      <c r="F139" s="6">
        <v>45687</v>
      </c>
      <c r="G139" s="5" t="s">
        <v>2631</v>
      </c>
      <c r="H139" s="5">
        <v>24</v>
      </c>
      <c r="I139" s="5">
        <f>IFERROR(INDEX(Raw_Orders!H139:H2567,MATCH(B139,Raw_Orders!A139:A2567,0)),0)</f>
        <v>24</v>
      </c>
      <c r="J139" s="5" t="str">
        <f t="shared" si="8"/>
        <v>No</v>
      </c>
      <c r="K139" s="5" t="str">
        <f t="shared" si="9"/>
        <v>Yes</v>
      </c>
      <c r="L139" s="5" t="str">
        <f t="shared" si="11"/>
        <v>No</v>
      </c>
      <c r="M139" s="5">
        <f t="shared" si="10"/>
        <v>0</v>
      </c>
    </row>
    <row r="140" spans="1:13" x14ac:dyDescent="0.3">
      <c r="A140" s="2" t="s">
        <v>2769</v>
      </c>
      <c r="B140" s="2" t="s">
        <v>261</v>
      </c>
      <c r="C140" s="2" t="s">
        <v>2601</v>
      </c>
      <c r="D140" s="3">
        <v>45681</v>
      </c>
      <c r="E140" s="3">
        <v>45690</v>
      </c>
      <c r="F140" s="3">
        <v>45685</v>
      </c>
      <c r="G140" s="2" t="s">
        <v>2631</v>
      </c>
      <c r="H140" s="2">
        <v>12</v>
      </c>
      <c r="I140" s="2">
        <f>IFERROR(INDEX(Raw_Orders!H140:H2568,MATCH(B140,Raw_Orders!A140:A2568,0)),0)</f>
        <v>12</v>
      </c>
      <c r="J140" s="2" t="str">
        <f t="shared" si="8"/>
        <v>Yes</v>
      </c>
      <c r="K140" s="2" t="str">
        <f t="shared" si="9"/>
        <v>Yes</v>
      </c>
      <c r="L140" s="2" t="str">
        <f t="shared" si="11"/>
        <v>Yes</v>
      </c>
      <c r="M140" s="2">
        <f t="shared" si="10"/>
        <v>1</v>
      </c>
    </row>
    <row r="141" spans="1:13" x14ac:dyDescent="0.3">
      <c r="A141" s="5" t="s">
        <v>2770</v>
      </c>
      <c r="B141" s="5" t="s">
        <v>263</v>
      </c>
      <c r="C141" s="5" t="s">
        <v>2616</v>
      </c>
      <c r="D141" s="6">
        <v>45680</v>
      </c>
      <c r="E141" s="6">
        <v>45688</v>
      </c>
      <c r="F141" s="6">
        <v>45695</v>
      </c>
      <c r="G141" s="5" t="s">
        <v>2629</v>
      </c>
      <c r="H141" s="5">
        <v>10</v>
      </c>
      <c r="I141" s="5">
        <f>IFERROR(INDEX(Raw_Orders!H141:H2569,MATCH(B141,Raw_Orders!A141:A2569,0)),0)</f>
        <v>10</v>
      </c>
      <c r="J141" s="5" t="str">
        <f t="shared" si="8"/>
        <v>No</v>
      </c>
      <c r="K141" s="5" t="str">
        <f t="shared" si="9"/>
        <v>Yes</v>
      </c>
      <c r="L141" s="5" t="str">
        <f t="shared" si="11"/>
        <v>No</v>
      </c>
      <c r="M141" s="5">
        <f t="shared" si="10"/>
        <v>0</v>
      </c>
    </row>
    <row r="142" spans="1:13" x14ac:dyDescent="0.3">
      <c r="A142" s="2" t="s">
        <v>2771</v>
      </c>
      <c r="B142" s="2" t="s">
        <v>264</v>
      </c>
      <c r="C142" s="2" t="s">
        <v>2604</v>
      </c>
      <c r="D142" s="3">
        <v>45680</v>
      </c>
      <c r="E142" s="3">
        <v>45690</v>
      </c>
      <c r="F142" s="3">
        <v>45684</v>
      </c>
      <c r="G142" s="2" t="s">
        <v>2627</v>
      </c>
      <c r="H142" s="2">
        <v>34</v>
      </c>
      <c r="I142" s="2">
        <f>IFERROR(INDEX(Raw_Orders!H142:H2570,MATCH(B142,Raw_Orders!A142:A2570,0)),0)</f>
        <v>34</v>
      </c>
      <c r="J142" s="2" t="str">
        <f t="shared" si="8"/>
        <v>Yes</v>
      </c>
      <c r="K142" s="2" t="str">
        <f t="shared" si="9"/>
        <v>Yes</v>
      </c>
      <c r="L142" s="2" t="str">
        <f t="shared" si="11"/>
        <v>Yes</v>
      </c>
      <c r="M142" s="2">
        <f t="shared" si="10"/>
        <v>1</v>
      </c>
    </row>
    <row r="143" spans="1:13" x14ac:dyDescent="0.3">
      <c r="A143" s="5" t="s">
        <v>2772</v>
      </c>
      <c r="B143" s="5" t="s">
        <v>265</v>
      </c>
      <c r="C143" s="5" t="s">
        <v>2606</v>
      </c>
      <c r="D143" s="6">
        <v>45682</v>
      </c>
      <c r="E143" s="6">
        <v>45688</v>
      </c>
      <c r="F143" s="6">
        <v>45688</v>
      </c>
      <c r="G143" s="5" t="s">
        <v>2629</v>
      </c>
      <c r="H143" s="5">
        <v>73</v>
      </c>
      <c r="I143" s="5">
        <f>IFERROR(INDEX(Raw_Orders!H143:H2571,MATCH(B143,Raw_Orders!A143:A2571,0)),0)</f>
        <v>73</v>
      </c>
      <c r="J143" s="5" t="str">
        <f t="shared" si="8"/>
        <v>Yes</v>
      </c>
      <c r="K143" s="5" t="str">
        <f t="shared" si="9"/>
        <v>Yes</v>
      </c>
      <c r="L143" s="5" t="str">
        <f t="shared" si="11"/>
        <v>Yes</v>
      </c>
      <c r="M143" s="5">
        <f t="shared" si="10"/>
        <v>1</v>
      </c>
    </row>
    <row r="144" spans="1:13" x14ac:dyDescent="0.3">
      <c r="A144" s="2" t="s">
        <v>2773</v>
      </c>
      <c r="B144" s="2" t="s">
        <v>266</v>
      </c>
      <c r="C144" s="2" t="s">
        <v>2608</v>
      </c>
      <c r="D144" s="3">
        <v>45681</v>
      </c>
      <c r="E144" s="3">
        <v>45686</v>
      </c>
      <c r="F144" s="3">
        <v>45695</v>
      </c>
      <c r="G144" s="2" t="s">
        <v>2629</v>
      </c>
      <c r="H144" s="2">
        <v>31</v>
      </c>
      <c r="I144" s="2">
        <f>IFERROR(INDEX(Raw_Orders!H144:H2572,MATCH(B144,Raw_Orders!A144:A2572,0)),0)</f>
        <v>31</v>
      </c>
      <c r="J144" s="2" t="str">
        <f t="shared" si="8"/>
        <v>No</v>
      </c>
      <c r="K144" s="2" t="str">
        <f t="shared" si="9"/>
        <v>Yes</v>
      </c>
      <c r="L144" s="2" t="str">
        <f t="shared" si="11"/>
        <v>No</v>
      </c>
      <c r="M144" s="2">
        <f t="shared" si="10"/>
        <v>0</v>
      </c>
    </row>
    <row r="145" spans="1:13" x14ac:dyDescent="0.3">
      <c r="A145" s="5" t="s">
        <v>2774</v>
      </c>
      <c r="B145" s="5" t="s">
        <v>267</v>
      </c>
      <c r="C145" s="5" t="s">
        <v>2598</v>
      </c>
      <c r="D145" s="6">
        <v>45681</v>
      </c>
      <c r="E145" s="6">
        <v>45686</v>
      </c>
      <c r="F145" s="6">
        <v>45698</v>
      </c>
      <c r="G145" s="5" t="s">
        <v>2641</v>
      </c>
      <c r="H145" s="5">
        <v>10</v>
      </c>
      <c r="I145" s="5">
        <f>IFERROR(INDEX(Raw_Orders!H145:H2573,MATCH(B145,Raw_Orders!A145:A2573,0)),0)</f>
        <v>10</v>
      </c>
      <c r="J145" s="5" t="str">
        <f t="shared" si="8"/>
        <v>No</v>
      </c>
      <c r="K145" s="5" t="str">
        <f t="shared" si="9"/>
        <v>Yes</v>
      </c>
      <c r="L145" s="5" t="str">
        <f t="shared" si="11"/>
        <v>No</v>
      </c>
      <c r="M145" s="5">
        <f t="shared" si="10"/>
        <v>0</v>
      </c>
    </row>
    <row r="146" spans="1:13" x14ac:dyDescent="0.3">
      <c r="A146" s="2" t="s">
        <v>2775</v>
      </c>
      <c r="B146" s="2" t="s">
        <v>269</v>
      </c>
      <c r="C146" s="2" t="s">
        <v>2601</v>
      </c>
      <c r="D146" s="3">
        <v>45681</v>
      </c>
      <c r="E146" s="3">
        <v>45689</v>
      </c>
      <c r="F146" s="3">
        <v>45687</v>
      </c>
      <c r="G146" s="2" t="s">
        <v>2633</v>
      </c>
      <c r="H146" s="2">
        <v>8</v>
      </c>
      <c r="I146" s="2">
        <f>IFERROR(INDEX(Raw_Orders!H146:H2574,MATCH(B146,Raw_Orders!A146:A2574,0)),0)</f>
        <v>15</v>
      </c>
      <c r="J146" s="2" t="str">
        <f t="shared" si="8"/>
        <v>Yes</v>
      </c>
      <c r="K146" s="2" t="str">
        <f t="shared" si="9"/>
        <v>N0</v>
      </c>
      <c r="L146" s="2" t="str">
        <f t="shared" si="11"/>
        <v>No</v>
      </c>
      <c r="M146" s="2">
        <f t="shared" si="10"/>
        <v>0</v>
      </c>
    </row>
    <row r="147" spans="1:13" x14ac:dyDescent="0.3">
      <c r="A147" s="5" t="s">
        <v>2776</v>
      </c>
      <c r="B147" s="5" t="s">
        <v>270</v>
      </c>
      <c r="C147" s="5" t="s">
        <v>2601</v>
      </c>
      <c r="D147" s="6">
        <v>45682</v>
      </c>
      <c r="E147" s="6">
        <v>45688</v>
      </c>
      <c r="F147" s="6">
        <v>45687</v>
      </c>
      <c r="G147" s="5" t="s">
        <v>2627</v>
      </c>
      <c r="H147" s="5">
        <v>23</v>
      </c>
      <c r="I147" s="5">
        <f>IFERROR(INDEX(Raw_Orders!H147:H2575,MATCH(B147,Raw_Orders!A147:A2575,0)),0)</f>
        <v>23</v>
      </c>
      <c r="J147" s="5" t="str">
        <f t="shared" si="8"/>
        <v>Yes</v>
      </c>
      <c r="K147" s="5" t="str">
        <f t="shared" si="9"/>
        <v>Yes</v>
      </c>
      <c r="L147" s="5" t="str">
        <f t="shared" si="11"/>
        <v>Yes</v>
      </c>
      <c r="M147" s="5">
        <f t="shared" si="10"/>
        <v>1</v>
      </c>
    </row>
    <row r="148" spans="1:13" x14ac:dyDescent="0.3">
      <c r="A148" s="2" t="s">
        <v>2777</v>
      </c>
      <c r="B148" s="2" t="s">
        <v>271</v>
      </c>
      <c r="C148" s="2" t="s">
        <v>2606</v>
      </c>
      <c r="D148" s="3">
        <v>45682</v>
      </c>
      <c r="E148" s="3">
        <v>45684</v>
      </c>
      <c r="F148" s="3">
        <v>45688</v>
      </c>
      <c r="G148" s="2" t="s">
        <v>2627</v>
      </c>
      <c r="H148" s="2">
        <v>4</v>
      </c>
      <c r="I148" s="2">
        <f>IFERROR(INDEX(Raw_Orders!H148:H2576,MATCH(B148,Raw_Orders!A148:A2576,0)),0)</f>
        <v>4</v>
      </c>
      <c r="J148" s="2" t="str">
        <f t="shared" si="8"/>
        <v>No</v>
      </c>
      <c r="K148" s="2" t="str">
        <f t="shared" si="9"/>
        <v>Yes</v>
      </c>
      <c r="L148" s="2" t="str">
        <f t="shared" si="11"/>
        <v>No</v>
      </c>
      <c r="M148" s="2">
        <f t="shared" si="10"/>
        <v>0</v>
      </c>
    </row>
    <row r="149" spans="1:13" x14ac:dyDescent="0.3">
      <c r="A149" s="5" t="s">
        <v>2778</v>
      </c>
      <c r="B149" s="5" t="s">
        <v>273</v>
      </c>
      <c r="C149" s="5" t="s">
        <v>2608</v>
      </c>
      <c r="D149" s="6">
        <v>45681</v>
      </c>
      <c r="E149" s="6">
        <v>45691</v>
      </c>
      <c r="F149" s="6">
        <v>45694</v>
      </c>
      <c r="G149" s="5" t="s">
        <v>2633</v>
      </c>
      <c r="H149" s="5">
        <v>8</v>
      </c>
      <c r="I149" s="5">
        <f>IFERROR(INDEX(Raw_Orders!H149:H2577,MATCH(B149,Raw_Orders!A149:A2577,0)),0)</f>
        <v>8</v>
      </c>
      <c r="J149" s="5" t="str">
        <f t="shared" si="8"/>
        <v>No</v>
      </c>
      <c r="K149" s="5" t="str">
        <f t="shared" si="9"/>
        <v>Yes</v>
      </c>
      <c r="L149" s="5" t="str">
        <f t="shared" si="11"/>
        <v>No</v>
      </c>
      <c r="M149" s="5">
        <f t="shared" si="10"/>
        <v>0</v>
      </c>
    </row>
    <row r="150" spans="1:13" x14ac:dyDescent="0.3">
      <c r="A150" s="2" t="s">
        <v>2779</v>
      </c>
      <c r="B150" s="2" t="s">
        <v>274</v>
      </c>
      <c r="C150" s="2" t="s">
        <v>2614</v>
      </c>
      <c r="D150" s="3">
        <v>45683</v>
      </c>
      <c r="E150" s="3">
        <v>45686</v>
      </c>
      <c r="F150" s="3">
        <v>45697</v>
      </c>
      <c r="G150" s="2" t="s">
        <v>2641</v>
      </c>
      <c r="H150" s="2">
        <v>19</v>
      </c>
      <c r="I150" s="2">
        <f>IFERROR(INDEX(Raw_Orders!H150:H2578,MATCH(B150,Raw_Orders!A150:A2578,0)),0)</f>
        <v>19</v>
      </c>
      <c r="J150" s="2" t="str">
        <f t="shared" si="8"/>
        <v>No</v>
      </c>
      <c r="K150" s="2" t="str">
        <f t="shared" si="9"/>
        <v>Yes</v>
      </c>
      <c r="L150" s="2" t="str">
        <f t="shared" si="11"/>
        <v>No</v>
      </c>
      <c r="M150" s="2">
        <f t="shared" si="10"/>
        <v>0</v>
      </c>
    </row>
    <row r="151" spans="1:13" x14ac:dyDescent="0.3">
      <c r="A151" s="5" t="s">
        <v>2780</v>
      </c>
      <c r="B151" s="5" t="s">
        <v>275</v>
      </c>
      <c r="C151" s="5" t="s">
        <v>2616</v>
      </c>
      <c r="D151" s="6">
        <v>45682</v>
      </c>
      <c r="E151" s="6">
        <v>45689</v>
      </c>
      <c r="F151" s="6">
        <v>45697</v>
      </c>
      <c r="G151" s="5" t="s">
        <v>2627</v>
      </c>
      <c r="H151" s="5">
        <v>49</v>
      </c>
      <c r="I151" s="5">
        <f>IFERROR(INDEX(Raw_Orders!H151:H2579,MATCH(B151,Raw_Orders!A151:A2579,0)),0)</f>
        <v>49</v>
      </c>
      <c r="J151" s="5" t="str">
        <f t="shared" si="8"/>
        <v>No</v>
      </c>
      <c r="K151" s="5" t="str">
        <f t="shared" si="9"/>
        <v>Yes</v>
      </c>
      <c r="L151" s="5" t="str">
        <f t="shared" si="11"/>
        <v>No</v>
      </c>
      <c r="M151" s="5">
        <f t="shared" si="10"/>
        <v>0</v>
      </c>
    </row>
    <row r="152" spans="1:13" x14ac:dyDescent="0.3">
      <c r="A152" s="2" t="s">
        <v>2781</v>
      </c>
      <c r="B152" s="2" t="s">
        <v>276</v>
      </c>
      <c r="C152" s="2" t="s">
        <v>2604</v>
      </c>
      <c r="D152" s="3">
        <v>45682</v>
      </c>
      <c r="E152" s="3">
        <v>45688</v>
      </c>
      <c r="F152" s="3">
        <v>45686</v>
      </c>
      <c r="G152" s="2" t="s">
        <v>2633</v>
      </c>
      <c r="H152" s="2">
        <v>15</v>
      </c>
      <c r="I152" s="2">
        <f>IFERROR(INDEX(Raw_Orders!H152:H2580,MATCH(B152,Raw_Orders!A152:A2580,0)),0)</f>
        <v>15</v>
      </c>
      <c r="J152" s="2" t="str">
        <f t="shared" si="8"/>
        <v>Yes</v>
      </c>
      <c r="K152" s="2" t="str">
        <f t="shared" si="9"/>
        <v>Yes</v>
      </c>
      <c r="L152" s="2" t="str">
        <f t="shared" si="11"/>
        <v>Yes</v>
      </c>
      <c r="M152" s="2">
        <f t="shared" si="10"/>
        <v>1</v>
      </c>
    </row>
    <row r="153" spans="1:13" x14ac:dyDescent="0.3">
      <c r="A153" s="5" t="s">
        <v>2782</v>
      </c>
      <c r="B153" s="5" t="s">
        <v>277</v>
      </c>
      <c r="C153" s="5" t="s">
        <v>2606</v>
      </c>
      <c r="D153" s="6">
        <v>45683</v>
      </c>
      <c r="E153" s="6">
        <v>45692</v>
      </c>
      <c r="F153" s="6">
        <v>45689</v>
      </c>
      <c r="G153" s="5" t="s">
        <v>2633</v>
      </c>
      <c r="H153" s="5">
        <v>13</v>
      </c>
      <c r="I153" s="5">
        <f>IFERROR(INDEX(Raw_Orders!H153:H2581,MATCH(B153,Raw_Orders!A153:A2581,0)),0)</f>
        <v>13</v>
      </c>
      <c r="J153" s="5" t="str">
        <f t="shared" si="8"/>
        <v>Yes</v>
      </c>
      <c r="K153" s="5" t="str">
        <f t="shared" si="9"/>
        <v>Yes</v>
      </c>
      <c r="L153" s="5" t="str">
        <f t="shared" si="11"/>
        <v>Yes</v>
      </c>
      <c r="M153" s="5">
        <f t="shared" si="10"/>
        <v>1</v>
      </c>
    </row>
    <row r="154" spans="1:13" x14ac:dyDescent="0.3">
      <c r="A154" s="2" t="s">
        <v>2783</v>
      </c>
      <c r="B154" s="2" t="s">
        <v>278</v>
      </c>
      <c r="C154" s="2" t="s">
        <v>2608</v>
      </c>
      <c r="D154" s="3">
        <v>45683</v>
      </c>
      <c r="E154" s="3">
        <v>45687</v>
      </c>
      <c r="F154" s="3">
        <v>45697</v>
      </c>
      <c r="G154" s="2" t="s">
        <v>2629</v>
      </c>
      <c r="H154" s="2">
        <v>20</v>
      </c>
      <c r="I154" s="2">
        <f>IFERROR(INDEX(Raw_Orders!H154:H2582,MATCH(B154,Raw_Orders!A154:A2582,0)),0)</f>
        <v>23</v>
      </c>
      <c r="J154" s="2" t="str">
        <f t="shared" si="8"/>
        <v>No</v>
      </c>
      <c r="K154" s="2" t="str">
        <f t="shared" si="9"/>
        <v>N0</v>
      </c>
      <c r="L154" s="2" t="str">
        <f t="shared" si="11"/>
        <v>No</v>
      </c>
      <c r="M154" s="2">
        <f t="shared" si="10"/>
        <v>0</v>
      </c>
    </row>
    <row r="155" spans="1:13" x14ac:dyDescent="0.3">
      <c r="A155" s="5" t="s">
        <v>2784</v>
      </c>
      <c r="B155" s="5" t="s">
        <v>280</v>
      </c>
      <c r="C155" s="5" t="s">
        <v>2608</v>
      </c>
      <c r="D155" s="6">
        <v>45684</v>
      </c>
      <c r="E155" s="6">
        <v>45686</v>
      </c>
      <c r="F155" s="6">
        <v>45698</v>
      </c>
      <c r="G155" s="5" t="s">
        <v>2633</v>
      </c>
      <c r="H155" s="5">
        <v>5</v>
      </c>
      <c r="I155" s="5">
        <f>IFERROR(INDEX(Raw_Orders!H155:H2583,MATCH(B155,Raw_Orders!A155:A2583,0)),0)</f>
        <v>8</v>
      </c>
      <c r="J155" s="5" t="str">
        <f t="shared" si="8"/>
        <v>No</v>
      </c>
      <c r="K155" s="5" t="str">
        <f t="shared" si="9"/>
        <v>N0</v>
      </c>
      <c r="L155" s="5" t="str">
        <f t="shared" si="11"/>
        <v>No</v>
      </c>
      <c r="M155" s="5">
        <f t="shared" si="10"/>
        <v>0</v>
      </c>
    </row>
    <row r="156" spans="1:13" x14ac:dyDescent="0.3">
      <c r="A156" s="2" t="s">
        <v>2785</v>
      </c>
      <c r="B156" s="2" t="s">
        <v>281</v>
      </c>
      <c r="C156" s="2" t="s">
        <v>2608</v>
      </c>
      <c r="D156" s="3">
        <v>45682</v>
      </c>
      <c r="E156" s="3">
        <v>45685</v>
      </c>
      <c r="F156" s="3">
        <v>45697</v>
      </c>
      <c r="G156" s="2" t="s">
        <v>2631</v>
      </c>
      <c r="H156" s="2">
        <v>1</v>
      </c>
      <c r="I156" s="2">
        <f>IFERROR(INDEX(Raw_Orders!H156:H2584,MATCH(B156,Raw_Orders!A156:A2584,0)),0)</f>
        <v>8</v>
      </c>
      <c r="J156" s="2" t="str">
        <f t="shared" si="8"/>
        <v>No</v>
      </c>
      <c r="K156" s="2" t="str">
        <f t="shared" si="9"/>
        <v>N0</v>
      </c>
      <c r="L156" s="2" t="str">
        <f t="shared" si="11"/>
        <v>No</v>
      </c>
      <c r="M156" s="2">
        <f t="shared" si="10"/>
        <v>0</v>
      </c>
    </row>
    <row r="157" spans="1:13" x14ac:dyDescent="0.3">
      <c r="A157" s="5" t="s">
        <v>2786</v>
      </c>
      <c r="B157" s="5" t="s">
        <v>283</v>
      </c>
      <c r="C157" s="5" t="s">
        <v>2598</v>
      </c>
      <c r="D157" s="6">
        <v>45683</v>
      </c>
      <c r="E157" s="6">
        <v>45692</v>
      </c>
      <c r="F157" s="6">
        <v>45698</v>
      </c>
      <c r="G157" s="5" t="s">
        <v>2631</v>
      </c>
      <c r="H157" s="5">
        <v>6</v>
      </c>
      <c r="I157" s="5">
        <f>IFERROR(INDEX(Raw_Orders!H157:H2585,MATCH(B157,Raw_Orders!A157:A2585,0)),0)</f>
        <v>6</v>
      </c>
      <c r="J157" s="5" t="str">
        <f t="shared" si="8"/>
        <v>No</v>
      </c>
      <c r="K157" s="5" t="str">
        <f t="shared" si="9"/>
        <v>Yes</v>
      </c>
      <c r="L157" s="5" t="str">
        <f t="shared" si="11"/>
        <v>No</v>
      </c>
      <c r="M157" s="5">
        <f t="shared" si="10"/>
        <v>0</v>
      </c>
    </row>
    <row r="158" spans="1:13" x14ac:dyDescent="0.3">
      <c r="A158" s="2" t="s">
        <v>2787</v>
      </c>
      <c r="B158" s="2" t="s">
        <v>284</v>
      </c>
      <c r="C158" s="2" t="s">
        <v>2614</v>
      </c>
      <c r="D158" s="3">
        <v>45683</v>
      </c>
      <c r="E158" s="3">
        <v>45693</v>
      </c>
      <c r="F158" s="3">
        <v>45698</v>
      </c>
      <c r="G158" s="2" t="s">
        <v>2629</v>
      </c>
      <c r="H158" s="2">
        <v>21</v>
      </c>
      <c r="I158" s="2">
        <f>IFERROR(INDEX(Raw_Orders!H158:H2586,MATCH(B158,Raw_Orders!A158:A2586,0)),0)</f>
        <v>21</v>
      </c>
      <c r="J158" s="2" t="str">
        <f t="shared" si="8"/>
        <v>No</v>
      </c>
      <c r="K158" s="2" t="str">
        <f t="shared" si="9"/>
        <v>Yes</v>
      </c>
      <c r="L158" s="2" t="str">
        <f t="shared" si="11"/>
        <v>No</v>
      </c>
      <c r="M158" s="2">
        <f t="shared" si="10"/>
        <v>0</v>
      </c>
    </row>
    <row r="159" spans="1:13" x14ac:dyDescent="0.3">
      <c r="A159" s="5" t="s">
        <v>2788</v>
      </c>
      <c r="B159" s="5" t="s">
        <v>285</v>
      </c>
      <c r="C159" s="5" t="s">
        <v>2614</v>
      </c>
      <c r="D159" s="6">
        <v>45683</v>
      </c>
      <c r="E159" s="6">
        <v>45691</v>
      </c>
      <c r="F159" s="6">
        <v>45701</v>
      </c>
      <c r="G159" s="5" t="s">
        <v>2641</v>
      </c>
      <c r="H159" s="5">
        <v>12</v>
      </c>
      <c r="I159" s="5">
        <f>IFERROR(INDEX(Raw_Orders!H159:H2587,MATCH(B159,Raw_Orders!A159:A2587,0)),0)</f>
        <v>12</v>
      </c>
      <c r="J159" s="5" t="str">
        <f t="shared" si="8"/>
        <v>No</v>
      </c>
      <c r="K159" s="5" t="str">
        <f t="shared" si="9"/>
        <v>Yes</v>
      </c>
      <c r="L159" s="5" t="str">
        <f t="shared" si="11"/>
        <v>No</v>
      </c>
      <c r="M159" s="5">
        <f t="shared" si="10"/>
        <v>0</v>
      </c>
    </row>
    <row r="160" spans="1:13" x14ac:dyDescent="0.3">
      <c r="A160" s="2" t="s">
        <v>2789</v>
      </c>
      <c r="B160" s="2" t="s">
        <v>286</v>
      </c>
      <c r="C160" s="2" t="s">
        <v>2608</v>
      </c>
      <c r="D160" s="3">
        <v>45683</v>
      </c>
      <c r="E160" s="3">
        <v>45690</v>
      </c>
      <c r="F160" s="3">
        <v>45700</v>
      </c>
      <c r="G160" s="2" t="s">
        <v>2631</v>
      </c>
      <c r="H160" s="2">
        <v>10</v>
      </c>
      <c r="I160" s="2">
        <f>IFERROR(INDEX(Raw_Orders!H160:H2588,MATCH(B160,Raw_Orders!A160:A2588,0)),0)</f>
        <v>10</v>
      </c>
      <c r="J160" s="2" t="str">
        <f t="shared" si="8"/>
        <v>No</v>
      </c>
      <c r="K160" s="2" t="str">
        <f t="shared" si="9"/>
        <v>Yes</v>
      </c>
      <c r="L160" s="2" t="str">
        <f t="shared" si="11"/>
        <v>No</v>
      </c>
      <c r="M160" s="2">
        <f t="shared" si="10"/>
        <v>0</v>
      </c>
    </row>
    <row r="161" spans="1:13" x14ac:dyDescent="0.3">
      <c r="A161" s="5" t="s">
        <v>2790</v>
      </c>
      <c r="B161" s="5" t="s">
        <v>287</v>
      </c>
      <c r="C161" s="5" t="s">
        <v>2608</v>
      </c>
      <c r="D161" s="6">
        <v>45684</v>
      </c>
      <c r="E161" s="6">
        <v>45690</v>
      </c>
      <c r="F161" s="6">
        <v>45696</v>
      </c>
      <c r="G161" s="5" t="s">
        <v>2631</v>
      </c>
      <c r="H161" s="5">
        <v>6</v>
      </c>
      <c r="I161" s="5">
        <f>IFERROR(INDEX(Raw_Orders!H161:H2589,MATCH(B161,Raw_Orders!A161:A2589,0)),0)</f>
        <v>6</v>
      </c>
      <c r="J161" s="5" t="str">
        <f t="shared" si="8"/>
        <v>No</v>
      </c>
      <c r="K161" s="5" t="str">
        <f t="shared" si="9"/>
        <v>Yes</v>
      </c>
      <c r="L161" s="5" t="str">
        <f t="shared" si="11"/>
        <v>No</v>
      </c>
      <c r="M161" s="5">
        <f t="shared" si="10"/>
        <v>0</v>
      </c>
    </row>
    <row r="162" spans="1:13" x14ac:dyDescent="0.3">
      <c r="A162" s="2" t="s">
        <v>2791</v>
      </c>
      <c r="B162" s="2" t="s">
        <v>288</v>
      </c>
      <c r="C162" s="2" t="s">
        <v>2611</v>
      </c>
      <c r="D162" s="3">
        <v>45686</v>
      </c>
      <c r="E162" s="3">
        <v>45693</v>
      </c>
      <c r="F162" s="3">
        <v>45692</v>
      </c>
      <c r="G162" s="2" t="s">
        <v>2631</v>
      </c>
      <c r="H162" s="2">
        <v>43</v>
      </c>
      <c r="I162" s="2">
        <f>IFERROR(INDEX(Raw_Orders!H162:H2590,MATCH(B162,Raw_Orders!A162:A2590,0)),0)</f>
        <v>43</v>
      </c>
      <c r="J162" s="2" t="str">
        <f t="shared" si="8"/>
        <v>Yes</v>
      </c>
      <c r="K162" s="2" t="str">
        <f t="shared" si="9"/>
        <v>Yes</v>
      </c>
      <c r="L162" s="2" t="str">
        <f t="shared" si="11"/>
        <v>Yes</v>
      </c>
      <c r="M162" s="2">
        <f t="shared" si="10"/>
        <v>1</v>
      </c>
    </row>
    <row r="163" spans="1:13" x14ac:dyDescent="0.3">
      <c r="A163" s="5" t="s">
        <v>2792</v>
      </c>
      <c r="B163" s="5" t="s">
        <v>289</v>
      </c>
      <c r="C163" s="5" t="s">
        <v>2614</v>
      </c>
      <c r="D163" s="6">
        <v>45685</v>
      </c>
      <c r="E163" s="6">
        <v>45690</v>
      </c>
      <c r="F163" s="6">
        <v>45701</v>
      </c>
      <c r="G163" s="5" t="s">
        <v>2633</v>
      </c>
      <c r="H163" s="5">
        <v>9</v>
      </c>
      <c r="I163" s="5">
        <f>IFERROR(INDEX(Raw_Orders!H163:H2591,MATCH(B163,Raw_Orders!A163:A2591,0)),0)</f>
        <v>9</v>
      </c>
      <c r="J163" s="5" t="str">
        <f t="shared" si="8"/>
        <v>No</v>
      </c>
      <c r="K163" s="5" t="str">
        <f t="shared" si="9"/>
        <v>Yes</v>
      </c>
      <c r="L163" s="5" t="str">
        <f t="shared" si="11"/>
        <v>No</v>
      </c>
      <c r="M163" s="5">
        <f t="shared" si="10"/>
        <v>0</v>
      </c>
    </row>
    <row r="164" spans="1:13" x14ac:dyDescent="0.3">
      <c r="A164" s="2" t="s">
        <v>2793</v>
      </c>
      <c r="B164" s="2" t="s">
        <v>290</v>
      </c>
      <c r="C164" s="2" t="s">
        <v>2614</v>
      </c>
      <c r="D164" s="3">
        <v>45685</v>
      </c>
      <c r="E164" s="3">
        <v>45688</v>
      </c>
      <c r="F164" s="3">
        <v>45701</v>
      </c>
      <c r="G164" s="2" t="s">
        <v>2641</v>
      </c>
      <c r="H164" s="2">
        <v>4</v>
      </c>
      <c r="I164" s="2">
        <f>IFERROR(INDEX(Raw_Orders!H164:H2592,MATCH(B164,Raw_Orders!A164:A2592,0)),0)</f>
        <v>12</v>
      </c>
      <c r="J164" s="2" t="str">
        <f t="shared" si="8"/>
        <v>No</v>
      </c>
      <c r="K164" s="2" t="str">
        <f t="shared" si="9"/>
        <v>N0</v>
      </c>
      <c r="L164" s="2" t="str">
        <f t="shared" si="11"/>
        <v>No</v>
      </c>
      <c r="M164" s="2">
        <f t="shared" si="10"/>
        <v>0</v>
      </c>
    </row>
    <row r="165" spans="1:13" x14ac:dyDescent="0.3">
      <c r="A165" s="5" t="s">
        <v>2794</v>
      </c>
      <c r="B165" s="5" t="s">
        <v>291</v>
      </c>
      <c r="C165" s="5" t="s">
        <v>2616</v>
      </c>
      <c r="D165" s="6">
        <v>45686</v>
      </c>
      <c r="E165" s="6">
        <v>45687</v>
      </c>
      <c r="F165" s="6">
        <v>45705</v>
      </c>
      <c r="G165" s="5" t="s">
        <v>2633</v>
      </c>
      <c r="H165" s="5">
        <v>17</v>
      </c>
      <c r="I165" s="5">
        <f>IFERROR(INDEX(Raw_Orders!H165:H2593,MATCH(B165,Raw_Orders!A165:A2593,0)),0)</f>
        <v>17</v>
      </c>
      <c r="J165" s="5" t="str">
        <f t="shared" si="8"/>
        <v>No</v>
      </c>
      <c r="K165" s="5" t="str">
        <f t="shared" si="9"/>
        <v>Yes</v>
      </c>
      <c r="L165" s="5" t="str">
        <f t="shared" si="11"/>
        <v>No</v>
      </c>
      <c r="M165" s="5">
        <f t="shared" si="10"/>
        <v>0</v>
      </c>
    </row>
    <row r="166" spans="1:13" x14ac:dyDescent="0.3">
      <c r="A166" s="2" t="s">
        <v>2795</v>
      </c>
      <c r="B166" s="2" t="s">
        <v>292</v>
      </c>
      <c r="C166" s="2" t="s">
        <v>2616</v>
      </c>
      <c r="D166" s="3">
        <v>45684</v>
      </c>
      <c r="E166" s="3">
        <v>45694</v>
      </c>
      <c r="F166" s="3">
        <v>45699</v>
      </c>
      <c r="G166" s="2" t="s">
        <v>2633</v>
      </c>
      <c r="H166" s="2">
        <v>31</v>
      </c>
      <c r="I166" s="2">
        <f>IFERROR(INDEX(Raw_Orders!H166:H2594,MATCH(B166,Raw_Orders!A166:A2594,0)),0)</f>
        <v>31</v>
      </c>
      <c r="J166" s="2" t="str">
        <f t="shared" si="8"/>
        <v>No</v>
      </c>
      <c r="K166" s="2" t="str">
        <f t="shared" si="9"/>
        <v>Yes</v>
      </c>
      <c r="L166" s="2" t="str">
        <f t="shared" si="11"/>
        <v>No</v>
      </c>
      <c r="M166" s="2">
        <f t="shared" si="10"/>
        <v>0</v>
      </c>
    </row>
    <row r="167" spans="1:13" x14ac:dyDescent="0.3">
      <c r="A167" s="5" t="s">
        <v>2796</v>
      </c>
      <c r="B167" s="5" t="s">
        <v>293</v>
      </c>
      <c r="C167" s="5" t="s">
        <v>2604</v>
      </c>
      <c r="D167" s="6">
        <v>45684</v>
      </c>
      <c r="E167" s="6">
        <v>45688</v>
      </c>
      <c r="F167" s="6">
        <v>45688</v>
      </c>
      <c r="G167" s="5" t="s">
        <v>2627</v>
      </c>
      <c r="H167" s="5">
        <v>13</v>
      </c>
      <c r="I167" s="5">
        <f>IFERROR(INDEX(Raw_Orders!H167:H2595,MATCH(B167,Raw_Orders!A167:A2595,0)),0)</f>
        <v>13</v>
      </c>
      <c r="J167" s="5" t="str">
        <f t="shared" si="8"/>
        <v>Yes</v>
      </c>
      <c r="K167" s="5" t="str">
        <f t="shared" si="9"/>
        <v>Yes</v>
      </c>
      <c r="L167" s="5" t="str">
        <f t="shared" si="11"/>
        <v>Yes</v>
      </c>
      <c r="M167" s="5">
        <f t="shared" si="10"/>
        <v>1</v>
      </c>
    </row>
    <row r="168" spans="1:13" x14ac:dyDescent="0.3">
      <c r="A168" s="2" t="s">
        <v>2797</v>
      </c>
      <c r="B168" s="2" t="s">
        <v>294</v>
      </c>
      <c r="C168" s="2" t="s">
        <v>2606</v>
      </c>
      <c r="D168" s="3">
        <v>45684</v>
      </c>
      <c r="E168" s="3">
        <v>45691</v>
      </c>
      <c r="F168" s="3">
        <v>45690</v>
      </c>
      <c r="G168" s="2" t="s">
        <v>2627</v>
      </c>
      <c r="H168" s="2">
        <v>30</v>
      </c>
      <c r="I168" s="2">
        <f>IFERROR(INDEX(Raw_Orders!H168:H2596,MATCH(B168,Raw_Orders!A168:A2596,0)),0)</f>
        <v>30</v>
      </c>
      <c r="J168" s="2" t="str">
        <f t="shared" si="8"/>
        <v>Yes</v>
      </c>
      <c r="K168" s="2" t="str">
        <f t="shared" si="9"/>
        <v>Yes</v>
      </c>
      <c r="L168" s="2" t="str">
        <f t="shared" si="11"/>
        <v>Yes</v>
      </c>
      <c r="M168" s="2">
        <f t="shared" si="10"/>
        <v>1</v>
      </c>
    </row>
    <row r="169" spans="1:13" x14ac:dyDescent="0.3">
      <c r="A169" s="5" t="s">
        <v>2798</v>
      </c>
      <c r="B169" s="5" t="s">
        <v>295</v>
      </c>
      <c r="C169" s="5" t="s">
        <v>2606</v>
      </c>
      <c r="D169" s="6">
        <v>45685</v>
      </c>
      <c r="E169" s="6">
        <v>45687</v>
      </c>
      <c r="F169" s="6">
        <v>45692</v>
      </c>
      <c r="G169" s="5" t="s">
        <v>2633</v>
      </c>
      <c r="H169" s="5">
        <v>22</v>
      </c>
      <c r="I169" s="5">
        <f>IFERROR(INDEX(Raw_Orders!H169:H2597,MATCH(B169,Raw_Orders!A169:A2597,0)),0)</f>
        <v>22</v>
      </c>
      <c r="J169" s="5" t="str">
        <f t="shared" si="8"/>
        <v>No</v>
      </c>
      <c r="K169" s="5" t="str">
        <f t="shared" si="9"/>
        <v>Yes</v>
      </c>
      <c r="L169" s="5" t="str">
        <f t="shared" si="11"/>
        <v>No</v>
      </c>
      <c r="M169" s="5">
        <f t="shared" si="10"/>
        <v>0</v>
      </c>
    </row>
    <row r="170" spans="1:13" x14ac:dyDescent="0.3">
      <c r="A170" s="2" t="s">
        <v>2799</v>
      </c>
      <c r="B170" s="2" t="s">
        <v>296</v>
      </c>
      <c r="C170" s="2" t="s">
        <v>2606</v>
      </c>
      <c r="D170" s="3">
        <v>45685</v>
      </c>
      <c r="E170" s="3">
        <v>45691</v>
      </c>
      <c r="F170" s="3">
        <v>45692</v>
      </c>
      <c r="G170" s="2" t="s">
        <v>2631</v>
      </c>
      <c r="H170" s="2">
        <v>25</v>
      </c>
      <c r="I170" s="2">
        <f>IFERROR(INDEX(Raw_Orders!H170:H2598,MATCH(B170,Raw_Orders!A170:A2598,0)),0)</f>
        <v>27</v>
      </c>
      <c r="J170" s="2" t="str">
        <f t="shared" si="8"/>
        <v>No</v>
      </c>
      <c r="K170" s="2" t="str">
        <f t="shared" si="9"/>
        <v>N0</v>
      </c>
      <c r="L170" s="2" t="str">
        <f t="shared" si="11"/>
        <v>No</v>
      </c>
      <c r="M170" s="2">
        <f t="shared" si="10"/>
        <v>0</v>
      </c>
    </row>
    <row r="171" spans="1:13" x14ac:dyDescent="0.3">
      <c r="A171" s="5" t="s">
        <v>2800</v>
      </c>
      <c r="B171" s="5" t="s">
        <v>297</v>
      </c>
      <c r="C171" s="5" t="s">
        <v>2608</v>
      </c>
      <c r="D171" s="6">
        <v>45684</v>
      </c>
      <c r="E171" s="6">
        <v>45694</v>
      </c>
      <c r="F171" s="6">
        <v>45698</v>
      </c>
      <c r="G171" s="5" t="s">
        <v>2629</v>
      </c>
      <c r="H171" s="5">
        <v>23</v>
      </c>
      <c r="I171" s="5">
        <f>IFERROR(INDEX(Raw_Orders!H171:H2599,MATCH(B171,Raw_Orders!A171:A2599,0)),0)</f>
        <v>30</v>
      </c>
      <c r="J171" s="5" t="str">
        <f t="shared" si="8"/>
        <v>No</v>
      </c>
      <c r="K171" s="5" t="str">
        <f t="shared" si="9"/>
        <v>N0</v>
      </c>
      <c r="L171" s="5" t="str">
        <f t="shared" si="11"/>
        <v>No</v>
      </c>
      <c r="M171" s="5">
        <f t="shared" si="10"/>
        <v>0</v>
      </c>
    </row>
    <row r="172" spans="1:13" x14ac:dyDescent="0.3">
      <c r="A172" s="2" t="s">
        <v>2801</v>
      </c>
      <c r="B172" s="2" t="s">
        <v>298</v>
      </c>
      <c r="C172" s="2" t="s">
        <v>2608</v>
      </c>
      <c r="D172" s="3">
        <v>45686</v>
      </c>
      <c r="E172" s="3">
        <v>45692</v>
      </c>
      <c r="F172" s="3">
        <v>45700</v>
      </c>
      <c r="G172" s="2" t="s">
        <v>2627</v>
      </c>
      <c r="H172" s="2">
        <v>4</v>
      </c>
      <c r="I172" s="2">
        <f>IFERROR(INDEX(Raw_Orders!H172:H2600,MATCH(B172,Raw_Orders!A172:A2600,0)),0)</f>
        <v>4</v>
      </c>
      <c r="J172" s="2" t="str">
        <f t="shared" si="8"/>
        <v>No</v>
      </c>
      <c r="K172" s="2" t="str">
        <f t="shared" si="9"/>
        <v>Yes</v>
      </c>
      <c r="L172" s="2" t="str">
        <f t="shared" si="11"/>
        <v>No</v>
      </c>
      <c r="M172" s="2">
        <f t="shared" si="10"/>
        <v>0</v>
      </c>
    </row>
    <row r="173" spans="1:13" x14ac:dyDescent="0.3">
      <c r="A173" s="5" t="s">
        <v>2802</v>
      </c>
      <c r="B173" s="5" t="s">
        <v>299</v>
      </c>
      <c r="C173" s="5" t="s">
        <v>2598</v>
      </c>
      <c r="D173" s="6">
        <v>45686</v>
      </c>
      <c r="E173" s="6">
        <v>45688</v>
      </c>
      <c r="F173" s="6">
        <v>45700</v>
      </c>
      <c r="G173" s="5" t="s">
        <v>2627</v>
      </c>
      <c r="H173" s="5">
        <v>45</v>
      </c>
      <c r="I173" s="5">
        <f>IFERROR(INDEX(Raw_Orders!H173:H2601,MATCH(B173,Raw_Orders!A173:A2601,0)),0)</f>
        <v>45</v>
      </c>
      <c r="J173" s="5" t="str">
        <f t="shared" si="8"/>
        <v>No</v>
      </c>
      <c r="K173" s="5" t="str">
        <f t="shared" si="9"/>
        <v>Yes</v>
      </c>
      <c r="L173" s="5" t="str">
        <f t="shared" si="11"/>
        <v>No</v>
      </c>
      <c r="M173" s="5">
        <f t="shared" si="10"/>
        <v>0</v>
      </c>
    </row>
    <row r="174" spans="1:13" x14ac:dyDescent="0.3">
      <c r="A174" s="2" t="s">
        <v>2803</v>
      </c>
      <c r="B174" s="2" t="s">
        <v>300</v>
      </c>
      <c r="C174" s="2" t="s">
        <v>2601</v>
      </c>
      <c r="D174" s="3">
        <v>45685</v>
      </c>
      <c r="E174" s="3">
        <v>45693</v>
      </c>
      <c r="F174" s="3">
        <v>45690</v>
      </c>
      <c r="G174" s="2" t="s">
        <v>2633</v>
      </c>
      <c r="H174" s="2">
        <v>14</v>
      </c>
      <c r="I174" s="2">
        <f>IFERROR(INDEX(Raw_Orders!H174:H2602,MATCH(B174,Raw_Orders!A174:A2602,0)),0)</f>
        <v>14</v>
      </c>
      <c r="J174" s="2" t="str">
        <f t="shared" si="8"/>
        <v>Yes</v>
      </c>
      <c r="K174" s="2" t="str">
        <f t="shared" si="9"/>
        <v>Yes</v>
      </c>
      <c r="L174" s="2" t="str">
        <f t="shared" si="11"/>
        <v>Yes</v>
      </c>
      <c r="M174" s="2">
        <f t="shared" si="10"/>
        <v>1</v>
      </c>
    </row>
    <row r="175" spans="1:13" x14ac:dyDescent="0.3">
      <c r="A175" s="5" t="s">
        <v>2804</v>
      </c>
      <c r="B175" s="5" t="s">
        <v>301</v>
      </c>
      <c r="C175" s="5" t="s">
        <v>2616</v>
      </c>
      <c r="D175" s="6">
        <v>45685</v>
      </c>
      <c r="E175" s="6">
        <v>45689</v>
      </c>
      <c r="F175" s="6">
        <v>45701</v>
      </c>
      <c r="G175" s="5" t="s">
        <v>2641</v>
      </c>
      <c r="H175" s="5">
        <v>20</v>
      </c>
      <c r="I175" s="5">
        <f>IFERROR(INDEX(Raw_Orders!H175:H2603,MATCH(B175,Raw_Orders!A175:A2603,0)),0)</f>
        <v>20</v>
      </c>
      <c r="J175" s="5" t="str">
        <f t="shared" si="8"/>
        <v>No</v>
      </c>
      <c r="K175" s="5" t="str">
        <f t="shared" si="9"/>
        <v>Yes</v>
      </c>
      <c r="L175" s="5" t="str">
        <f t="shared" si="11"/>
        <v>No</v>
      </c>
      <c r="M175" s="5">
        <f t="shared" si="10"/>
        <v>0</v>
      </c>
    </row>
    <row r="176" spans="1:13" x14ac:dyDescent="0.3">
      <c r="A176" s="2" t="s">
        <v>2805</v>
      </c>
      <c r="B176" s="2" t="s">
        <v>302</v>
      </c>
      <c r="C176" s="2" t="s">
        <v>2606</v>
      </c>
      <c r="D176" s="3">
        <v>45687</v>
      </c>
      <c r="E176" s="3">
        <v>45693</v>
      </c>
      <c r="F176" s="3">
        <v>45694</v>
      </c>
      <c r="G176" s="2" t="s">
        <v>2627</v>
      </c>
      <c r="H176" s="2">
        <v>23</v>
      </c>
      <c r="I176" s="2">
        <f>IFERROR(INDEX(Raw_Orders!H176:H2604,MATCH(B176,Raw_Orders!A176:A2604,0)),0)</f>
        <v>23</v>
      </c>
      <c r="J176" s="2" t="str">
        <f t="shared" si="8"/>
        <v>No</v>
      </c>
      <c r="K176" s="2" t="str">
        <f t="shared" si="9"/>
        <v>Yes</v>
      </c>
      <c r="L176" s="2" t="str">
        <f t="shared" si="11"/>
        <v>No</v>
      </c>
      <c r="M176" s="2">
        <f t="shared" si="10"/>
        <v>0</v>
      </c>
    </row>
    <row r="177" spans="1:13" x14ac:dyDescent="0.3">
      <c r="A177" s="5" t="s">
        <v>2806</v>
      </c>
      <c r="B177" s="5" t="s">
        <v>303</v>
      </c>
      <c r="C177" s="5" t="s">
        <v>2608</v>
      </c>
      <c r="D177" s="6">
        <v>45687</v>
      </c>
      <c r="E177" s="6">
        <v>45689</v>
      </c>
      <c r="F177" s="6">
        <v>45700</v>
      </c>
      <c r="G177" s="5" t="s">
        <v>2631</v>
      </c>
      <c r="H177" s="5">
        <v>33</v>
      </c>
      <c r="I177" s="5">
        <f>IFERROR(INDEX(Raw_Orders!H177:H2605,MATCH(B177,Raw_Orders!A177:A2605,0)),0)</f>
        <v>33</v>
      </c>
      <c r="J177" s="5" t="str">
        <f t="shared" si="8"/>
        <v>No</v>
      </c>
      <c r="K177" s="5" t="str">
        <f t="shared" si="9"/>
        <v>Yes</v>
      </c>
      <c r="L177" s="5" t="str">
        <f t="shared" si="11"/>
        <v>No</v>
      </c>
      <c r="M177" s="5">
        <f t="shared" si="10"/>
        <v>0</v>
      </c>
    </row>
    <row r="178" spans="1:13" x14ac:dyDescent="0.3">
      <c r="A178" s="2" t="s">
        <v>2807</v>
      </c>
      <c r="B178" s="2" t="s">
        <v>305</v>
      </c>
      <c r="C178" s="2" t="s">
        <v>2608</v>
      </c>
      <c r="D178" s="3">
        <v>45687</v>
      </c>
      <c r="E178" s="3">
        <v>45690</v>
      </c>
      <c r="F178" s="3">
        <v>45701</v>
      </c>
      <c r="G178" s="2" t="s">
        <v>2633</v>
      </c>
      <c r="H178" s="2">
        <v>8</v>
      </c>
      <c r="I178" s="2">
        <f>IFERROR(INDEX(Raw_Orders!H178:H2606,MATCH(B178,Raw_Orders!A178:A2606,0)),0)</f>
        <v>8</v>
      </c>
      <c r="J178" s="2" t="str">
        <f t="shared" si="8"/>
        <v>No</v>
      </c>
      <c r="K178" s="2" t="str">
        <f t="shared" si="9"/>
        <v>Yes</v>
      </c>
      <c r="L178" s="2" t="str">
        <f t="shared" si="11"/>
        <v>No</v>
      </c>
      <c r="M178" s="2">
        <f t="shared" si="10"/>
        <v>0</v>
      </c>
    </row>
    <row r="179" spans="1:13" x14ac:dyDescent="0.3">
      <c r="A179" s="5" t="s">
        <v>2808</v>
      </c>
      <c r="B179" s="5" t="s">
        <v>306</v>
      </c>
      <c r="C179" s="5" t="s">
        <v>2598</v>
      </c>
      <c r="D179" s="6">
        <v>45687</v>
      </c>
      <c r="E179" s="6">
        <v>45692</v>
      </c>
      <c r="F179" s="6">
        <v>45700</v>
      </c>
      <c r="G179" s="5" t="s">
        <v>2631</v>
      </c>
      <c r="H179" s="5">
        <v>12</v>
      </c>
      <c r="I179" s="5">
        <f>IFERROR(INDEX(Raw_Orders!H179:H2607,MATCH(B179,Raw_Orders!A179:A2607,0)),0)</f>
        <v>12</v>
      </c>
      <c r="J179" s="5" t="str">
        <f t="shared" si="8"/>
        <v>No</v>
      </c>
      <c r="K179" s="5" t="str">
        <f t="shared" si="9"/>
        <v>Yes</v>
      </c>
      <c r="L179" s="5" t="str">
        <f t="shared" si="11"/>
        <v>No</v>
      </c>
      <c r="M179" s="5">
        <f t="shared" si="10"/>
        <v>0</v>
      </c>
    </row>
    <row r="180" spans="1:13" x14ac:dyDescent="0.3">
      <c r="A180" s="2" t="s">
        <v>2809</v>
      </c>
      <c r="B180" s="2" t="s">
        <v>307</v>
      </c>
      <c r="C180" s="2" t="s">
        <v>2614</v>
      </c>
      <c r="D180" s="3">
        <v>45686</v>
      </c>
      <c r="E180" s="3">
        <v>45696</v>
      </c>
      <c r="F180" s="3">
        <v>45702</v>
      </c>
      <c r="G180" s="2" t="s">
        <v>2633</v>
      </c>
      <c r="H180" s="2">
        <v>14</v>
      </c>
      <c r="I180" s="2">
        <f>IFERROR(INDEX(Raw_Orders!H180:H2608,MATCH(B180,Raw_Orders!A180:A2608,0)),0)</f>
        <v>14</v>
      </c>
      <c r="J180" s="2" t="str">
        <f t="shared" si="8"/>
        <v>No</v>
      </c>
      <c r="K180" s="2" t="str">
        <f t="shared" si="9"/>
        <v>Yes</v>
      </c>
      <c r="L180" s="2" t="str">
        <f t="shared" si="11"/>
        <v>No</v>
      </c>
      <c r="M180" s="2">
        <f t="shared" si="10"/>
        <v>0</v>
      </c>
    </row>
    <row r="181" spans="1:13" x14ac:dyDescent="0.3">
      <c r="A181" s="5" t="s">
        <v>2810</v>
      </c>
      <c r="B181" s="5" t="s">
        <v>308</v>
      </c>
      <c r="C181" s="5" t="s">
        <v>2616</v>
      </c>
      <c r="D181" s="6">
        <v>45686</v>
      </c>
      <c r="E181" s="6">
        <v>45690</v>
      </c>
      <c r="F181" s="6">
        <v>45701</v>
      </c>
      <c r="G181" s="5" t="s">
        <v>2629</v>
      </c>
      <c r="H181" s="5">
        <v>8</v>
      </c>
      <c r="I181" s="5">
        <f>IFERROR(INDEX(Raw_Orders!H181:H2609,MATCH(B181,Raw_Orders!A181:A2609,0)),0)</f>
        <v>8</v>
      </c>
      <c r="J181" s="5" t="str">
        <f t="shared" si="8"/>
        <v>No</v>
      </c>
      <c r="K181" s="5" t="str">
        <f t="shared" si="9"/>
        <v>Yes</v>
      </c>
      <c r="L181" s="5" t="str">
        <f t="shared" si="11"/>
        <v>No</v>
      </c>
      <c r="M181" s="5">
        <f t="shared" si="10"/>
        <v>0</v>
      </c>
    </row>
    <row r="182" spans="1:13" x14ac:dyDescent="0.3">
      <c r="A182" s="2" t="s">
        <v>2811</v>
      </c>
      <c r="B182" s="2" t="s">
        <v>309</v>
      </c>
      <c r="C182" s="2" t="s">
        <v>2606</v>
      </c>
      <c r="D182" s="3">
        <v>45687</v>
      </c>
      <c r="E182" s="3">
        <v>45689</v>
      </c>
      <c r="F182" s="3">
        <v>45693</v>
      </c>
      <c r="G182" s="2" t="s">
        <v>2641</v>
      </c>
      <c r="H182" s="2">
        <v>52</v>
      </c>
      <c r="I182" s="2">
        <f>IFERROR(INDEX(Raw_Orders!H182:H2610,MATCH(B182,Raw_Orders!A182:A2610,0)),0)</f>
        <v>52</v>
      </c>
      <c r="J182" s="2" t="str">
        <f t="shared" si="8"/>
        <v>No</v>
      </c>
      <c r="K182" s="2" t="str">
        <f t="shared" si="9"/>
        <v>Yes</v>
      </c>
      <c r="L182" s="2" t="str">
        <f t="shared" si="11"/>
        <v>No</v>
      </c>
      <c r="M182" s="2">
        <f t="shared" si="10"/>
        <v>0</v>
      </c>
    </row>
    <row r="183" spans="1:13" x14ac:dyDescent="0.3">
      <c r="A183" s="5" t="s">
        <v>2812</v>
      </c>
      <c r="B183" s="5" t="s">
        <v>310</v>
      </c>
      <c r="C183" s="5" t="s">
        <v>2608</v>
      </c>
      <c r="D183" s="6">
        <v>45688</v>
      </c>
      <c r="E183" s="6">
        <v>45690</v>
      </c>
      <c r="F183" s="6">
        <v>45701</v>
      </c>
      <c r="G183" s="5" t="s">
        <v>2633</v>
      </c>
      <c r="H183" s="5">
        <v>30</v>
      </c>
      <c r="I183" s="5">
        <f>IFERROR(INDEX(Raw_Orders!H183:H2611,MATCH(B183,Raw_Orders!A183:A2611,0)),0)</f>
        <v>30</v>
      </c>
      <c r="J183" s="5" t="str">
        <f t="shared" si="8"/>
        <v>No</v>
      </c>
      <c r="K183" s="5" t="str">
        <f t="shared" si="9"/>
        <v>Yes</v>
      </c>
      <c r="L183" s="5" t="str">
        <f t="shared" si="11"/>
        <v>No</v>
      </c>
      <c r="M183" s="5">
        <f t="shared" si="10"/>
        <v>0</v>
      </c>
    </row>
    <row r="184" spans="1:13" x14ac:dyDescent="0.3">
      <c r="A184" s="2" t="s">
        <v>2813</v>
      </c>
      <c r="B184" s="2" t="s">
        <v>311</v>
      </c>
      <c r="C184" s="2" t="s">
        <v>2598</v>
      </c>
      <c r="D184" s="3">
        <v>45689</v>
      </c>
      <c r="E184" s="3">
        <v>45695</v>
      </c>
      <c r="F184" s="3">
        <v>45704</v>
      </c>
      <c r="G184" s="2" t="s">
        <v>2629</v>
      </c>
      <c r="H184" s="2">
        <v>42</v>
      </c>
      <c r="I184" s="2">
        <f>IFERROR(INDEX(Raw_Orders!H184:H2612,MATCH(B184,Raw_Orders!A184:A2612,0)),0)</f>
        <v>42</v>
      </c>
      <c r="J184" s="2" t="str">
        <f t="shared" si="8"/>
        <v>No</v>
      </c>
      <c r="K184" s="2" t="str">
        <f t="shared" si="9"/>
        <v>Yes</v>
      </c>
      <c r="L184" s="2" t="str">
        <f t="shared" si="11"/>
        <v>No</v>
      </c>
      <c r="M184" s="2">
        <f t="shared" si="10"/>
        <v>0</v>
      </c>
    </row>
    <row r="185" spans="1:13" x14ac:dyDescent="0.3">
      <c r="A185" s="5" t="s">
        <v>2814</v>
      </c>
      <c r="B185" s="5" t="s">
        <v>313</v>
      </c>
      <c r="C185" s="5" t="s">
        <v>2606</v>
      </c>
      <c r="D185" s="6">
        <v>45689</v>
      </c>
      <c r="E185" s="6">
        <v>45692</v>
      </c>
      <c r="F185" s="6">
        <v>45696</v>
      </c>
      <c r="G185" s="5" t="s">
        <v>2631</v>
      </c>
      <c r="H185" s="5">
        <v>20</v>
      </c>
      <c r="I185" s="5">
        <f>IFERROR(INDEX(Raw_Orders!H185:H2613,MATCH(B185,Raw_Orders!A185:A2613,0)),0)</f>
        <v>20</v>
      </c>
      <c r="J185" s="5" t="str">
        <f t="shared" si="8"/>
        <v>No</v>
      </c>
      <c r="K185" s="5" t="str">
        <f t="shared" si="9"/>
        <v>Yes</v>
      </c>
      <c r="L185" s="5" t="str">
        <f t="shared" si="11"/>
        <v>No</v>
      </c>
      <c r="M185" s="5">
        <f t="shared" si="10"/>
        <v>0</v>
      </c>
    </row>
    <row r="186" spans="1:13" x14ac:dyDescent="0.3">
      <c r="A186" s="2" t="s">
        <v>2815</v>
      </c>
      <c r="B186" s="2" t="s">
        <v>314</v>
      </c>
      <c r="C186" s="2" t="s">
        <v>2608</v>
      </c>
      <c r="D186" s="3">
        <v>45689</v>
      </c>
      <c r="E186" s="3">
        <v>45695</v>
      </c>
      <c r="F186" s="3">
        <v>45703</v>
      </c>
      <c r="G186" s="2" t="s">
        <v>2631</v>
      </c>
      <c r="H186" s="2">
        <v>11</v>
      </c>
      <c r="I186" s="2">
        <f>IFERROR(INDEX(Raw_Orders!H186:H2614,MATCH(B186,Raw_Orders!A186:A2614,0)),0)</f>
        <v>11</v>
      </c>
      <c r="J186" s="2" t="str">
        <f t="shared" si="8"/>
        <v>No</v>
      </c>
      <c r="K186" s="2" t="str">
        <f t="shared" si="9"/>
        <v>Yes</v>
      </c>
      <c r="L186" s="2" t="str">
        <f t="shared" si="11"/>
        <v>No</v>
      </c>
      <c r="M186" s="2">
        <f t="shared" si="10"/>
        <v>0</v>
      </c>
    </row>
    <row r="187" spans="1:13" x14ac:dyDescent="0.3">
      <c r="A187" s="5" t="s">
        <v>2816</v>
      </c>
      <c r="B187" s="5" t="s">
        <v>315</v>
      </c>
      <c r="C187" s="5" t="s">
        <v>2611</v>
      </c>
      <c r="D187" s="6">
        <v>45690</v>
      </c>
      <c r="E187" s="6">
        <v>45692</v>
      </c>
      <c r="F187" s="6">
        <v>45701</v>
      </c>
      <c r="G187" s="5" t="s">
        <v>2627</v>
      </c>
      <c r="H187" s="5">
        <v>26</v>
      </c>
      <c r="I187" s="5">
        <f>IFERROR(INDEX(Raw_Orders!H187:H2615,MATCH(B187,Raw_Orders!A187:A2615,0)),0)</f>
        <v>29</v>
      </c>
      <c r="J187" s="5" t="str">
        <f t="shared" si="8"/>
        <v>No</v>
      </c>
      <c r="K187" s="5" t="str">
        <f t="shared" si="9"/>
        <v>N0</v>
      </c>
      <c r="L187" s="5" t="str">
        <f t="shared" si="11"/>
        <v>No</v>
      </c>
      <c r="M187" s="5">
        <f t="shared" si="10"/>
        <v>0</v>
      </c>
    </row>
    <row r="188" spans="1:13" x14ac:dyDescent="0.3">
      <c r="A188" s="2" t="s">
        <v>2817</v>
      </c>
      <c r="B188" s="2" t="s">
        <v>316</v>
      </c>
      <c r="C188" s="2" t="s">
        <v>2601</v>
      </c>
      <c r="D188" s="3">
        <v>45689</v>
      </c>
      <c r="E188" s="3">
        <v>45693</v>
      </c>
      <c r="F188" s="3">
        <v>45696</v>
      </c>
      <c r="G188" s="2" t="s">
        <v>2631</v>
      </c>
      <c r="H188" s="2">
        <v>6</v>
      </c>
      <c r="I188" s="2">
        <f>IFERROR(INDEX(Raw_Orders!H188:H2616,MATCH(B188,Raw_Orders!A188:A2616,0)),0)</f>
        <v>12</v>
      </c>
      <c r="J188" s="2" t="str">
        <f t="shared" si="8"/>
        <v>No</v>
      </c>
      <c r="K188" s="2" t="str">
        <f t="shared" si="9"/>
        <v>N0</v>
      </c>
      <c r="L188" s="2" t="str">
        <f t="shared" si="11"/>
        <v>No</v>
      </c>
      <c r="M188" s="2">
        <f t="shared" si="10"/>
        <v>0</v>
      </c>
    </row>
    <row r="189" spans="1:13" x14ac:dyDescent="0.3">
      <c r="A189" s="5" t="s">
        <v>2818</v>
      </c>
      <c r="B189" s="5" t="s">
        <v>317</v>
      </c>
      <c r="C189" s="5" t="s">
        <v>2601</v>
      </c>
      <c r="D189" s="6">
        <v>45689</v>
      </c>
      <c r="E189" s="6">
        <v>45696</v>
      </c>
      <c r="F189" s="6">
        <v>45696</v>
      </c>
      <c r="G189" s="5" t="s">
        <v>2641</v>
      </c>
      <c r="H189" s="5">
        <v>7</v>
      </c>
      <c r="I189" s="5">
        <f>IFERROR(INDEX(Raw_Orders!H189:H2617,MATCH(B189,Raw_Orders!A189:A2617,0)),0)</f>
        <v>7</v>
      </c>
      <c r="J189" s="5" t="str">
        <f t="shared" si="8"/>
        <v>Yes</v>
      </c>
      <c r="K189" s="5" t="str">
        <f t="shared" si="9"/>
        <v>Yes</v>
      </c>
      <c r="L189" s="5" t="str">
        <f t="shared" si="11"/>
        <v>Yes</v>
      </c>
      <c r="M189" s="5">
        <f t="shared" si="10"/>
        <v>1</v>
      </c>
    </row>
    <row r="190" spans="1:13" x14ac:dyDescent="0.3">
      <c r="A190" s="2" t="s">
        <v>2819</v>
      </c>
      <c r="B190" s="2" t="s">
        <v>319</v>
      </c>
      <c r="C190" s="2" t="s">
        <v>2616</v>
      </c>
      <c r="D190" s="3">
        <v>45688</v>
      </c>
      <c r="E190" s="3">
        <v>45697</v>
      </c>
      <c r="F190" s="3">
        <v>45705</v>
      </c>
      <c r="G190" s="2" t="s">
        <v>2633</v>
      </c>
      <c r="H190" s="2">
        <v>13</v>
      </c>
      <c r="I190" s="2">
        <f>IFERROR(INDEX(Raw_Orders!H190:H2618,MATCH(B190,Raw_Orders!A190:A2618,0)),0)</f>
        <v>13</v>
      </c>
      <c r="J190" s="2" t="str">
        <f t="shared" si="8"/>
        <v>No</v>
      </c>
      <c r="K190" s="2" t="str">
        <f t="shared" si="9"/>
        <v>Yes</v>
      </c>
      <c r="L190" s="2" t="str">
        <f t="shared" si="11"/>
        <v>No</v>
      </c>
      <c r="M190" s="2">
        <f t="shared" si="10"/>
        <v>0</v>
      </c>
    </row>
    <row r="191" spans="1:13" x14ac:dyDescent="0.3">
      <c r="A191" s="5" t="s">
        <v>2820</v>
      </c>
      <c r="B191" s="5" t="s">
        <v>320</v>
      </c>
      <c r="C191" s="5" t="s">
        <v>2608</v>
      </c>
      <c r="D191" s="6">
        <v>45689</v>
      </c>
      <c r="E191" s="6">
        <v>45696</v>
      </c>
      <c r="F191" s="6">
        <v>45702</v>
      </c>
      <c r="G191" s="5" t="s">
        <v>2627</v>
      </c>
      <c r="H191" s="5">
        <v>7</v>
      </c>
      <c r="I191" s="5">
        <f>IFERROR(INDEX(Raw_Orders!H191:H2619,MATCH(B191,Raw_Orders!A191:A2619,0)),0)</f>
        <v>7</v>
      </c>
      <c r="J191" s="5" t="str">
        <f t="shared" si="8"/>
        <v>No</v>
      </c>
      <c r="K191" s="5" t="str">
        <f t="shared" si="9"/>
        <v>Yes</v>
      </c>
      <c r="L191" s="5" t="str">
        <f t="shared" si="11"/>
        <v>No</v>
      </c>
      <c r="M191" s="5">
        <f t="shared" si="10"/>
        <v>0</v>
      </c>
    </row>
    <row r="192" spans="1:13" x14ac:dyDescent="0.3">
      <c r="A192" s="2" t="s">
        <v>2821</v>
      </c>
      <c r="B192" s="2" t="s">
        <v>321</v>
      </c>
      <c r="C192" s="2" t="s">
        <v>2611</v>
      </c>
      <c r="D192" s="3">
        <v>45691</v>
      </c>
      <c r="E192" s="3">
        <v>45699</v>
      </c>
      <c r="F192" s="3">
        <v>45697</v>
      </c>
      <c r="G192" s="2" t="s">
        <v>2641</v>
      </c>
      <c r="H192" s="2">
        <v>41</v>
      </c>
      <c r="I192" s="2">
        <f>IFERROR(INDEX(Raw_Orders!H192:H2620,MATCH(B192,Raw_Orders!A192:A2620,0)),0)</f>
        <v>43</v>
      </c>
      <c r="J192" s="2" t="str">
        <f t="shared" si="8"/>
        <v>Yes</v>
      </c>
      <c r="K192" s="2" t="str">
        <f t="shared" si="9"/>
        <v>N0</v>
      </c>
      <c r="L192" s="2" t="str">
        <f t="shared" si="11"/>
        <v>No</v>
      </c>
      <c r="M192" s="2">
        <f t="shared" si="10"/>
        <v>0</v>
      </c>
    </row>
    <row r="193" spans="1:13" x14ac:dyDescent="0.3">
      <c r="A193" s="5" t="s">
        <v>2822</v>
      </c>
      <c r="B193" s="5" t="s">
        <v>322</v>
      </c>
      <c r="C193" s="5" t="s">
        <v>2611</v>
      </c>
      <c r="D193" s="6">
        <v>45691</v>
      </c>
      <c r="E193" s="6">
        <v>45696</v>
      </c>
      <c r="F193" s="6">
        <v>45698</v>
      </c>
      <c r="G193" s="5" t="s">
        <v>2627</v>
      </c>
      <c r="H193" s="5">
        <v>32</v>
      </c>
      <c r="I193" s="5">
        <f>IFERROR(INDEX(Raw_Orders!H193:H2621,MATCH(B193,Raw_Orders!A193:A2621,0)),0)</f>
        <v>32</v>
      </c>
      <c r="J193" s="5" t="str">
        <f t="shared" si="8"/>
        <v>No</v>
      </c>
      <c r="K193" s="5" t="str">
        <f t="shared" si="9"/>
        <v>Yes</v>
      </c>
      <c r="L193" s="5" t="str">
        <f t="shared" si="11"/>
        <v>No</v>
      </c>
      <c r="M193" s="5">
        <f t="shared" si="10"/>
        <v>0</v>
      </c>
    </row>
    <row r="194" spans="1:13" x14ac:dyDescent="0.3">
      <c r="A194" s="2" t="s">
        <v>2823</v>
      </c>
      <c r="B194" s="2" t="s">
        <v>323</v>
      </c>
      <c r="C194" s="2" t="s">
        <v>2616</v>
      </c>
      <c r="D194" s="3">
        <v>45690</v>
      </c>
      <c r="E194" s="3">
        <v>45694</v>
      </c>
      <c r="F194" s="3">
        <v>45705</v>
      </c>
      <c r="G194" s="2" t="s">
        <v>2631</v>
      </c>
      <c r="H194" s="2">
        <v>49</v>
      </c>
      <c r="I194" s="2">
        <f>IFERROR(INDEX(Raw_Orders!H194:H2622,MATCH(B194,Raw_Orders!A194:A2622,0)),0)</f>
        <v>49</v>
      </c>
      <c r="J194" s="2" t="str">
        <f t="shared" si="8"/>
        <v>No</v>
      </c>
      <c r="K194" s="2" t="str">
        <f t="shared" si="9"/>
        <v>Yes</v>
      </c>
      <c r="L194" s="2" t="str">
        <f t="shared" si="11"/>
        <v>No</v>
      </c>
      <c r="M194" s="2">
        <f t="shared" si="10"/>
        <v>0</v>
      </c>
    </row>
    <row r="195" spans="1:13" x14ac:dyDescent="0.3">
      <c r="A195" s="5" t="s">
        <v>2824</v>
      </c>
      <c r="B195" s="5" t="s">
        <v>324</v>
      </c>
      <c r="C195" s="5" t="s">
        <v>2616</v>
      </c>
      <c r="D195" s="6">
        <v>45690</v>
      </c>
      <c r="E195" s="6">
        <v>45697</v>
      </c>
      <c r="F195" s="6">
        <v>45706</v>
      </c>
      <c r="G195" s="5" t="s">
        <v>2641</v>
      </c>
      <c r="H195" s="5">
        <v>29</v>
      </c>
      <c r="I195" s="5">
        <f>IFERROR(INDEX(Raw_Orders!H195:H2623,MATCH(B195,Raw_Orders!A195:A2623,0)),0)</f>
        <v>29</v>
      </c>
      <c r="J195" s="5" t="str">
        <f t="shared" ref="J195:J258" si="12">IF(E195&gt;=F195,"Yes","No")</f>
        <v>No</v>
      </c>
      <c r="K195" s="5" t="str">
        <f t="shared" ref="K195:K258" si="13">IF(H195&gt;=I195,"Yes","N0")</f>
        <v>Yes</v>
      </c>
      <c r="L195" s="5" t="str">
        <f t="shared" si="11"/>
        <v>No</v>
      </c>
      <c r="M195" s="5">
        <f t="shared" ref="M195:M258" si="14">IF(L195="Yes",1,0)</f>
        <v>0</v>
      </c>
    </row>
    <row r="196" spans="1:13" x14ac:dyDescent="0.3">
      <c r="A196" s="2" t="s">
        <v>2825</v>
      </c>
      <c r="B196" s="2" t="s">
        <v>325</v>
      </c>
      <c r="C196" s="2" t="s">
        <v>2608</v>
      </c>
      <c r="D196" s="3">
        <v>45691</v>
      </c>
      <c r="E196" s="3">
        <v>45699</v>
      </c>
      <c r="F196" s="3">
        <v>45704</v>
      </c>
      <c r="G196" s="2" t="s">
        <v>2641</v>
      </c>
      <c r="H196" s="2">
        <v>6</v>
      </c>
      <c r="I196" s="2">
        <f>IFERROR(INDEX(Raw_Orders!H196:H2624,MATCH(B196,Raw_Orders!A196:A2624,0)),0)</f>
        <v>6</v>
      </c>
      <c r="J196" s="2" t="str">
        <f t="shared" si="12"/>
        <v>No</v>
      </c>
      <c r="K196" s="2" t="str">
        <f t="shared" si="13"/>
        <v>Yes</v>
      </c>
      <c r="L196" s="2" t="str">
        <f t="shared" ref="L196:L259" si="15">IF(AND(J196="Yes",K196="Yes"),"Yes","No")</f>
        <v>No</v>
      </c>
      <c r="M196" s="2">
        <f t="shared" si="14"/>
        <v>0</v>
      </c>
    </row>
    <row r="197" spans="1:13" x14ac:dyDescent="0.3">
      <c r="A197" s="5" t="s">
        <v>2826</v>
      </c>
      <c r="B197" s="5" t="s">
        <v>326</v>
      </c>
      <c r="C197" s="5" t="s">
        <v>2598</v>
      </c>
      <c r="D197" s="6">
        <v>45692</v>
      </c>
      <c r="E197" s="6">
        <v>45697</v>
      </c>
      <c r="F197" s="6">
        <v>45706</v>
      </c>
      <c r="G197" s="5" t="s">
        <v>2627</v>
      </c>
      <c r="H197" s="5">
        <v>32</v>
      </c>
      <c r="I197" s="5">
        <f>IFERROR(INDEX(Raw_Orders!H197:H2625,MATCH(B197,Raw_Orders!A197:A2625,0)),0)</f>
        <v>32</v>
      </c>
      <c r="J197" s="5" t="str">
        <f t="shared" si="12"/>
        <v>No</v>
      </c>
      <c r="K197" s="5" t="str">
        <f t="shared" si="13"/>
        <v>Yes</v>
      </c>
      <c r="L197" s="5" t="str">
        <f t="shared" si="15"/>
        <v>No</v>
      </c>
      <c r="M197" s="5">
        <f t="shared" si="14"/>
        <v>0</v>
      </c>
    </row>
    <row r="198" spans="1:13" x14ac:dyDescent="0.3">
      <c r="A198" s="2" t="s">
        <v>2827</v>
      </c>
      <c r="B198" s="2" t="s">
        <v>327</v>
      </c>
      <c r="C198" s="2" t="s">
        <v>2614</v>
      </c>
      <c r="D198" s="3">
        <v>45690</v>
      </c>
      <c r="E198" s="3">
        <v>45695</v>
      </c>
      <c r="F198" s="3">
        <v>45708</v>
      </c>
      <c r="G198" s="2" t="s">
        <v>2631</v>
      </c>
      <c r="H198" s="2">
        <v>15</v>
      </c>
      <c r="I198" s="2">
        <f>IFERROR(INDEX(Raw_Orders!H198:H2626,MATCH(B198,Raw_Orders!A198:A2626,0)),0)</f>
        <v>15</v>
      </c>
      <c r="J198" s="2" t="str">
        <f t="shared" si="12"/>
        <v>No</v>
      </c>
      <c r="K198" s="2" t="str">
        <f t="shared" si="13"/>
        <v>Yes</v>
      </c>
      <c r="L198" s="2" t="str">
        <f t="shared" si="15"/>
        <v>No</v>
      </c>
      <c r="M198" s="2">
        <f t="shared" si="14"/>
        <v>0</v>
      </c>
    </row>
    <row r="199" spans="1:13" x14ac:dyDescent="0.3">
      <c r="A199" s="5" t="s">
        <v>2828</v>
      </c>
      <c r="B199" s="5" t="s">
        <v>328</v>
      </c>
      <c r="C199" s="5" t="s">
        <v>2604</v>
      </c>
      <c r="D199" s="6">
        <v>45691</v>
      </c>
      <c r="E199" s="6">
        <v>45694</v>
      </c>
      <c r="F199" s="6">
        <v>45695</v>
      </c>
      <c r="G199" s="5" t="s">
        <v>2627</v>
      </c>
      <c r="H199" s="5">
        <v>46</v>
      </c>
      <c r="I199" s="5">
        <f>IFERROR(INDEX(Raw_Orders!H199:H2627,MATCH(B199,Raw_Orders!A199:A2627,0)),0)</f>
        <v>48</v>
      </c>
      <c r="J199" s="5" t="str">
        <f t="shared" si="12"/>
        <v>No</v>
      </c>
      <c r="K199" s="5" t="str">
        <f t="shared" si="13"/>
        <v>N0</v>
      </c>
      <c r="L199" s="5" t="str">
        <f t="shared" si="15"/>
        <v>No</v>
      </c>
      <c r="M199" s="5">
        <f t="shared" si="14"/>
        <v>0</v>
      </c>
    </row>
    <row r="200" spans="1:13" x14ac:dyDescent="0.3">
      <c r="A200" s="2" t="s">
        <v>2829</v>
      </c>
      <c r="B200" s="2" t="s">
        <v>329</v>
      </c>
      <c r="C200" s="2" t="s">
        <v>2606</v>
      </c>
      <c r="D200" s="3">
        <v>45692</v>
      </c>
      <c r="E200" s="3">
        <v>45699</v>
      </c>
      <c r="F200" s="3">
        <v>45702</v>
      </c>
      <c r="G200" s="2" t="s">
        <v>2629</v>
      </c>
      <c r="H200" s="2">
        <v>44</v>
      </c>
      <c r="I200" s="2">
        <f>IFERROR(INDEX(Raw_Orders!H200:H2628,MATCH(B200,Raw_Orders!A200:A2628,0)),0)</f>
        <v>44</v>
      </c>
      <c r="J200" s="2" t="str">
        <f t="shared" si="12"/>
        <v>No</v>
      </c>
      <c r="K200" s="2" t="str">
        <f t="shared" si="13"/>
        <v>Yes</v>
      </c>
      <c r="L200" s="2" t="str">
        <f t="shared" si="15"/>
        <v>No</v>
      </c>
      <c r="M200" s="2">
        <f t="shared" si="14"/>
        <v>0</v>
      </c>
    </row>
    <row r="201" spans="1:13" x14ac:dyDescent="0.3">
      <c r="A201" s="5" t="s">
        <v>2830</v>
      </c>
      <c r="B201" s="5" t="s">
        <v>330</v>
      </c>
      <c r="C201" s="5" t="s">
        <v>2608</v>
      </c>
      <c r="D201" s="6">
        <v>45691</v>
      </c>
      <c r="E201" s="6">
        <v>45699</v>
      </c>
      <c r="F201" s="6">
        <v>45704</v>
      </c>
      <c r="G201" s="5" t="s">
        <v>2629</v>
      </c>
      <c r="H201" s="5">
        <v>2</v>
      </c>
      <c r="I201" s="5">
        <f>IFERROR(INDEX(Raw_Orders!H201:H2629,MATCH(B201,Raw_Orders!A201:A2629,0)),0)</f>
        <v>5</v>
      </c>
      <c r="J201" s="5" t="str">
        <f t="shared" si="12"/>
        <v>No</v>
      </c>
      <c r="K201" s="5" t="str">
        <f t="shared" si="13"/>
        <v>N0</v>
      </c>
      <c r="L201" s="5" t="str">
        <f t="shared" si="15"/>
        <v>No</v>
      </c>
      <c r="M201" s="5">
        <f t="shared" si="14"/>
        <v>0</v>
      </c>
    </row>
    <row r="202" spans="1:13" x14ac:dyDescent="0.3">
      <c r="A202" s="2" t="s">
        <v>2831</v>
      </c>
      <c r="B202" s="2" t="s">
        <v>332</v>
      </c>
      <c r="C202" s="2" t="s">
        <v>2608</v>
      </c>
      <c r="D202" s="3">
        <v>45692</v>
      </c>
      <c r="E202" s="3">
        <v>45693</v>
      </c>
      <c r="F202" s="3">
        <v>45705</v>
      </c>
      <c r="G202" s="2" t="s">
        <v>2631</v>
      </c>
      <c r="H202" s="2">
        <v>12</v>
      </c>
      <c r="I202" s="2">
        <f>IFERROR(INDEX(Raw_Orders!H202:H2630,MATCH(B202,Raw_Orders!A202:A2630,0)),0)</f>
        <v>12</v>
      </c>
      <c r="J202" s="2" t="str">
        <f t="shared" si="12"/>
        <v>No</v>
      </c>
      <c r="K202" s="2" t="str">
        <f t="shared" si="13"/>
        <v>Yes</v>
      </c>
      <c r="L202" s="2" t="str">
        <f t="shared" si="15"/>
        <v>No</v>
      </c>
      <c r="M202" s="2">
        <f t="shared" si="14"/>
        <v>0</v>
      </c>
    </row>
    <row r="203" spans="1:13" x14ac:dyDescent="0.3">
      <c r="A203" s="5" t="s">
        <v>2832</v>
      </c>
      <c r="B203" s="5" t="s">
        <v>333</v>
      </c>
      <c r="C203" s="5" t="s">
        <v>2614</v>
      </c>
      <c r="D203" s="6">
        <v>45691</v>
      </c>
      <c r="E203" s="6">
        <v>45698</v>
      </c>
      <c r="F203" s="6">
        <v>45705</v>
      </c>
      <c r="G203" s="5" t="s">
        <v>2631</v>
      </c>
      <c r="H203" s="5">
        <v>13</v>
      </c>
      <c r="I203" s="5">
        <f>IFERROR(INDEX(Raw_Orders!H203:H2631,MATCH(B203,Raw_Orders!A203:A2631,0)),0)</f>
        <v>13</v>
      </c>
      <c r="J203" s="5" t="str">
        <f t="shared" si="12"/>
        <v>No</v>
      </c>
      <c r="K203" s="5" t="str">
        <f t="shared" si="13"/>
        <v>Yes</v>
      </c>
      <c r="L203" s="5" t="str">
        <f t="shared" si="15"/>
        <v>No</v>
      </c>
      <c r="M203" s="5">
        <f t="shared" si="14"/>
        <v>0</v>
      </c>
    </row>
    <row r="204" spans="1:13" x14ac:dyDescent="0.3">
      <c r="A204" s="2" t="s">
        <v>2833</v>
      </c>
      <c r="B204" s="2" t="s">
        <v>334</v>
      </c>
      <c r="C204" s="2" t="s">
        <v>2604</v>
      </c>
      <c r="D204" s="3">
        <v>45693</v>
      </c>
      <c r="E204" s="3">
        <v>45700</v>
      </c>
      <c r="F204" s="3">
        <v>45699</v>
      </c>
      <c r="G204" s="2" t="s">
        <v>2627</v>
      </c>
      <c r="H204" s="2">
        <v>20</v>
      </c>
      <c r="I204" s="2">
        <f>IFERROR(INDEX(Raw_Orders!H204:H2632,MATCH(B204,Raw_Orders!A204:A2632,0)),0)</f>
        <v>20</v>
      </c>
      <c r="J204" s="2" t="str">
        <f t="shared" si="12"/>
        <v>Yes</v>
      </c>
      <c r="K204" s="2" t="str">
        <f t="shared" si="13"/>
        <v>Yes</v>
      </c>
      <c r="L204" s="2" t="str">
        <f t="shared" si="15"/>
        <v>Yes</v>
      </c>
      <c r="M204" s="2">
        <f t="shared" si="14"/>
        <v>1</v>
      </c>
    </row>
    <row r="205" spans="1:13" x14ac:dyDescent="0.3">
      <c r="A205" s="5" t="s">
        <v>2834</v>
      </c>
      <c r="B205" s="5" t="s">
        <v>335</v>
      </c>
      <c r="C205" s="5" t="s">
        <v>2606</v>
      </c>
      <c r="D205" s="6">
        <v>45693</v>
      </c>
      <c r="E205" s="6">
        <v>45695</v>
      </c>
      <c r="F205" s="6">
        <v>45699</v>
      </c>
      <c r="G205" s="5" t="s">
        <v>2629</v>
      </c>
      <c r="H205" s="5">
        <v>45</v>
      </c>
      <c r="I205" s="5">
        <f>IFERROR(INDEX(Raw_Orders!H205:H2633,MATCH(B205,Raw_Orders!A205:A2633,0)),0)</f>
        <v>45</v>
      </c>
      <c r="J205" s="5" t="str">
        <f t="shared" si="12"/>
        <v>No</v>
      </c>
      <c r="K205" s="5" t="str">
        <f t="shared" si="13"/>
        <v>Yes</v>
      </c>
      <c r="L205" s="5" t="str">
        <f t="shared" si="15"/>
        <v>No</v>
      </c>
      <c r="M205" s="5">
        <f t="shared" si="14"/>
        <v>0</v>
      </c>
    </row>
    <row r="206" spans="1:13" x14ac:dyDescent="0.3">
      <c r="A206" s="2" t="s">
        <v>2835</v>
      </c>
      <c r="B206" s="2" t="s">
        <v>336</v>
      </c>
      <c r="C206" s="2" t="s">
        <v>2606</v>
      </c>
      <c r="D206" s="3">
        <v>45691</v>
      </c>
      <c r="E206" s="3">
        <v>45695</v>
      </c>
      <c r="F206" s="3">
        <v>45698</v>
      </c>
      <c r="G206" s="2" t="s">
        <v>2629</v>
      </c>
      <c r="H206" s="2">
        <v>42</v>
      </c>
      <c r="I206" s="2">
        <f>IFERROR(INDEX(Raw_Orders!H206:H2634,MATCH(B206,Raw_Orders!A206:A2634,0)),0)</f>
        <v>42</v>
      </c>
      <c r="J206" s="2" t="str">
        <f t="shared" si="12"/>
        <v>No</v>
      </c>
      <c r="K206" s="2" t="str">
        <f t="shared" si="13"/>
        <v>Yes</v>
      </c>
      <c r="L206" s="2" t="str">
        <f t="shared" si="15"/>
        <v>No</v>
      </c>
      <c r="M206" s="2">
        <f t="shared" si="14"/>
        <v>0</v>
      </c>
    </row>
    <row r="207" spans="1:13" x14ac:dyDescent="0.3">
      <c r="A207" s="5" t="s">
        <v>2836</v>
      </c>
      <c r="B207" s="5" t="s">
        <v>338</v>
      </c>
      <c r="C207" s="5" t="s">
        <v>2608</v>
      </c>
      <c r="D207" s="6">
        <v>45692</v>
      </c>
      <c r="E207" s="6">
        <v>45694</v>
      </c>
      <c r="F207" s="6">
        <v>45705</v>
      </c>
      <c r="G207" s="5" t="s">
        <v>2631</v>
      </c>
      <c r="H207" s="5">
        <v>1</v>
      </c>
      <c r="I207" s="5">
        <f>IFERROR(INDEX(Raw_Orders!H207:H2635,MATCH(B207,Raw_Orders!A207:A2635,0)),0)</f>
        <v>5</v>
      </c>
      <c r="J207" s="5" t="str">
        <f t="shared" si="12"/>
        <v>No</v>
      </c>
      <c r="K207" s="5" t="str">
        <f t="shared" si="13"/>
        <v>N0</v>
      </c>
      <c r="L207" s="5" t="str">
        <f t="shared" si="15"/>
        <v>No</v>
      </c>
      <c r="M207" s="5">
        <f t="shared" si="14"/>
        <v>0</v>
      </c>
    </row>
    <row r="208" spans="1:13" x14ac:dyDescent="0.3">
      <c r="A208" s="2" t="s">
        <v>2837</v>
      </c>
      <c r="B208" s="2" t="s">
        <v>339</v>
      </c>
      <c r="C208" s="2" t="s">
        <v>2598</v>
      </c>
      <c r="D208" s="3">
        <v>45694</v>
      </c>
      <c r="E208" s="3">
        <v>45696</v>
      </c>
      <c r="F208" s="3">
        <v>45708</v>
      </c>
      <c r="G208" s="2" t="s">
        <v>2633</v>
      </c>
      <c r="H208" s="2">
        <v>18</v>
      </c>
      <c r="I208" s="2">
        <f>IFERROR(INDEX(Raw_Orders!H208:H2636,MATCH(B208,Raw_Orders!A208:A2636,0)),0)</f>
        <v>18</v>
      </c>
      <c r="J208" s="2" t="str">
        <f t="shared" si="12"/>
        <v>No</v>
      </c>
      <c r="K208" s="2" t="str">
        <f t="shared" si="13"/>
        <v>Yes</v>
      </c>
      <c r="L208" s="2" t="str">
        <f t="shared" si="15"/>
        <v>No</v>
      </c>
      <c r="M208" s="2">
        <f t="shared" si="14"/>
        <v>0</v>
      </c>
    </row>
    <row r="209" spans="1:13" x14ac:dyDescent="0.3">
      <c r="A209" s="5" t="s">
        <v>2838</v>
      </c>
      <c r="B209" s="5" t="s">
        <v>340</v>
      </c>
      <c r="C209" s="5" t="s">
        <v>2598</v>
      </c>
      <c r="D209" s="6">
        <v>45693</v>
      </c>
      <c r="E209" s="6">
        <v>45695</v>
      </c>
      <c r="F209" s="6">
        <v>45707</v>
      </c>
      <c r="G209" s="5" t="s">
        <v>2633</v>
      </c>
      <c r="H209" s="5">
        <v>21</v>
      </c>
      <c r="I209" s="5">
        <f>IFERROR(INDEX(Raw_Orders!H209:H2637,MATCH(B209,Raw_Orders!A209:A2637,0)),0)</f>
        <v>21</v>
      </c>
      <c r="J209" s="5" t="str">
        <f t="shared" si="12"/>
        <v>No</v>
      </c>
      <c r="K209" s="5" t="str">
        <f t="shared" si="13"/>
        <v>Yes</v>
      </c>
      <c r="L209" s="5" t="str">
        <f t="shared" si="15"/>
        <v>No</v>
      </c>
      <c r="M209" s="5">
        <f t="shared" si="14"/>
        <v>0</v>
      </c>
    </row>
    <row r="210" spans="1:13" x14ac:dyDescent="0.3">
      <c r="A210" s="2" t="s">
        <v>2839</v>
      </c>
      <c r="B210" s="2" t="s">
        <v>341</v>
      </c>
      <c r="C210" s="2" t="s">
        <v>2598</v>
      </c>
      <c r="D210" s="3">
        <v>45694</v>
      </c>
      <c r="E210" s="3">
        <v>45695</v>
      </c>
      <c r="F210" s="3">
        <v>45711</v>
      </c>
      <c r="G210" s="2" t="s">
        <v>2631</v>
      </c>
      <c r="H210" s="2">
        <v>26</v>
      </c>
      <c r="I210" s="2">
        <f>IFERROR(INDEX(Raw_Orders!H210:H2638,MATCH(B210,Raw_Orders!A210:A2638,0)),0)</f>
        <v>26</v>
      </c>
      <c r="J210" s="2" t="str">
        <f t="shared" si="12"/>
        <v>No</v>
      </c>
      <c r="K210" s="2" t="str">
        <f t="shared" si="13"/>
        <v>Yes</v>
      </c>
      <c r="L210" s="2" t="str">
        <f t="shared" si="15"/>
        <v>No</v>
      </c>
      <c r="M210" s="2">
        <f t="shared" si="14"/>
        <v>0</v>
      </c>
    </row>
    <row r="211" spans="1:13" x14ac:dyDescent="0.3">
      <c r="A211" s="5" t="s">
        <v>2840</v>
      </c>
      <c r="B211" s="5" t="s">
        <v>342</v>
      </c>
      <c r="C211" s="5" t="s">
        <v>2601</v>
      </c>
      <c r="D211" s="6">
        <v>45693</v>
      </c>
      <c r="E211" s="6">
        <v>45696</v>
      </c>
      <c r="F211" s="6">
        <v>45702</v>
      </c>
      <c r="G211" s="5" t="s">
        <v>2641</v>
      </c>
      <c r="H211" s="5">
        <v>11</v>
      </c>
      <c r="I211" s="5">
        <f>IFERROR(INDEX(Raw_Orders!H211:H2639,MATCH(B211,Raw_Orders!A211:A2639,0)),0)</f>
        <v>17</v>
      </c>
      <c r="J211" s="5" t="str">
        <f t="shared" si="12"/>
        <v>No</v>
      </c>
      <c r="K211" s="5" t="str">
        <f t="shared" si="13"/>
        <v>N0</v>
      </c>
      <c r="L211" s="5" t="str">
        <f t="shared" si="15"/>
        <v>No</v>
      </c>
      <c r="M211" s="5">
        <f t="shared" si="14"/>
        <v>0</v>
      </c>
    </row>
    <row r="212" spans="1:13" x14ac:dyDescent="0.3">
      <c r="A212" s="2" t="s">
        <v>2841</v>
      </c>
      <c r="B212" s="2" t="s">
        <v>344</v>
      </c>
      <c r="C212" s="2" t="s">
        <v>2614</v>
      </c>
      <c r="D212" s="3">
        <v>45693</v>
      </c>
      <c r="E212" s="3">
        <v>45697</v>
      </c>
      <c r="F212" s="3">
        <v>45706</v>
      </c>
      <c r="G212" s="2" t="s">
        <v>2629</v>
      </c>
      <c r="H212" s="2">
        <v>22</v>
      </c>
      <c r="I212" s="2">
        <f>IFERROR(INDEX(Raw_Orders!H212:H2640,MATCH(B212,Raw_Orders!A212:A2640,0)),0)</f>
        <v>22</v>
      </c>
      <c r="J212" s="2" t="str">
        <f t="shared" si="12"/>
        <v>No</v>
      </c>
      <c r="K212" s="2" t="str">
        <f t="shared" si="13"/>
        <v>Yes</v>
      </c>
      <c r="L212" s="2" t="str">
        <f t="shared" si="15"/>
        <v>No</v>
      </c>
      <c r="M212" s="2">
        <f t="shared" si="14"/>
        <v>0</v>
      </c>
    </row>
    <row r="213" spans="1:13" x14ac:dyDescent="0.3">
      <c r="A213" s="5" t="s">
        <v>2842</v>
      </c>
      <c r="B213" s="5" t="s">
        <v>345</v>
      </c>
      <c r="C213" s="5" t="s">
        <v>2604</v>
      </c>
      <c r="D213" s="6">
        <v>45693</v>
      </c>
      <c r="E213" s="6">
        <v>45697</v>
      </c>
      <c r="F213" s="6">
        <v>45701</v>
      </c>
      <c r="G213" s="5" t="s">
        <v>2633</v>
      </c>
      <c r="H213" s="5">
        <v>50</v>
      </c>
      <c r="I213" s="5">
        <f>IFERROR(INDEX(Raw_Orders!H213:H2641,MATCH(B213,Raw_Orders!A213:A2641,0)),0)</f>
        <v>50</v>
      </c>
      <c r="J213" s="5" t="str">
        <f t="shared" si="12"/>
        <v>No</v>
      </c>
      <c r="K213" s="5" t="str">
        <f t="shared" si="13"/>
        <v>Yes</v>
      </c>
      <c r="L213" s="5" t="str">
        <f t="shared" si="15"/>
        <v>No</v>
      </c>
      <c r="M213" s="5">
        <f t="shared" si="14"/>
        <v>0</v>
      </c>
    </row>
    <row r="214" spans="1:13" x14ac:dyDescent="0.3">
      <c r="A214" s="2" t="s">
        <v>2843</v>
      </c>
      <c r="B214" s="2" t="s">
        <v>346</v>
      </c>
      <c r="C214" s="2" t="s">
        <v>2604</v>
      </c>
      <c r="D214" s="3">
        <v>45694</v>
      </c>
      <c r="E214" s="3">
        <v>45695</v>
      </c>
      <c r="F214" s="3">
        <v>45698</v>
      </c>
      <c r="G214" s="2" t="s">
        <v>2641</v>
      </c>
      <c r="H214" s="2">
        <v>23</v>
      </c>
      <c r="I214" s="2">
        <f>IFERROR(INDEX(Raw_Orders!H214:H2642,MATCH(B214,Raw_Orders!A214:A2642,0)),0)</f>
        <v>23</v>
      </c>
      <c r="J214" s="2" t="str">
        <f t="shared" si="12"/>
        <v>No</v>
      </c>
      <c r="K214" s="2" t="str">
        <f t="shared" si="13"/>
        <v>Yes</v>
      </c>
      <c r="L214" s="2" t="str">
        <f t="shared" si="15"/>
        <v>No</v>
      </c>
      <c r="M214" s="2">
        <f t="shared" si="14"/>
        <v>0</v>
      </c>
    </row>
    <row r="215" spans="1:13" x14ac:dyDescent="0.3">
      <c r="A215" s="5" t="s">
        <v>2844</v>
      </c>
      <c r="B215" s="5" t="s">
        <v>347</v>
      </c>
      <c r="C215" s="5" t="s">
        <v>2608</v>
      </c>
      <c r="D215" s="6">
        <v>45693</v>
      </c>
      <c r="E215" s="6">
        <v>45698</v>
      </c>
      <c r="F215" s="6">
        <v>45708</v>
      </c>
      <c r="G215" s="5" t="s">
        <v>2631</v>
      </c>
      <c r="H215" s="5">
        <v>41</v>
      </c>
      <c r="I215" s="5">
        <f>IFERROR(INDEX(Raw_Orders!H215:H2643,MATCH(B215,Raw_Orders!A215:A2643,0)),0)</f>
        <v>41</v>
      </c>
      <c r="J215" s="5" t="str">
        <f t="shared" si="12"/>
        <v>No</v>
      </c>
      <c r="K215" s="5" t="str">
        <f t="shared" si="13"/>
        <v>Yes</v>
      </c>
      <c r="L215" s="5" t="str">
        <f t="shared" si="15"/>
        <v>No</v>
      </c>
      <c r="M215" s="5">
        <f t="shared" si="14"/>
        <v>0</v>
      </c>
    </row>
    <row r="216" spans="1:13" x14ac:dyDescent="0.3">
      <c r="A216" s="2" t="s">
        <v>2845</v>
      </c>
      <c r="B216" s="2" t="s">
        <v>348</v>
      </c>
      <c r="C216" s="2" t="s">
        <v>2608</v>
      </c>
      <c r="D216" s="3">
        <v>45692</v>
      </c>
      <c r="E216" s="3">
        <v>45700</v>
      </c>
      <c r="F216" s="3">
        <v>45709</v>
      </c>
      <c r="G216" s="2" t="s">
        <v>2627</v>
      </c>
      <c r="H216" s="2">
        <v>7</v>
      </c>
      <c r="I216" s="2">
        <f>IFERROR(INDEX(Raw_Orders!H216:H2644,MATCH(B216,Raw_Orders!A216:A2644,0)),0)</f>
        <v>7</v>
      </c>
      <c r="J216" s="2" t="str">
        <f t="shared" si="12"/>
        <v>No</v>
      </c>
      <c r="K216" s="2" t="str">
        <f t="shared" si="13"/>
        <v>Yes</v>
      </c>
      <c r="L216" s="2" t="str">
        <f t="shared" si="15"/>
        <v>No</v>
      </c>
      <c r="M216" s="2">
        <f t="shared" si="14"/>
        <v>0</v>
      </c>
    </row>
    <row r="217" spans="1:13" x14ac:dyDescent="0.3">
      <c r="A217" s="5" t="s">
        <v>2846</v>
      </c>
      <c r="B217" s="5" t="s">
        <v>349</v>
      </c>
      <c r="C217" s="5" t="s">
        <v>2598</v>
      </c>
      <c r="D217" s="6">
        <v>45693</v>
      </c>
      <c r="E217" s="6">
        <v>45698</v>
      </c>
      <c r="F217" s="6">
        <v>45707</v>
      </c>
      <c r="G217" s="5" t="s">
        <v>2641</v>
      </c>
      <c r="H217" s="5">
        <v>27</v>
      </c>
      <c r="I217" s="5">
        <f>IFERROR(INDEX(Raw_Orders!H217:H2645,MATCH(B217,Raw_Orders!A217:A2645,0)),0)</f>
        <v>27</v>
      </c>
      <c r="J217" s="5" t="str">
        <f t="shared" si="12"/>
        <v>No</v>
      </c>
      <c r="K217" s="5" t="str">
        <f t="shared" si="13"/>
        <v>Yes</v>
      </c>
      <c r="L217" s="5" t="str">
        <f t="shared" si="15"/>
        <v>No</v>
      </c>
      <c r="M217" s="5">
        <f t="shared" si="14"/>
        <v>0</v>
      </c>
    </row>
    <row r="218" spans="1:13" x14ac:dyDescent="0.3">
      <c r="A218" s="2" t="s">
        <v>2847</v>
      </c>
      <c r="B218" s="2" t="s">
        <v>350</v>
      </c>
      <c r="C218" s="2" t="s">
        <v>2601</v>
      </c>
      <c r="D218" s="3">
        <v>45694</v>
      </c>
      <c r="E218" s="3">
        <v>45697</v>
      </c>
      <c r="F218" s="3">
        <v>45703</v>
      </c>
      <c r="G218" s="2" t="s">
        <v>2633</v>
      </c>
      <c r="H218" s="2">
        <v>15</v>
      </c>
      <c r="I218" s="2">
        <f>IFERROR(INDEX(Raw_Orders!H218:H2646,MATCH(B218,Raw_Orders!A218:A2646,0)),0)</f>
        <v>15</v>
      </c>
      <c r="J218" s="2" t="str">
        <f t="shared" si="12"/>
        <v>No</v>
      </c>
      <c r="K218" s="2" t="str">
        <f t="shared" si="13"/>
        <v>Yes</v>
      </c>
      <c r="L218" s="2" t="str">
        <f t="shared" si="15"/>
        <v>No</v>
      </c>
      <c r="M218" s="2">
        <f t="shared" si="14"/>
        <v>0</v>
      </c>
    </row>
    <row r="219" spans="1:13" x14ac:dyDescent="0.3">
      <c r="A219" s="5" t="s">
        <v>2848</v>
      </c>
      <c r="B219" s="5" t="s">
        <v>351</v>
      </c>
      <c r="C219" s="5" t="s">
        <v>2614</v>
      </c>
      <c r="D219" s="6">
        <v>45693</v>
      </c>
      <c r="E219" s="6">
        <v>45698</v>
      </c>
      <c r="F219" s="6">
        <v>45707</v>
      </c>
      <c r="G219" s="5" t="s">
        <v>2631</v>
      </c>
      <c r="H219" s="5">
        <v>20</v>
      </c>
      <c r="I219" s="5">
        <f>IFERROR(INDEX(Raw_Orders!H219:H2647,MATCH(B219,Raw_Orders!A219:A2647,0)),0)</f>
        <v>20</v>
      </c>
      <c r="J219" s="5" t="str">
        <f t="shared" si="12"/>
        <v>No</v>
      </c>
      <c r="K219" s="5" t="str">
        <f t="shared" si="13"/>
        <v>Yes</v>
      </c>
      <c r="L219" s="5" t="str">
        <f t="shared" si="15"/>
        <v>No</v>
      </c>
      <c r="M219" s="5">
        <f t="shared" si="14"/>
        <v>0</v>
      </c>
    </row>
    <row r="220" spans="1:13" x14ac:dyDescent="0.3">
      <c r="A220" s="2" t="s">
        <v>2849</v>
      </c>
      <c r="B220" s="2" t="s">
        <v>352</v>
      </c>
      <c r="C220" s="2" t="s">
        <v>2601</v>
      </c>
      <c r="D220" s="3">
        <v>45695</v>
      </c>
      <c r="E220" s="3">
        <v>45700</v>
      </c>
      <c r="F220" s="3">
        <v>45701</v>
      </c>
      <c r="G220" s="2" t="s">
        <v>2631</v>
      </c>
      <c r="H220" s="2">
        <v>20</v>
      </c>
      <c r="I220" s="2">
        <f>IFERROR(INDEX(Raw_Orders!H220:H2648,MATCH(B220,Raw_Orders!A220:A2648,0)),0)</f>
        <v>20</v>
      </c>
      <c r="J220" s="2" t="str">
        <f t="shared" si="12"/>
        <v>No</v>
      </c>
      <c r="K220" s="2" t="str">
        <f t="shared" si="13"/>
        <v>Yes</v>
      </c>
      <c r="L220" s="2" t="str">
        <f t="shared" si="15"/>
        <v>No</v>
      </c>
      <c r="M220" s="2">
        <f t="shared" si="14"/>
        <v>0</v>
      </c>
    </row>
    <row r="221" spans="1:13" x14ac:dyDescent="0.3">
      <c r="A221" s="5" t="s">
        <v>2850</v>
      </c>
      <c r="B221" s="5" t="s">
        <v>353</v>
      </c>
      <c r="C221" s="5" t="s">
        <v>2604</v>
      </c>
      <c r="D221" s="6">
        <v>45695</v>
      </c>
      <c r="E221" s="6">
        <v>45703</v>
      </c>
      <c r="F221" s="6">
        <v>45701</v>
      </c>
      <c r="G221" s="5" t="s">
        <v>2629</v>
      </c>
      <c r="H221" s="5">
        <v>17</v>
      </c>
      <c r="I221" s="5">
        <f>IFERROR(INDEX(Raw_Orders!H221:H2649,MATCH(B221,Raw_Orders!A221:A2649,0)),0)</f>
        <v>17</v>
      </c>
      <c r="J221" s="5" t="str">
        <f t="shared" si="12"/>
        <v>Yes</v>
      </c>
      <c r="K221" s="5" t="str">
        <f t="shared" si="13"/>
        <v>Yes</v>
      </c>
      <c r="L221" s="5" t="str">
        <f t="shared" si="15"/>
        <v>Yes</v>
      </c>
      <c r="M221" s="5">
        <f t="shared" si="14"/>
        <v>1</v>
      </c>
    </row>
    <row r="222" spans="1:13" x14ac:dyDescent="0.3">
      <c r="A222" s="2" t="s">
        <v>2851</v>
      </c>
      <c r="B222" s="2" t="s">
        <v>354</v>
      </c>
      <c r="C222" s="2" t="s">
        <v>2604</v>
      </c>
      <c r="D222" s="3">
        <v>45694</v>
      </c>
      <c r="E222" s="3">
        <v>45702</v>
      </c>
      <c r="F222" s="3">
        <v>45698</v>
      </c>
      <c r="G222" s="2" t="s">
        <v>2629</v>
      </c>
      <c r="H222" s="2">
        <v>43</v>
      </c>
      <c r="I222" s="2">
        <f>IFERROR(INDEX(Raw_Orders!H222:H2650,MATCH(B222,Raw_Orders!A222:A2650,0)),0)</f>
        <v>49</v>
      </c>
      <c r="J222" s="2" t="str">
        <f t="shared" si="12"/>
        <v>Yes</v>
      </c>
      <c r="K222" s="2" t="str">
        <f t="shared" si="13"/>
        <v>N0</v>
      </c>
      <c r="L222" s="2" t="str">
        <f t="shared" si="15"/>
        <v>No</v>
      </c>
      <c r="M222" s="2">
        <f t="shared" si="14"/>
        <v>0</v>
      </c>
    </row>
    <row r="223" spans="1:13" x14ac:dyDescent="0.3">
      <c r="A223" s="5" t="s">
        <v>2852</v>
      </c>
      <c r="B223" s="5" t="s">
        <v>355</v>
      </c>
      <c r="C223" s="5" t="s">
        <v>2604</v>
      </c>
      <c r="D223" s="6">
        <v>45693</v>
      </c>
      <c r="E223" s="6">
        <v>45702</v>
      </c>
      <c r="F223" s="6">
        <v>45697</v>
      </c>
      <c r="G223" s="5" t="s">
        <v>2629</v>
      </c>
      <c r="H223" s="5">
        <v>15</v>
      </c>
      <c r="I223" s="5">
        <f>IFERROR(INDEX(Raw_Orders!H223:H2651,MATCH(B223,Raw_Orders!A223:A2651,0)),0)</f>
        <v>15</v>
      </c>
      <c r="J223" s="5" t="str">
        <f t="shared" si="12"/>
        <v>Yes</v>
      </c>
      <c r="K223" s="5" t="str">
        <f t="shared" si="13"/>
        <v>Yes</v>
      </c>
      <c r="L223" s="5" t="str">
        <f t="shared" si="15"/>
        <v>Yes</v>
      </c>
      <c r="M223" s="5">
        <f t="shared" si="14"/>
        <v>1</v>
      </c>
    </row>
    <row r="224" spans="1:13" x14ac:dyDescent="0.3">
      <c r="A224" s="2" t="s">
        <v>2853</v>
      </c>
      <c r="B224" s="2" t="s">
        <v>357</v>
      </c>
      <c r="C224" s="2" t="s">
        <v>2606</v>
      </c>
      <c r="D224" s="3">
        <v>45693</v>
      </c>
      <c r="E224" s="3">
        <v>45696</v>
      </c>
      <c r="F224" s="3">
        <v>45699</v>
      </c>
      <c r="G224" s="2" t="s">
        <v>2631</v>
      </c>
      <c r="H224" s="2">
        <v>20</v>
      </c>
      <c r="I224" s="2">
        <f>IFERROR(INDEX(Raw_Orders!H224:H2652,MATCH(B224,Raw_Orders!A224:A2652,0)),0)</f>
        <v>20</v>
      </c>
      <c r="J224" s="2" t="str">
        <f t="shared" si="12"/>
        <v>No</v>
      </c>
      <c r="K224" s="2" t="str">
        <f t="shared" si="13"/>
        <v>Yes</v>
      </c>
      <c r="L224" s="2" t="str">
        <f t="shared" si="15"/>
        <v>No</v>
      </c>
      <c r="M224" s="2">
        <f t="shared" si="14"/>
        <v>0</v>
      </c>
    </row>
    <row r="225" spans="1:13" x14ac:dyDescent="0.3">
      <c r="A225" s="5" t="s">
        <v>2854</v>
      </c>
      <c r="B225" s="5" t="s">
        <v>358</v>
      </c>
      <c r="C225" s="5" t="s">
        <v>2606</v>
      </c>
      <c r="D225" s="6">
        <v>45694</v>
      </c>
      <c r="E225" s="6">
        <v>45701</v>
      </c>
      <c r="F225" s="6">
        <v>45701</v>
      </c>
      <c r="G225" s="5" t="s">
        <v>2627</v>
      </c>
      <c r="H225" s="5">
        <v>16</v>
      </c>
      <c r="I225" s="5">
        <f>IFERROR(INDEX(Raw_Orders!H225:H2653,MATCH(B225,Raw_Orders!A225:A2653,0)),0)</f>
        <v>16</v>
      </c>
      <c r="J225" s="5" t="str">
        <f t="shared" si="12"/>
        <v>Yes</v>
      </c>
      <c r="K225" s="5" t="str">
        <f t="shared" si="13"/>
        <v>Yes</v>
      </c>
      <c r="L225" s="5" t="str">
        <f t="shared" si="15"/>
        <v>Yes</v>
      </c>
      <c r="M225" s="5">
        <f t="shared" si="14"/>
        <v>1</v>
      </c>
    </row>
    <row r="226" spans="1:13" x14ac:dyDescent="0.3">
      <c r="A226" s="2" t="s">
        <v>2855</v>
      </c>
      <c r="B226" s="2" t="s">
        <v>359</v>
      </c>
      <c r="C226" s="2" t="s">
        <v>2608</v>
      </c>
      <c r="D226" s="3">
        <v>45693</v>
      </c>
      <c r="E226" s="3">
        <v>45701</v>
      </c>
      <c r="F226" s="3">
        <v>45706</v>
      </c>
      <c r="G226" s="2" t="s">
        <v>2631</v>
      </c>
      <c r="H226" s="2">
        <v>7</v>
      </c>
      <c r="I226" s="2">
        <f>IFERROR(INDEX(Raw_Orders!H226:H2654,MATCH(B226,Raw_Orders!A226:A2654,0)),0)</f>
        <v>7</v>
      </c>
      <c r="J226" s="2" t="str">
        <f t="shared" si="12"/>
        <v>No</v>
      </c>
      <c r="K226" s="2" t="str">
        <f t="shared" si="13"/>
        <v>Yes</v>
      </c>
      <c r="L226" s="2" t="str">
        <f t="shared" si="15"/>
        <v>No</v>
      </c>
      <c r="M226" s="2">
        <f t="shared" si="14"/>
        <v>0</v>
      </c>
    </row>
    <row r="227" spans="1:13" x14ac:dyDescent="0.3">
      <c r="A227" s="5" t="s">
        <v>2856</v>
      </c>
      <c r="B227" s="5" t="s">
        <v>360</v>
      </c>
      <c r="C227" s="5" t="s">
        <v>2611</v>
      </c>
      <c r="D227" s="6">
        <v>45696</v>
      </c>
      <c r="E227" s="6">
        <v>45701</v>
      </c>
      <c r="F227" s="6">
        <v>45705</v>
      </c>
      <c r="G227" s="5" t="s">
        <v>2627</v>
      </c>
      <c r="H227" s="5">
        <v>46</v>
      </c>
      <c r="I227" s="5">
        <f>IFERROR(INDEX(Raw_Orders!H227:H2655,MATCH(B227,Raw_Orders!A227:A2655,0)),0)</f>
        <v>46</v>
      </c>
      <c r="J227" s="5" t="str">
        <f t="shared" si="12"/>
        <v>No</v>
      </c>
      <c r="K227" s="5" t="str">
        <f t="shared" si="13"/>
        <v>Yes</v>
      </c>
      <c r="L227" s="5" t="str">
        <f t="shared" si="15"/>
        <v>No</v>
      </c>
      <c r="M227" s="5">
        <f t="shared" si="14"/>
        <v>0</v>
      </c>
    </row>
    <row r="228" spans="1:13" x14ac:dyDescent="0.3">
      <c r="A228" s="2" t="s">
        <v>2857</v>
      </c>
      <c r="B228" s="2" t="s">
        <v>361</v>
      </c>
      <c r="C228" s="2" t="s">
        <v>2614</v>
      </c>
      <c r="D228" s="3">
        <v>45695</v>
      </c>
      <c r="E228" s="3">
        <v>45698</v>
      </c>
      <c r="F228" s="3">
        <v>45713</v>
      </c>
      <c r="G228" s="2" t="s">
        <v>2631</v>
      </c>
      <c r="H228" s="2">
        <v>16</v>
      </c>
      <c r="I228" s="2">
        <f>IFERROR(INDEX(Raw_Orders!H228:H2656,MATCH(B228,Raw_Orders!A228:A2656,0)),0)</f>
        <v>16</v>
      </c>
      <c r="J228" s="2" t="str">
        <f t="shared" si="12"/>
        <v>No</v>
      </c>
      <c r="K228" s="2" t="str">
        <f t="shared" si="13"/>
        <v>Yes</v>
      </c>
      <c r="L228" s="2" t="str">
        <f t="shared" si="15"/>
        <v>No</v>
      </c>
      <c r="M228" s="2">
        <f t="shared" si="14"/>
        <v>0</v>
      </c>
    </row>
    <row r="229" spans="1:13" x14ac:dyDescent="0.3">
      <c r="A229" s="5" t="s">
        <v>2858</v>
      </c>
      <c r="B229" s="5" t="s">
        <v>362</v>
      </c>
      <c r="C229" s="5" t="s">
        <v>2614</v>
      </c>
      <c r="D229" s="6">
        <v>45694</v>
      </c>
      <c r="E229" s="6">
        <v>45701</v>
      </c>
      <c r="F229" s="6">
        <v>45709</v>
      </c>
      <c r="G229" s="5" t="s">
        <v>2633</v>
      </c>
      <c r="H229" s="5">
        <v>17</v>
      </c>
      <c r="I229" s="5">
        <f>IFERROR(INDEX(Raw_Orders!H229:H2657,MATCH(B229,Raw_Orders!A229:A2657,0)),0)</f>
        <v>19</v>
      </c>
      <c r="J229" s="5" t="str">
        <f t="shared" si="12"/>
        <v>No</v>
      </c>
      <c r="K229" s="5" t="str">
        <f t="shared" si="13"/>
        <v>N0</v>
      </c>
      <c r="L229" s="5" t="str">
        <f t="shared" si="15"/>
        <v>No</v>
      </c>
      <c r="M229" s="5">
        <f t="shared" si="14"/>
        <v>0</v>
      </c>
    </row>
    <row r="230" spans="1:13" x14ac:dyDescent="0.3">
      <c r="A230" s="2" t="s">
        <v>2859</v>
      </c>
      <c r="B230" s="2" t="s">
        <v>364</v>
      </c>
      <c r="C230" s="2" t="s">
        <v>2616</v>
      </c>
      <c r="D230" s="3">
        <v>45695</v>
      </c>
      <c r="E230" s="3">
        <v>45699</v>
      </c>
      <c r="F230" s="3">
        <v>45709</v>
      </c>
      <c r="G230" s="2" t="s">
        <v>2633</v>
      </c>
      <c r="H230" s="2">
        <v>14</v>
      </c>
      <c r="I230" s="2">
        <f>IFERROR(INDEX(Raw_Orders!H230:H2658,MATCH(B230,Raw_Orders!A230:A2658,0)),0)</f>
        <v>15</v>
      </c>
      <c r="J230" s="2" t="str">
        <f t="shared" si="12"/>
        <v>No</v>
      </c>
      <c r="K230" s="2" t="str">
        <f t="shared" si="13"/>
        <v>N0</v>
      </c>
      <c r="L230" s="2" t="str">
        <f t="shared" si="15"/>
        <v>No</v>
      </c>
      <c r="M230" s="2">
        <f t="shared" si="14"/>
        <v>0</v>
      </c>
    </row>
    <row r="231" spans="1:13" x14ac:dyDescent="0.3">
      <c r="A231" s="5" t="s">
        <v>2860</v>
      </c>
      <c r="B231" s="5" t="s">
        <v>365</v>
      </c>
      <c r="C231" s="5" t="s">
        <v>2608</v>
      </c>
      <c r="D231" s="6">
        <v>45694</v>
      </c>
      <c r="E231" s="6">
        <v>45701</v>
      </c>
      <c r="F231" s="6">
        <v>45711</v>
      </c>
      <c r="G231" s="5" t="s">
        <v>2641</v>
      </c>
      <c r="H231" s="5">
        <v>9</v>
      </c>
      <c r="I231" s="5">
        <f>IFERROR(INDEX(Raw_Orders!H231:H2659,MATCH(B231,Raw_Orders!A231:A2659,0)),0)</f>
        <v>9</v>
      </c>
      <c r="J231" s="5" t="str">
        <f t="shared" si="12"/>
        <v>No</v>
      </c>
      <c r="K231" s="5" t="str">
        <f t="shared" si="13"/>
        <v>Yes</v>
      </c>
      <c r="L231" s="5" t="str">
        <f t="shared" si="15"/>
        <v>No</v>
      </c>
      <c r="M231" s="5">
        <f t="shared" si="14"/>
        <v>0</v>
      </c>
    </row>
    <row r="232" spans="1:13" x14ac:dyDescent="0.3">
      <c r="A232" s="2" t="s">
        <v>2861</v>
      </c>
      <c r="B232" s="2" t="s">
        <v>366</v>
      </c>
      <c r="C232" s="2" t="s">
        <v>2598</v>
      </c>
      <c r="D232" s="3">
        <v>45695</v>
      </c>
      <c r="E232" s="3">
        <v>45705</v>
      </c>
      <c r="F232" s="3">
        <v>45708</v>
      </c>
      <c r="G232" s="2" t="s">
        <v>2627</v>
      </c>
      <c r="H232" s="2">
        <v>35</v>
      </c>
      <c r="I232" s="2">
        <f>IFERROR(INDEX(Raw_Orders!H232:H2660,MATCH(B232,Raw_Orders!A232:A2660,0)),0)</f>
        <v>37</v>
      </c>
      <c r="J232" s="2" t="str">
        <f t="shared" si="12"/>
        <v>No</v>
      </c>
      <c r="K232" s="2" t="str">
        <f t="shared" si="13"/>
        <v>N0</v>
      </c>
      <c r="L232" s="2" t="str">
        <f t="shared" si="15"/>
        <v>No</v>
      </c>
      <c r="M232" s="2">
        <f t="shared" si="14"/>
        <v>0</v>
      </c>
    </row>
    <row r="233" spans="1:13" x14ac:dyDescent="0.3">
      <c r="A233" s="5" t="s">
        <v>2862</v>
      </c>
      <c r="B233" s="5" t="s">
        <v>367</v>
      </c>
      <c r="C233" s="5" t="s">
        <v>2614</v>
      </c>
      <c r="D233" s="6">
        <v>45695</v>
      </c>
      <c r="E233" s="6">
        <v>45700</v>
      </c>
      <c r="F233" s="6">
        <v>45709</v>
      </c>
      <c r="G233" s="5" t="s">
        <v>2629</v>
      </c>
      <c r="H233" s="5">
        <v>26</v>
      </c>
      <c r="I233" s="5">
        <f>IFERROR(INDEX(Raw_Orders!H233:H2661,MATCH(B233,Raw_Orders!A233:A2661,0)),0)</f>
        <v>32</v>
      </c>
      <c r="J233" s="5" t="str">
        <f t="shared" si="12"/>
        <v>No</v>
      </c>
      <c r="K233" s="5" t="str">
        <f t="shared" si="13"/>
        <v>N0</v>
      </c>
      <c r="L233" s="5" t="str">
        <f t="shared" si="15"/>
        <v>No</v>
      </c>
      <c r="M233" s="5">
        <f t="shared" si="14"/>
        <v>0</v>
      </c>
    </row>
    <row r="234" spans="1:13" x14ac:dyDescent="0.3">
      <c r="A234" s="2" t="s">
        <v>2863</v>
      </c>
      <c r="B234" s="2" t="s">
        <v>368</v>
      </c>
      <c r="C234" s="2" t="s">
        <v>2601</v>
      </c>
      <c r="D234" s="3">
        <v>45697</v>
      </c>
      <c r="E234" s="3">
        <v>45705</v>
      </c>
      <c r="F234" s="3">
        <v>45702</v>
      </c>
      <c r="G234" s="2" t="s">
        <v>2629</v>
      </c>
      <c r="H234" s="2">
        <v>8</v>
      </c>
      <c r="I234" s="2">
        <f>IFERROR(INDEX(Raw_Orders!H234:H2662,MATCH(B234,Raw_Orders!A234:A2662,0)),0)</f>
        <v>8</v>
      </c>
      <c r="J234" s="2" t="str">
        <f t="shared" si="12"/>
        <v>Yes</v>
      </c>
      <c r="K234" s="2" t="str">
        <f t="shared" si="13"/>
        <v>Yes</v>
      </c>
      <c r="L234" s="2" t="str">
        <f t="shared" si="15"/>
        <v>Yes</v>
      </c>
      <c r="M234" s="2">
        <f t="shared" si="14"/>
        <v>1</v>
      </c>
    </row>
    <row r="235" spans="1:13" x14ac:dyDescent="0.3">
      <c r="A235" s="5" t="s">
        <v>2864</v>
      </c>
      <c r="B235" s="5" t="s">
        <v>369</v>
      </c>
      <c r="C235" s="5" t="s">
        <v>2604</v>
      </c>
      <c r="D235" s="6">
        <v>45697</v>
      </c>
      <c r="E235" s="6">
        <v>45703</v>
      </c>
      <c r="F235" s="6">
        <v>45700</v>
      </c>
      <c r="G235" s="5" t="s">
        <v>2627</v>
      </c>
      <c r="H235" s="5">
        <v>26</v>
      </c>
      <c r="I235" s="5">
        <f>IFERROR(INDEX(Raw_Orders!H235:H2663,MATCH(B235,Raw_Orders!A235:A2663,0)),0)</f>
        <v>26</v>
      </c>
      <c r="J235" s="5" t="str">
        <f t="shared" si="12"/>
        <v>Yes</v>
      </c>
      <c r="K235" s="5" t="str">
        <f t="shared" si="13"/>
        <v>Yes</v>
      </c>
      <c r="L235" s="5" t="str">
        <f t="shared" si="15"/>
        <v>Yes</v>
      </c>
      <c r="M235" s="5">
        <f t="shared" si="14"/>
        <v>1</v>
      </c>
    </row>
    <row r="236" spans="1:13" x14ac:dyDescent="0.3">
      <c r="A236" s="2" t="s">
        <v>2865</v>
      </c>
      <c r="B236" s="2" t="s">
        <v>370</v>
      </c>
      <c r="C236" s="2" t="s">
        <v>2606</v>
      </c>
      <c r="D236" s="3">
        <v>45696</v>
      </c>
      <c r="E236" s="3">
        <v>45700</v>
      </c>
      <c r="F236" s="3">
        <v>45703</v>
      </c>
      <c r="G236" s="2" t="s">
        <v>2629</v>
      </c>
      <c r="H236" s="2">
        <v>33</v>
      </c>
      <c r="I236" s="2">
        <f>IFERROR(INDEX(Raw_Orders!H236:H2664,MATCH(B236,Raw_Orders!A236:A2664,0)),0)</f>
        <v>33</v>
      </c>
      <c r="J236" s="2" t="str">
        <f t="shared" si="12"/>
        <v>No</v>
      </c>
      <c r="K236" s="2" t="str">
        <f t="shared" si="13"/>
        <v>Yes</v>
      </c>
      <c r="L236" s="2" t="str">
        <f t="shared" si="15"/>
        <v>No</v>
      </c>
      <c r="M236" s="2">
        <f t="shared" si="14"/>
        <v>0</v>
      </c>
    </row>
    <row r="237" spans="1:13" x14ac:dyDescent="0.3">
      <c r="A237" s="5" t="s">
        <v>2866</v>
      </c>
      <c r="B237" s="5" t="s">
        <v>371</v>
      </c>
      <c r="C237" s="5" t="s">
        <v>2606</v>
      </c>
      <c r="D237" s="6">
        <v>45696</v>
      </c>
      <c r="E237" s="6">
        <v>45698</v>
      </c>
      <c r="F237" s="6">
        <v>45706</v>
      </c>
      <c r="G237" s="5" t="s">
        <v>2641</v>
      </c>
      <c r="H237" s="5">
        <v>27</v>
      </c>
      <c r="I237" s="5">
        <f>IFERROR(INDEX(Raw_Orders!H237:H2665,MATCH(B237,Raw_Orders!A237:A2665,0)),0)</f>
        <v>27</v>
      </c>
      <c r="J237" s="5" t="str">
        <f t="shared" si="12"/>
        <v>No</v>
      </c>
      <c r="K237" s="5" t="str">
        <f t="shared" si="13"/>
        <v>Yes</v>
      </c>
      <c r="L237" s="5" t="str">
        <f t="shared" si="15"/>
        <v>No</v>
      </c>
      <c r="M237" s="5">
        <f t="shared" si="14"/>
        <v>0</v>
      </c>
    </row>
    <row r="238" spans="1:13" x14ac:dyDescent="0.3">
      <c r="A238" s="2" t="s">
        <v>2867</v>
      </c>
      <c r="B238" s="2" t="s">
        <v>372</v>
      </c>
      <c r="C238" s="2" t="s">
        <v>2606</v>
      </c>
      <c r="D238" s="3">
        <v>45696</v>
      </c>
      <c r="E238" s="3">
        <v>45701</v>
      </c>
      <c r="F238" s="3">
        <v>45704</v>
      </c>
      <c r="G238" s="2" t="s">
        <v>2627</v>
      </c>
      <c r="H238" s="2">
        <v>37</v>
      </c>
      <c r="I238" s="2">
        <f>IFERROR(INDEX(Raw_Orders!H238:H2666,MATCH(B238,Raw_Orders!A238:A2666,0)),0)</f>
        <v>37</v>
      </c>
      <c r="J238" s="2" t="str">
        <f t="shared" si="12"/>
        <v>No</v>
      </c>
      <c r="K238" s="2" t="str">
        <f t="shared" si="13"/>
        <v>Yes</v>
      </c>
      <c r="L238" s="2" t="str">
        <f t="shared" si="15"/>
        <v>No</v>
      </c>
      <c r="M238" s="2">
        <f t="shared" si="14"/>
        <v>0</v>
      </c>
    </row>
    <row r="239" spans="1:13" x14ac:dyDescent="0.3">
      <c r="A239" s="5" t="s">
        <v>2868</v>
      </c>
      <c r="B239" s="5" t="s">
        <v>373</v>
      </c>
      <c r="C239" s="5" t="s">
        <v>2608</v>
      </c>
      <c r="D239" s="6">
        <v>45695</v>
      </c>
      <c r="E239" s="6">
        <v>45702</v>
      </c>
      <c r="F239" s="6">
        <v>45710</v>
      </c>
      <c r="G239" s="5" t="s">
        <v>2631</v>
      </c>
      <c r="H239" s="5">
        <v>4</v>
      </c>
      <c r="I239" s="5">
        <f>IFERROR(INDEX(Raw_Orders!H239:H2667,MATCH(B239,Raw_Orders!A239:A2667,0)),0)</f>
        <v>10</v>
      </c>
      <c r="J239" s="5" t="str">
        <f t="shared" si="12"/>
        <v>No</v>
      </c>
      <c r="K239" s="5" t="str">
        <f t="shared" si="13"/>
        <v>N0</v>
      </c>
      <c r="L239" s="5" t="str">
        <f t="shared" si="15"/>
        <v>No</v>
      </c>
      <c r="M239" s="5">
        <f t="shared" si="14"/>
        <v>0</v>
      </c>
    </row>
    <row r="240" spans="1:13" x14ac:dyDescent="0.3">
      <c r="A240" s="2" t="s">
        <v>2869</v>
      </c>
      <c r="B240" s="2" t="s">
        <v>374</v>
      </c>
      <c r="C240" s="2" t="s">
        <v>2598</v>
      </c>
      <c r="D240" s="3">
        <v>45697</v>
      </c>
      <c r="E240" s="3">
        <v>45701</v>
      </c>
      <c r="F240" s="3">
        <v>45710</v>
      </c>
      <c r="G240" s="2" t="s">
        <v>2633</v>
      </c>
      <c r="H240" s="2">
        <v>23</v>
      </c>
      <c r="I240" s="2">
        <f>IFERROR(INDEX(Raw_Orders!H240:H2668,MATCH(B240,Raw_Orders!A240:A2668,0)),0)</f>
        <v>23</v>
      </c>
      <c r="J240" s="2" t="str">
        <f t="shared" si="12"/>
        <v>No</v>
      </c>
      <c r="K240" s="2" t="str">
        <f t="shared" si="13"/>
        <v>Yes</v>
      </c>
      <c r="L240" s="2" t="str">
        <f t="shared" si="15"/>
        <v>No</v>
      </c>
      <c r="M240" s="2">
        <f t="shared" si="14"/>
        <v>0</v>
      </c>
    </row>
    <row r="241" spans="1:13" x14ac:dyDescent="0.3">
      <c r="A241" s="5" t="s">
        <v>2870</v>
      </c>
      <c r="B241" s="5" t="s">
        <v>375</v>
      </c>
      <c r="C241" s="5" t="s">
        <v>2601</v>
      </c>
      <c r="D241" s="6">
        <v>45696</v>
      </c>
      <c r="E241" s="6">
        <v>45699</v>
      </c>
      <c r="F241" s="6">
        <v>45703</v>
      </c>
      <c r="G241" s="5" t="s">
        <v>2633</v>
      </c>
      <c r="H241" s="5">
        <v>17</v>
      </c>
      <c r="I241" s="5">
        <f>IFERROR(INDEX(Raw_Orders!H241:H2669,MATCH(B241,Raw_Orders!A241:A2669,0)),0)</f>
        <v>17</v>
      </c>
      <c r="J241" s="5" t="str">
        <f t="shared" si="12"/>
        <v>No</v>
      </c>
      <c r="K241" s="5" t="str">
        <f t="shared" si="13"/>
        <v>Yes</v>
      </c>
      <c r="L241" s="5" t="str">
        <f t="shared" si="15"/>
        <v>No</v>
      </c>
      <c r="M241" s="5">
        <f t="shared" si="14"/>
        <v>0</v>
      </c>
    </row>
    <row r="242" spans="1:13" x14ac:dyDescent="0.3">
      <c r="A242" s="2" t="s">
        <v>2871</v>
      </c>
      <c r="B242" s="2" t="s">
        <v>376</v>
      </c>
      <c r="C242" s="2" t="s">
        <v>2604</v>
      </c>
      <c r="D242" s="3">
        <v>45696</v>
      </c>
      <c r="E242" s="3">
        <v>45703</v>
      </c>
      <c r="F242" s="3">
        <v>45704</v>
      </c>
      <c r="G242" s="2" t="s">
        <v>2631</v>
      </c>
      <c r="H242" s="2">
        <v>25</v>
      </c>
      <c r="I242" s="2">
        <f>IFERROR(INDEX(Raw_Orders!H242:H2670,MATCH(B242,Raw_Orders!A242:A2670,0)),0)</f>
        <v>29</v>
      </c>
      <c r="J242" s="2" t="str">
        <f t="shared" si="12"/>
        <v>No</v>
      </c>
      <c r="K242" s="2" t="str">
        <f t="shared" si="13"/>
        <v>N0</v>
      </c>
      <c r="L242" s="2" t="str">
        <f t="shared" si="15"/>
        <v>No</v>
      </c>
      <c r="M242" s="2">
        <f t="shared" si="14"/>
        <v>0</v>
      </c>
    </row>
    <row r="243" spans="1:13" x14ac:dyDescent="0.3">
      <c r="A243" s="5" t="s">
        <v>2872</v>
      </c>
      <c r="B243" s="5" t="s">
        <v>377</v>
      </c>
      <c r="C243" s="5" t="s">
        <v>2606</v>
      </c>
      <c r="D243" s="6">
        <v>45698</v>
      </c>
      <c r="E243" s="6">
        <v>45700</v>
      </c>
      <c r="F243" s="6">
        <v>45703</v>
      </c>
      <c r="G243" s="5" t="s">
        <v>2631</v>
      </c>
      <c r="H243" s="5">
        <v>18</v>
      </c>
      <c r="I243" s="5">
        <f>IFERROR(INDEX(Raw_Orders!H243:H2671,MATCH(B243,Raw_Orders!A243:A2671,0)),0)</f>
        <v>18</v>
      </c>
      <c r="J243" s="5" t="str">
        <f t="shared" si="12"/>
        <v>No</v>
      </c>
      <c r="K243" s="5" t="str">
        <f t="shared" si="13"/>
        <v>Yes</v>
      </c>
      <c r="L243" s="5" t="str">
        <f t="shared" si="15"/>
        <v>No</v>
      </c>
      <c r="M243" s="5">
        <f t="shared" si="14"/>
        <v>0</v>
      </c>
    </row>
    <row r="244" spans="1:13" x14ac:dyDescent="0.3">
      <c r="A244" s="2" t="s">
        <v>2873</v>
      </c>
      <c r="B244" s="2" t="s">
        <v>378</v>
      </c>
      <c r="C244" s="2" t="s">
        <v>2608</v>
      </c>
      <c r="D244" s="3">
        <v>45696</v>
      </c>
      <c r="E244" s="3">
        <v>45704</v>
      </c>
      <c r="F244" s="3">
        <v>45709</v>
      </c>
      <c r="G244" s="2" t="s">
        <v>2633</v>
      </c>
      <c r="H244" s="2">
        <v>17</v>
      </c>
      <c r="I244" s="2">
        <f>IFERROR(INDEX(Raw_Orders!H244:H2672,MATCH(B244,Raw_Orders!A244:A2672,0)),0)</f>
        <v>17</v>
      </c>
      <c r="J244" s="2" t="str">
        <f t="shared" si="12"/>
        <v>No</v>
      </c>
      <c r="K244" s="2" t="str">
        <f t="shared" si="13"/>
        <v>Yes</v>
      </c>
      <c r="L244" s="2" t="str">
        <f t="shared" si="15"/>
        <v>No</v>
      </c>
      <c r="M244" s="2">
        <f t="shared" si="14"/>
        <v>0</v>
      </c>
    </row>
    <row r="245" spans="1:13" x14ac:dyDescent="0.3">
      <c r="A245" s="5" t="s">
        <v>2874</v>
      </c>
      <c r="B245" s="5" t="s">
        <v>379</v>
      </c>
      <c r="C245" s="5" t="s">
        <v>2608</v>
      </c>
      <c r="D245" s="6">
        <v>45697</v>
      </c>
      <c r="E245" s="6">
        <v>45704</v>
      </c>
      <c r="F245" s="6">
        <v>45710</v>
      </c>
      <c r="G245" s="5" t="s">
        <v>2641</v>
      </c>
      <c r="H245" s="5">
        <v>7</v>
      </c>
      <c r="I245" s="5">
        <f>IFERROR(INDEX(Raw_Orders!H245:H2673,MATCH(B245,Raw_Orders!A245:A2673,0)),0)</f>
        <v>7</v>
      </c>
      <c r="J245" s="5" t="str">
        <f t="shared" si="12"/>
        <v>No</v>
      </c>
      <c r="K245" s="5" t="str">
        <f t="shared" si="13"/>
        <v>Yes</v>
      </c>
      <c r="L245" s="5" t="str">
        <f t="shared" si="15"/>
        <v>No</v>
      </c>
      <c r="M245" s="5">
        <f t="shared" si="14"/>
        <v>0</v>
      </c>
    </row>
    <row r="246" spans="1:13" x14ac:dyDescent="0.3">
      <c r="A246" s="2" t="s">
        <v>2875</v>
      </c>
      <c r="B246" s="2" t="s">
        <v>380</v>
      </c>
      <c r="C246" s="2" t="s">
        <v>2611</v>
      </c>
      <c r="D246" s="3">
        <v>45698</v>
      </c>
      <c r="E246" s="3">
        <v>45705</v>
      </c>
      <c r="F246" s="3">
        <v>45704</v>
      </c>
      <c r="G246" s="2" t="s">
        <v>2629</v>
      </c>
      <c r="H246" s="2">
        <v>23</v>
      </c>
      <c r="I246" s="2">
        <f>IFERROR(INDEX(Raw_Orders!H246:H2674,MATCH(B246,Raw_Orders!A246:A2674,0)),0)</f>
        <v>23</v>
      </c>
      <c r="J246" s="2" t="str">
        <f t="shared" si="12"/>
        <v>Yes</v>
      </c>
      <c r="K246" s="2" t="str">
        <f t="shared" si="13"/>
        <v>Yes</v>
      </c>
      <c r="L246" s="2" t="str">
        <f t="shared" si="15"/>
        <v>Yes</v>
      </c>
      <c r="M246" s="2">
        <f t="shared" si="14"/>
        <v>1</v>
      </c>
    </row>
    <row r="247" spans="1:13" x14ac:dyDescent="0.3">
      <c r="A247" s="5" t="s">
        <v>2876</v>
      </c>
      <c r="B247" s="5" t="s">
        <v>381</v>
      </c>
      <c r="C247" s="5" t="s">
        <v>2611</v>
      </c>
      <c r="D247" s="6">
        <v>45699</v>
      </c>
      <c r="E247" s="6">
        <v>45707</v>
      </c>
      <c r="F247" s="6">
        <v>45708</v>
      </c>
      <c r="G247" s="5" t="s">
        <v>2641</v>
      </c>
      <c r="H247" s="5">
        <v>15</v>
      </c>
      <c r="I247" s="5">
        <f>IFERROR(INDEX(Raw_Orders!H247:H2675,MATCH(B247,Raw_Orders!A247:A2675,0)),0)</f>
        <v>23</v>
      </c>
      <c r="J247" s="5" t="str">
        <f t="shared" si="12"/>
        <v>No</v>
      </c>
      <c r="K247" s="5" t="str">
        <f t="shared" si="13"/>
        <v>N0</v>
      </c>
      <c r="L247" s="5" t="str">
        <f t="shared" si="15"/>
        <v>No</v>
      </c>
      <c r="M247" s="5">
        <f t="shared" si="14"/>
        <v>0</v>
      </c>
    </row>
    <row r="248" spans="1:13" x14ac:dyDescent="0.3">
      <c r="A248" s="2" t="s">
        <v>2877</v>
      </c>
      <c r="B248" s="2" t="s">
        <v>382</v>
      </c>
      <c r="C248" s="2" t="s">
        <v>2598</v>
      </c>
      <c r="D248" s="3">
        <v>45698</v>
      </c>
      <c r="E248" s="3">
        <v>45706</v>
      </c>
      <c r="F248" s="3">
        <v>45711</v>
      </c>
      <c r="G248" s="2" t="s">
        <v>2627</v>
      </c>
      <c r="H248" s="2">
        <v>32</v>
      </c>
      <c r="I248" s="2">
        <f>IFERROR(INDEX(Raw_Orders!H248:H2676,MATCH(B248,Raw_Orders!A248:A2676,0)),0)</f>
        <v>32</v>
      </c>
      <c r="J248" s="2" t="str">
        <f t="shared" si="12"/>
        <v>No</v>
      </c>
      <c r="K248" s="2" t="str">
        <f t="shared" si="13"/>
        <v>Yes</v>
      </c>
      <c r="L248" s="2" t="str">
        <f t="shared" si="15"/>
        <v>No</v>
      </c>
      <c r="M248" s="2">
        <f t="shared" si="14"/>
        <v>0</v>
      </c>
    </row>
    <row r="249" spans="1:13" x14ac:dyDescent="0.3">
      <c r="A249" s="5" t="s">
        <v>2878</v>
      </c>
      <c r="B249" s="5" t="s">
        <v>383</v>
      </c>
      <c r="C249" s="5" t="s">
        <v>2616</v>
      </c>
      <c r="D249" s="6">
        <v>45699</v>
      </c>
      <c r="E249" s="6">
        <v>45702</v>
      </c>
      <c r="F249" s="6">
        <v>45716</v>
      </c>
      <c r="G249" s="5" t="s">
        <v>2641</v>
      </c>
      <c r="H249" s="5">
        <v>18</v>
      </c>
      <c r="I249" s="5">
        <f>IFERROR(INDEX(Raw_Orders!H249:H2677,MATCH(B249,Raw_Orders!A249:A2677,0)),0)</f>
        <v>18</v>
      </c>
      <c r="J249" s="5" t="str">
        <f t="shared" si="12"/>
        <v>No</v>
      </c>
      <c r="K249" s="5" t="str">
        <f t="shared" si="13"/>
        <v>Yes</v>
      </c>
      <c r="L249" s="5" t="str">
        <f t="shared" si="15"/>
        <v>No</v>
      </c>
      <c r="M249" s="5">
        <f t="shared" si="14"/>
        <v>0</v>
      </c>
    </row>
    <row r="250" spans="1:13" x14ac:dyDescent="0.3">
      <c r="A250" s="2" t="s">
        <v>2879</v>
      </c>
      <c r="B250" s="2" t="s">
        <v>384</v>
      </c>
      <c r="C250" s="2" t="s">
        <v>2616</v>
      </c>
      <c r="D250" s="3">
        <v>45697</v>
      </c>
      <c r="E250" s="3">
        <v>45707</v>
      </c>
      <c r="F250" s="3">
        <v>45716</v>
      </c>
      <c r="G250" s="2" t="s">
        <v>2633</v>
      </c>
      <c r="H250" s="2">
        <v>35</v>
      </c>
      <c r="I250" s="2">
        <f>IFERROR(INDEX(Raw_Orders!H250:H2678,MATCH(B250,Raw_Orders!A250:A2678,0)),0)</f>
        <v>35</v>
      </c>
      <c r="J250" s="2" t="str">
        <f t="shared" si="12"/>
        <v>No</v>
      </c>
      <c r="K250" s="2" t="str">
        <f t="shared" si="13"/>
        <v>Yes</v>
      </c>
      <c r="L250" s="2" t="str">
        <f t="shared" si="15"/>
        <v>No</v>
      </c>
      <c r="M250" s="2">
        <f t="shared" si="14"/>
        <v>0</v>
      </c>
    </row>
    <row r="251" spans="1:13" x14ac:dyDescent="0.3">
      <c r="A251" s="5" t="s">
        <v>2880</v>
      </c>
      <c r="B251" s="5" t="s">
        <v>385</v>
      </c>
      <c r="C251" s="5" t="s">
        <v>2606</v>
      </c>
      <c r="D251" s="6">
        <v>45697</v>
      </c>
      <c r="E251" s="6">
        <v>45704</v>
      </c>
      <c r="F251" s="6">
        <v>45704</v>
      </c>
      <c r="G251" s="5" t="s">
        <v>2629</v>
      </c>
      <c r="H251" s="5">
        <v>35</v>
      </c>
      <c r="I251" s="5">
        <f>IFERROR(INDEX(Raw_Orders!H251:H2679,MATCH(B251,Raw_Orders!A251:A2679,0)),0)</f>
        <v>43</v>
      </c>
      <c r="J251" s="5" t="str">
        <f t="shared" si="12"/>
        <v>Yes</v>
      </c>
      <c r="K251" s="5" t="str">
        <f t="shared" si="13"/>
        <v>N0</v>
      </c>
      <c r="L251" s="5" t="str">
        <f t="shared" si="15"/>
        <v>No</v>
      </c>
      <c r="M251" s="5">
        <f t="shared" si="14"/>
        <v>0</v>
      </c>
    </row>
    <row r="252" spans="1:13" x14ac:dyDescent="0.3">
      <c r="A252" s="2" t="s">
        <v>2881</v>
      </c>
      <c r="B252" s="2" t="s">
        <v>386</v>
      </c>
      <c r="C252" s="2" t="s">
        <v>2606</v>
      </c>
      <c r="D252" s="3">
        <v>45699</v>
      </c>
      <c r="E252" s="3">
        <v>45702</v>
      </c>
      <c r="F252" s="3">
        <v>45704</v>
      </c>
      <c r="G252" s="2" t="s">
        <v>2631</v>
      </c>
      <c r="H252" s="2">
        <v>30</v>
      </c>
      <c r="I252" s="2">
        <f>IFERROR(INDEX(Raw_Orders!H252:H2680,MATCH(B252,Raw_Orders!A252:A2680,0)),0)</f>
        <v>30</v>
      </c>
      <c r="J252" s="2" t="str">
        <f t="shared" si="12"/>
        <v>No</v>
      </c>
      <c r="K252" s="2" t="str">
        <f t="shared" si="13"/>
        <v>Yes</v>
      </c>
      <c r="L252" s="2" t="str">
        <f t="shared" si="15"/>
        <v>No</v>
      </c>
      <c r="M252" s="2">
        <f t="shared" si="14"/>
        <v>0</v>
      </c>
    </row>
    <row r="253" spans="1:13" x14ac:dyDescent="0.3">
      <c r="A253" s="5" t="s">
        <v>2882</v>
      </c>
      <c r="B253" s="5" t="s">
        <v>387</v>
      </c>
      <c r="C253" s="5" t="s">
        <v>2608</v>
      </c>
      <c r="D253" s="6">
        <v>45699</v>
      </c>
      <c r="E253" s="6">
        <v>45706</v>
      </c>
      <c r="F253" s="6">
        <v>45712</v>
      </c>
      <c r="G253" s="5" t="s">
        <v>2629</v>
      </c>
      <c r="H253" s="5">
        <v>6</v>
      </c>
      <c r="I253" s="5">
        <f>IFERROR(INDEX(Raw_Orders!H253:H2681,MATCH(B253,Raw_Orders!A253:A2681,0)),0)</f>
        <v>6</v>
      </c>
      <c r="J253" s="5" t="str">
        <f t="shared" si="12"/>
        <v>No</v>
      </c>
      <c r="K253" s="5" t="str">
        <f t="shared" si="13"/>
        <v>Yes</v>
      </c>
      <c r="L253" s="5" t="str">
        <f t="shared" si="15"/>
        <v>No</v>
      </c>
      <c r="M253" s="5">
        <f t="shared" si="14"/>
        <v>0</v>
      </c>
    </row>
    <row r="254" spans="1:13" x14ac:dyDescent="0.3">
      <c r="A254" s="2" t="s">
        <v>2883</v>
      </c>
      <c r="B254" s="2" t="s">
        <v>388</v>
      </c>
      <c r="C254" s="2" t="s">
        <v>2608</v>
      </c>
      <c r="D254" s="3">
        <v>45697</v>
      </c>
      <c r="E254" s="3">
        <v>45707</v>
      </c>
      <c r="F254" s="3">
        <v>45710</v>
      </c>
      <c r="G254" s="2" t="s">
        <v>2641</v>
      </c>
      <c r="H254" s="2">
        <v>8</v>
      </c>
      <c r="I254" s="2">
        <f>IFERROR(INDEX(Raw_Orders!H254:H2682,MATCH(B254,Raw_Orders!A254:A2682,0)),0)</f>
        <v>8</v>
      </c>
      <c r="J254" s="2" t="str">
        <f t="shared" si="12"/>
        <v>No</v>
      </c>
      <c r="K254" s="2" t="str">
        <f t="shared" si="13"/>
        <v>Yes</v>
      </c>
      <c r="L254" s="2" t="str">
        <f t="shared" si="15"/>
        <v>No</v>
      </c>
      <c r="M254" s="2">
        <f t="shared" si="14"/>
        <v>0</v>
      </c>
    </row>
    <row r="255" spans="1:13" x14ac:dyDescent="0.3">
      <c r="A255" s="5" t="s">
        <v>2884</v>
      </c>
      <c r="B255" s="5" t="s">
        <v>389</v>
      </c>
      <c r="C255" s="5" t="s">
        <v>2614</v>
      </c>
      <c r="D255" s="6">
        <v>45700</v>
      </c>
      <c r="E255" s="6">
        <v>45702</v>
      </c>
      <c r="F255" s="6">
        <v>45716</v>
      </c>
      <c r="G255" s="5" t="s">
        <v>2631</v>
      </c>
      <c r="H255" s="5">
        <v>18</v>
      </c>
      <c r="I255" s="5">
        <f>IFERROR(INDEX(Raw_Orders!H255:H2683,MATCH(B255,Raw_Orders!A255:A2683,0)),0)</f>
        <v>18</v>
      </c>
      <c r="J255" s="5" t="str">
        <f t="shared" si="12"/>
        <v>No</v>
      </c>
      <c r="K255" s="5" t="str">
        <f t="shared" si="13"/>
        <v>Yes</v>
      </c>
      <c r="L255" s="5" t="str">
        <f t="shared" si="15"/>
        <v>No</v>
      </c>
      <c r="M255" s="5">
        <f t="shared" si="14"/>
        <v>0</v>
      </c>
    </row>
    <row r="256" spans="1:13" x14ac:dyDescent="0.3">
      <c r="A256" s="2" t="s">
        <v>2885</v>
      </c>
      <c r="B256" s="2" t="s">
        <v>390</v>
      </c>
      <c r="C256" s="2" t="s">
        <v>2601</v>
      </c>
      <c r="D256" s="3">
        <v>45698</v>
      </c>
      <c r="E256" s="3">
        <v>45704</v>
      </c>
      <c r="F256" s="3">
        <v>45703</v>
      </c>
      <c r="G256" s="2" t="s">
        <v>2641</v>
      </c>
      <c r="H256" s="2">
        <v>21</v>
      </c>
      <c r="I256" s="2">
        <f>IFERROR(INDEX(Raw_Orders!H256:H2684,MATCH(B256,Raw_Orders!A256:A2684,0)),0)</f>
        <v>21</v>
      </c>
      <c r="J256" s="2" t="str">
        <f t="shared" si="12"/>
        <v>Yes</v>
      </c>
      <c r="K256" s="2" t="str">
        <f t="shared" si="13"/>
        <v>Yes</v>
      </c>
      <c r="L256" s="2" t="str">
        <f t="shared" si="15"/>
        <v>Yes</v>
      </c>
      <c r="M256" s="2">
        <f t="shared" si="14"/>
        <v>1</v>
      </c>
    </row>
    <row r="257" spans="1:13" x14ac:dyDescent="0.3">
      <c r="A257" s="5" t="s">
        <v>2886</v>
      </c>
      <c r="B257" s="5" t="s">
        <v>391</v>
      </c>
      <c r="C257" s="5" t="s">
        <v>2604</v>
      </c>
      <c r="D257" s="6">
        <v>45700</v>
      </c>
      <c r="E257" s="6">
        <v>45703</v>
      </c>
      <c r="F257" s="6">
        <v>45704</v>
      </c>
      <c r="G257" s="5" t="s">
        <v>2633</v>
      </c>
      <c r="H257" s="5">
        <v>31</v>
      </c>
      <c r="I257" s="5">
        <f>IFERROR(INDEX(Raw_Orders!H257:H2685,MATCH(B257,Raw_Orders!A257:A2685,0)),0)</f>
        <v>31</v>
      </c>
      <c r="J257" s="5" t="str">
        <f t="shared" si="12"/>
        <v>No</v>
      </c>
      <c r="K257" s="5" t="str">
        <f t="shared" si="13"/>
        <v>Yes</v>
      </c>
      <c r="L257" s="5" t="str">
        <f t="shared" si="15"/>
        <v>No</v>
      </c>
      <c r="M257" s="5">
        <f t="shared" si="14"/>
        <v>0</v>
      </c>
    </row>
    <row r="258" spans="1:13" x14ac:dyDescent="0.3">
      <c r="A258" s="2" t="s">
        <v>2887</v>
      </c>
      <c r="B258" s="2" t="s">
        <v>392</v>
      </c>
      <c r="C258" s="2" t="s">
        <v>2606</v>
      </c>
      <c r="D258" s="3">
        <v>45699</v>
      </c>
      <c r="E258" s="3">
        <v>45706</v>
      </c>
      <c r="F258" s="3">
        <v>45707</v>
      </c>
      <c r="G258" s="2" t="s">
        <v>2633</v>
      </c>
      <c r="H258" s="2">
        <v>44</v>
      </c>
      <c r="I258" s="2">
        <f>IFERROR(INDEX(Raw_Orders!H258:H2686,MATCH(B258,Raw_Orders!A258:A2686,0)),0)</f>
        <v>44</v>
      </c>
      <c r="J258" s="2" t="str">
        <f t="shared" si="12"/>
        <v>No</v>
      </c>
      <c r="K258" s="2" t="str">
        <f t="shared" si="13"/>
        <v>Yes</v>
      </c>
      <c r="L258" s="2" t="str">
        <f t="shared" si="15"/>
        <v>No</v>
      </c>
      <c r="M258" s="2">
        <f t="shared" si="14"/>
        <v>0</v>
      </c>
    </row>
    <row r="259" spans="1:13" x14ac:dyDescent="0.3">
      <c r="A259" s="5" t="s">
        <v>2888</v>
      </c>
      <c r="B259" s="5" t="s">
        <v>393</v>
      </c>
      <c r="C259" s="5" t="s">
        <v>2608</v>
      </c>
      <c r="D259" s="6">
        <v>45698</v>
      </c>
      <c r="E259" s="6">
        <v>45706</v>
      </c>
      <c r="F259" s="6">
        <v>45712</v>
      </c>
      <c r="G259" s="5" t="s">
        <v>2641</v>
      </c>
      <c r="H259" s="5">
        <v>5</v>
      </c>
      <c r="I259" s="5">
        <f>IFERROR(INDEX(Raw_Orders!H259:H2687,MATCH(B259,Raw_Orders!A259:A2687,0)),0)</f>
        <v>5</v>
      </c>
      <c r="J259" s="5" t="str">
        <f t="shared" ref="J259:J322" si="16">IF(E259&gt;=F259,"Yes","No")</f>
        <v>No</v>
      </c>
      <c r="K259" s="5" t="str">
        <f t="shared" ref="K259:K322" si="17">IF(H259&gt;=I259,"Yes","N0")</f>
        <v>Yes</v>
      </c>
      <c r="L259" s="5" t="str">
        <f t="shared" si="15"/>
        <v>No</v>
      </c>
      <c r="M259" s="5">
        <f t="shared" ref="M259:M322" si="18">IF(L259="Yes",1,0)</f>
        <v>0</v>
      </c>
    </row>
    <row r="260" spans="1:13" x14ac:dyDescent="0.3">
      <c r="A260" s="2" t="s">
        <v>2889</v>
      </c>
      <c r="B260" s="2" t="s">
        <v>394</v>
      </c>
      <c r="C260" s="2" t="s">
        <v>2598</v>
      </c>
      <c r="D260" s="3">
        <v>45700</v>
      </c>
      <c r="E260" s="3">
        <v>45703</v>
      </c>
      <c r="F260" s="3">
        <v>45715</v>
      </c>
      <c r="G260" s="2" t="s">
        <v>2641</v>
      </c>
      <c r="H260" s="2">
        <v>38</v>
      </c>
      <c r="I260" s="2">
        <f>IFERROR(INDEX(Raw_Orders!H260:H2688,MATCH(B260,Raw_Orders!A260:A2688,0)),0)</f>
        <v>38</v>
      </c>
      <c r="J260" s="2" t="str">
        <f t="shared" si="16"/>
        <v>No</v>
      </c>
      <c r="K260" s="2" t="str">
        <f t="shared" si="17"/>
        <v>Yes</v>
      </c>
      <c r="L260" s="2" t="str">
        <f t="shared" ref="L260:L323" si="19">IF(AND(J260="Yes",K260="Yes"),"Yes","No")</f>
        <v>No</v>
      </c>
      <c r="M260" s="2">
        <f t="shared" si="18"/>
        <v>0</v>
      </c>
    </row>
    <row r="261" spans="1:13" x14ac:dyDescent="0.3">
      <c r="A261" s="5" t="s">
        <v>2890</v>
      </c>
      <c r="B261" s="5" t="s">
        <v>395</v>
      </c>
      <c r="C261" s="5" t="s">
        <v>2601</v>
      </c>
      <c r="D261" s="6">
        <v>45700</v>
      </c>
      <c r="E261" s="6">
        <v>45709</v>
      </c>
      <c r="F261" s="6">
        <v>45706</v>
      </c>
      <c r="G261" s="5" t="s">
        <v>2627</v>
      </c>
      <c r="H261" s="5">
        <v>19</v>
      </c>
      <c r="I261" s="5">
        <f>IFERROR(INDEX(Raw_Orders!H261:H2689,MATCH(B261,Raw_Orders!A261:A2689,0)),0)</f>
        <v>19</v>
      </c>
      <c r="J261" s="5" t="str">
        <f t="shared" si="16"/>
        <v>Yes</v>
      </c>
      <c r="K261" s="5" t="str">
        <f t="shared" si="17"/>
        <v>Yes</v>
      </c>
      <c r="L261" s="5" t="str">
        <f t="shared" si="19"/>
        <v>Yes</v>
      </c>
      <c r="M261" s="5">
        <f t="shared" si="18"/>
        <v>1</v>
      </c>
    </row>
    <row r="262" spans="1:13" x14ac:dyDescent="0.3">
      <c r="A262" s="2" t="s">
        <v>2891</v>
      </c>
      <c r="B262" s="2" t="s">
        <v>396</v>
      </c>
      <c r="C262" s="2" t="s">
        <v>2616</v>
      </c>
      <c r="D262" s="3">
        <v>45699</v>
      </c>
      <c r="E262" s="3">
        <v>45708</v>
      </c>
      <c r="F262" s="3">
        <v>45714</v>
      </c>
      <c r="G262" s="2" t="s">
        <v>2629</v>
      </c>
      <c r="H262" s="2">
        <v>27</v>
      </c>
      <c r="I262" s="2">
        <f>IFERROR(INDEX(Raw_Orders!H262:H2690,MATCH(B262,Raw_Orders!A262:A2690,0)),0)</f>
        <v>27</v>
      </c>
      <c r="J262" s="2" t="str">
        <f t="shared" si="16"/>
        <v>No</v>
      </c>
      <c r="K262" s="2" t="str">
        <f t="shared" si="17"/>
        <v>Yes</v>
      </c>
      <c r="L262" s="2" t="str">
        <f t="shared" si="19"/>
        <v>No</v>
      </c>
      <c r="M262" s="2">
        <f t="shared" si="18"/>
        <v>0</v>
      </c>
    </row>
    <row r="263" spans="1:13" x14ac:dyDescent="0.3">
      <c r="A263" s="5" t="s">
        <v>2892</v>
      </c>
      <c r="B263" s="5" t="s">
        <v>397</v>
      </c>
      <c r="C263" s="5" t="s">
        <v>2616</v>
      </c>
      <c r="D263" s="6">
        <v>45699</v>
      </c>
      <c r="E263" s="6">
        <v>45703</v>
      </c>
      <c r="F263" s="6">
        <v>45714</v>
      </c>
      <c r="G263" s="5" t="s">
        <v>2627</v>
      </c>
      <c r="H263" s="5">
        <v>12</v>
      </c>
      <c r="I263" s="5">
        <f>IFERROR(INDEX(Raw_Orders!H263:H2691,MATCH(B263,Raw_Orders!A263:A2691,0)),0)</f>
        <v>12</v>
      </c>
      <c r="J263" s="5" t="str">
        <f t="shared" si="16"/>
        <v>No</v>
      </c>
      <c r="K263" s="5" t="str">
        <f t="shared" si="17"/>
        <v>Yes</v>
      </c>
      <c r="L263" s="5" t="str">
        <f t="shared" si="19"/>
        <v>No</v>
      </c>
      <c r="M263" s="5">
        <f t="shared" si="18"/>
        <v>0</v>
      </c>
    </row>
    <row r="264" spans="1:13" x14ac:dyDescent="0.3">
      <c r="A264" s="2" t="s">
        <v>2893</v>
      </c>
      <c r="B264" s="2" t="s">
        <v>398</v>
      </c>
      <c r="C264" s="2" t="s">
        <v>2606</v>
      </c>
      <c r="D264" s="3">
        <v>45699</v>
      </c>
      <c r="E264" s="3">
        <v>45705</v>
      </c>
      <c r="F264" s="3">
        <v>45706</v>
      </c>
      <c r="G264" s="2" t="s">
        <v>2627</v>
      </c>
      <c r="H264" s="2">
        <v>26</v>
      </c>
      <c r="I264" s="2">
        <f>IFERROR(INDEX(Raw_Orders!H264:H2692,MATCH(B264,Raw_Orders!A264:A2692,0)),0)</f>
        <v>26</v>
      </c>
      <c r="J264" s="2" t="str">
        <f t="shared" si="16"/>
        <v>No</v>
      </c>
      <c r="K264" s="2" t="str">
        <f t="shared" si="17"/>
        <v>Yes</v>
      </c>
      <c r="L264" s="2" t="str">
        <f t="shared" si="19"/>
        <v>No</v>
      </c>
      <c r="M264" s="2">
        <f t="shared" si="18"/>
        <v>0</v>
      </c>
    </row>
    <row r="265" spans="1:13" x14ac:dyDescent="0.3">
      <c r="A265" s="5" t="s">
        <v>2894</v>
      </c>
      <c r="B265" s="5" t="s">
        <v>399</v>
      </c>
      <c r="C265" s="5" t="s">
        <v>2608</v>
      </c>
      <c r="D265" s="6">
        <v>45701</v>
      </c>
      <c r="E265" s="6">
        <v>45704</v>
      </c>
      <c r="F265" s="6">
        <v>45716</v>
      </c>
      <c r="G265" s="5" t="s">
        <v>2641</v>
      </c>
      <c r="H265" s="5">
        <v>30</v>
      </c>
      <c r="I265" s="5">
        <f>IFERROR(INDEX(Raw_Orders!H265:H2693,MATCH(B265,Raw_Orders!A265:A2693,0)),0)</f>
        <v>30</v>
      </c>
      <c r="J265" s="5" t="str">
        <f t="shared" si="16"/>
        <v>No</v>
      </c>
      <c r="K265" s="5" t="str">
        <f t="shared" si="17"/>
        <v>Yes</v>
      </c>
      <c r="L265" s="5" t="str">
        <f t="shared" si="19"/>
        <v>No</v>
      </c>
      <c r="M265" s="5">
        <f t="shared" si="18"/>
        <v>0</v>
      </c>
    </row>
    <row r="266" spans="1:13" x14ac:dyDescent="0.3">
      <c r="A266" s="2" t="s">
        <v>2895</v>
      </c>
      <c r="B266" s="2" t="s">
        <v>401</v>
      </c>
      <c r="C266" s="2" t="s">
        <v>2611</v>
      </c>
      <c r="D266" s="3">
        <v>45702</v>
      </c>
      <c r="E266" s="3">
        <v>45708</v>
      </c>
      <c r="F266" s="3">
        <v>45713</v>
      </c>
      <c r="G266" s="2" t="s">
        <v>2631</v>
      </c>
      <c r="H266" s="2">
        <v>23</v>
      </c>
      <c r="I266" s="2">
        <f>IFERROR(INDEX(Raw_Orders!H266:H2694,MATCH(B266,Raw_Orders!A266:A2694,0)),0)</f>
        <v>23</v>
      </c>
      <c r="J266" s="2" t="str">
        <f t="shared" si="16"/>
        <v>No</v>
      </c>
      <c r="K266" s="2" t="str">
        <f t="shared" si="17"/>
        <v>Yes</v>
      </c>
      <c r="L266" s="2" t="str">
        <f t="shared" si="19"/>
        <v>No</v>
      </c>
      <c r="M266" s="2">
        <f t="shared" si="18"/>
        <v>0</v>
      </c>
    </row>
    <row r="267" spans="1:13" x14ac:dyDescent="0.3">
      <c r="A267" s="5" t="s">
        <v>2896</v>
      </c>
      <c r="B267" s="5" t="s">
        <v>402</v>
      </c>
      <c r="C267" s="5" t="s">
        <v>2616</v>
      </c>
      <c r="D267" s="6">
        <v>45700</v>
      </c>
      <c r="E267" s="6">
        <v>45710</v>
      </c>
      <c r="F267" s="6">
        <v>45715</v>
      </c>
      <c r="G267" s="5" t="s">
        <v>2629</v>
      </c>
      <c r="H267" s="5">
        <v>12</v>
      </c>
      <c r="I267" s="5">
        <f>IFERROR(INDEX(Raw_Orders!H267:H2695,MATCH(B267,Raw_Orders!A267:A2695,0)),0)</f>
        <v>12</v>
      </c>
      <c r="J267" s="5" t="str">
        <f t="shared" si="16"/>
        <v>No</v>
      </c>
      <c r="K267" s="5" t="str">
        <f t="shared" si="17"/>
        <v>Yes</v>
      </c>
      <c r="L267" s="5" t="str">
        <f t="shared" si="19"/>
        <v>No</v>
      </c>
      <c r="M267" s="5">
        <f t="shared" si="18"/>
        <v>0</v>
      </c>
    </row>
    <row r="268" spans="1:13" x14ac:dyDescent="0.3">
      <c r="A268" s="2" t="s">
        <v>2897</v>
      </c>
      <c r="B268" s="2" t="s">
        <v>403</v>
      </c>
      <c r="C268" s="2" t="s">
        <v>2604</v>
      </c>
      <c r="D268" s="3">
        <v>45700</v>
      </c>
      <c r="E268" s="3">
        <v>45707</v>
      </c>
      <c r="F268" s="3">
        <v>45703</v>
      </c>
      <c r="G268" s="2" t="s">
        <v>2631</v>
      </c>
      <c r="H268" s="2">
        <v>30</v>
      </c>
      <c r="I268" s="2">
        <f>IFERROR(INDEX(Raw_Orders!H268:H2696,MATCH(B268,Raw_Orders!A268:A2696,0)),0)</f>
        <v>30</v>
      </c>
      <c r="J268" s="2" t="str">
        <f t="shared" si="16"/>
        <v>Yes</v>
      </c>
      <c r="K268" s="2" t="str">
        <f t="shared" si="17"/>
        <v>Yes</v>
      </c>
      <c r="L268" s="2" t="str">
        <f t="shared" si="19"/>
        <v>Yes</v>
      </c>
      <c r="M268" s="2">
        <f t="shared" si="18"/>
        <v>1</v>
      </c>
    </row>
    <row r="269" spans="1:13" x14ac:dyDescent="0.3">
      <c r="A269" s="5" t="s">
        <v>2898</v>
      </c>
      <c r="B269" s="5" t="s">
        <v>404</v>
      </c>
      <c r="C269" s="5" t="s">
        <v>2611</v>
      </c>
      <c r="D269" s="6">
        <v>45703</v>
      </c>
      <c r="E269" s="6">
        <v>45710</v>
      </c>
      <c r="F269" s="6">
        <v>45710</v>
      </c>
      <c r="G269" s="5" t="s">
        <v>2641</v>
      </c>
      <c r="H269" s="5">
        <v>59</v>
      </c>
      <c r="I269" s="5">
        <f>IFERROR(INDEX(Raw_Orders!H269:H2697,MATCH(B269,Raw_Orders!A269:A2697,0)),0)</f>
        <v>59</v>
      </c>
      <c r="J269" s="5" t="str">
        <f t="shared" si="16"/>
        <v>Yes</v>
      </c>
      <c r="K269" s="5" t="str">
        <f t="shared" si="17"/>
        <v>Yes</v>
      </c>
      <c r="L269" s="5" t="str">
        <f t="shared" si="19"/>
        <v>Yes</v>
      </c>
      <c r="M269" s="5">
        <f t="shared" si="18"/>
        <v>1</v>
      </c>
    </row>
    <row r="270" spans="1:13" x14ac:dyDescent="0.3">
      <c r="A270" s="2" t="s">
        <v>2899</v>
      </c>
      <c r="B270" s="2" t="s">
        <v>405</v>
      </c>
      <c r="C270" s="2" t="s">
        <v>2614</v>
      </c>
      <c r="D270" s="3">
        <v>45703</v>
      </c>
      <c r="E270" s="3">
        <v>45709</v>
      </c>
      <c r="F270" s="3">
        <v>45721</v>
      </c>
      <c r="G270" s="2" t="s">
        <v>2631</v>
      </c>
      <c r="H270" s="2">
        <v>12</v>
      </c>
      <c r="I270" s="2">
        <f>IFERROR(INDEX(Raw_Orders!H270:H2698,MATCH(B270,Raw_Orders!A270:A2698,0)),0)</f>
        <v>12</v>
      </c>
      <c r="J270" s="2" t="str">
        <f t="shared" si="16"/>
        <v>No</v>
      </c>
      <c r="K270" s="2" t="str">
        <f t="shared" si="17"/>
        <v>Yes</v>
      </c>
      <c r="L270" s="2" t="str">
        <f t="shared" si="19"/>
        <v>No</v>
      </c>
      <c r="M270" s="2">
        <f t="shared" si="18"/>
        <v>0</v>
      </c>
    </row>
    <row r="271" spans="1:13" x14ac:dyDescent="0.3">
      <c r="A271" s="5" t="s">
        <v>2900</v>
      </c>
      <c r="B271" s="5" t="s">
        <v>406</v>
      </c>
      <c r="C271" s="5" t="s">
        <v>2601</v>
      </c>
      <c r="D271" s="6">
        <v>45701</v>
      </c>
      <c r="E271" s="6">
        <v>45708</v>
      </c>
      <c r="F271" s="6">
        <v>45706</v>
      </c>
      <c r="G271" s="5" t="s">
        <v>2641</v>
      </c>
      <c r="H271" s="5">
        <v>19</v>
      </c>
      <c r="I271" s="5">
        <f>IFERROR(INDEX(Raw_Orders!H271:H2699,MATCH(B271,Raw_Orders!A271:A2699,0)),0)</f>
        <v>21</v>
      </c>
      <c r="J271" s="5" t="str">
        <f t="shared" si="16"/>
        <v>Yes</v>
      </c>
      <c r="K271" s="5" t="str">
        <f t="shared" si="17"/>
        <v>N0</v>
      </c>
      <c r="L271" s="5" t="str">
        <f t="shared" si="19"/>
        <v>No</v>
      </c>
      <c r="M271" s="5">
        <f t="shared" si="18"/>
        <v>0</v>
      </c>
    </row>
    <row r="272" spans="1:13" x14ac:dyDescent="0.3">
      <c r="A272" s="2" t="s">
        <v>2901</v>
      </c>
      <c r="B272" s="2" t="s">
        <v>407</v>
      </c>
      <c r="C272" s="2" t="s">
        <v>2616</v>
      </c>
      <c r="D272" s="3">
        <v>45702</v>
      </c>
      <c r="E272" s="3">
        <v>45707</v>
      </c>
      <c r="F272" s="3">
        <v>45719</v>
      </c>
      <c r="G272" s="2" t="s">
        <v>2633</v>
      </c>
      <c r="H272" s="2">
        <v>9</v>
      </c>
      <c r="I272" s="2">
        <f>IFERROR(INDEX(Raw_Orders!H272:H2700,MATCH(B272,Raw_Orders!A272:A2700,0)),0)</f>
        <v>9</v>
      </c>
      <c r="J272" s="2" t="str">
        <f t="shared" si="16"/>
        <v>No</v>
      </c>
      <c r="K272" s="2" t="str">
        <f t="shared" si="17"/>
        <v>Yes</v>
      </c>
      <c r="L272" s="2" t="str">
        <f t="shared" si="19"/>
        <v>No</v>
      </c>
      <c r="M272" s="2">
        <f t="shared" si="18"/>
        <v>0</v>
      </c>
    </row>
    <row r="273" spans="1:13" x14ac:dyDescent="0.3">
      <c r="A273" s="5" t="s">
        <v>2902</v>
      </c>
      <c r="B273" s="5" t="s">
        <v>408</v>
      </c>
      <c r="C273" s="5" t="s">
        <v>2604</v>
      </c>
      <c r="D273" s="6">
        <v>45701</v>
      </c>
      <c r="E273" s="6">
        <v>45710</v>
      </c>
      <c r="F273" s="6">
        <v>45704</v>
      </c>
      <c r="G273" s="5" t="s">
        <v>2627</v>
      </c>
      <c r="H273" s="5">
        <v>13</v>
      </c>
      <c r="I273" s="5">
        <f>IFERROR(INDEX(Raw_Orders!H273:H2701,MATCH(B273,Raw_Orders!A273:A2701,0)),0)</f>
        <v>13</v>
      </c>
      <c r="J273" s="5" t="str">
        <f t="shared" si="16"/>
        <v>Yes</v>
      </c>
      <c r="K273" s="5" t="str">
        <f t="shared" si="17"/>
        <v>Yes</v>
      </c>
      <c r="L273" s="5" t="str">
        <f t="shared" si="19"/>
        <v>Yes</v>
      </c>
      <c r="M273" s="5">
        <f t="shared" si="18"/>
        <v>1</v>
      </c>
    </row>
    <row r="274" spans="1:13" x14ac:dyDescent="0.3">
      <c r="A274" s="2" t="s">
        <v>2903</v>
      </c>
      <c r="B274" s="2" t="s">
        <v>409</v>
      </c>
      <c r="C274" s="2" t="s">
        <v>2606</v>
      </c>
      <c r="D274" s="3">
        <v>45703</v>
      </c>
      <c r="E274" s="3">
        <v>45706</v>
      </c>
      <c r="F274" s="3">
        <v>45713</v>
      </c>
      <c r="G274" s="2" t="s">
        <v>2629</v>
      </c>
      <c r="H274" s="2">
        <v>38</v>
      </c>
      <c r="I274" s="2">
        <f>IFERROR(INDEX(Raw_Orders!H274:H2702,MATCH(B274,Raw_Orders!A274:A2702,0)),0)</f>
        <v>38</v>
      </c>
      <c r="J274" s="2" t="str">
        <f t="shared" si="16"/>
        <v>No</v>
      </c>
      <c r="K274" s="2" t="str">
        <f t="shared" si="17"/>
        <v>Yes</v>
      </c>
      <c r="L274" s="2" t="str">
        <f t="shared" si="19"/>
        <v>No</v>
      </c>
      <c r="M274" s="2">
        <f t="shared" si="18"/>
        <v>0</v>
      </c>
    </row>
    <row r="275" spans="1:13" x14ac:dyDescent="0.3">
      <c r="A275" s="5" t="s">
        <v>2904</v>
      </c>
      <c r="B275" s="5" t="s">
        <v>410</v>
      </c>
      <c r="C275" s="5" t="s">
        <v>2606</v>
      </c>
      <c r="D275" s="6">
        <v>45702</v>
      </c>
      <c r="E275" s="6">
        <v>45708</v>
      </c>
      <c r="F275" s="6">
        <v>45710</v>
      </c>
      <c r="G275" s="5" t="s">
        <v>2627</v>
      </c>
      <c r="H275" s="5">
        <v>25</v>
      </c>
      <c r="I275" s="5">
        <f>IFERROR(INDEX(Raw_Orders!H275:H2703,MATCH(B275,Raw_Orders!A275:A2703,0)),0)</f>
        <v>25</v>
      </c>
      <c r="J275" s="5" t="str">
        <f t="shared" si="16"/>
        <v>No</v>
      </c>
      <c r="K275" s="5" t="str">
        <f t="shared" si="17"/>
        <v>Yes</v>
      </c>
      <c r="L275" s="5" t="str">
        <f t="shared" si="19"/>
        <v>No</v>
      </c>
      <c r="M275" s="5">
        <f t="shared" si="18"/>
        <v>0</v>
      </c>
    </row>
    <row r="276" spans="1:13" x14ac:dyDescent="0.3">
      <c r="A276" s="2" t="s">
        <v>2905</v>
      </c>
      <c r="B276" s="2" t="s">
        <v>411</v>
      </c>
      <c r="C276" s="2" t="s">
        <v>2608</v>
      </c>
      <c r="D276" s="3">
        <v>45701</v>
      </c>
      <c r="E276" s="3">
        <v>45704</v>
      </c>
      <c r="F276" s="3">
        <v>45714</v>
      </c>
      <c r="G276" s="2" t="s">
        <v>2629</v>
      </c>
      <c r="H276" s="2">
        <v>5</v>
      </c>
      <c r="I276" s="2">
        <f>IFERROR(INDEX(Raw_Orders!H276:H2704,MATCH(B276,Raw_Orders!A276:A2704,0)),0)</f>
        <v>5</v>
      </c>
      <c r="J276" s="2" t="str">
        <f t="shared" si="16"/>
        <v>No</v>
      </c>
      <c r="K276" s="2" t="str">
        <f t="shared" si="17"/>
        <v>Yes</v>
      </c>
      <c r="L276" s="2" t="str">
        <f t="shared" si="19"/>
        <v>No</v>
      </c>
      <c r="M276" s="2">
        <f t="shared" si="18"/>
        <v>0</v>
      </c>
    </row>
    <row r="277" spans="1:13" x14ac:dyDescent="0.3">
      <c r="A277" s="5" t="s">
        <v>2906</v>
      </c>
      <c r="B277" s="5" t="s">
        <v>412</v>
      </c>
      <c r="C277" s="5" t="s">
        <v>2598</v>
      </c>
      <c r="D277" s="6">
        <v>45702</v>
      </c>
      <c r="E277" s="6">
        <v>45705</v>
      </c>
      <c r="F277" s="6">
        <v>45715</v>
      </c>
      <c r="G277" s="5" t="s">
        <v>2641</v>
      </c>
      <c r="H277" s="5">
        <v>9</v>
      </c>
      <c r="I277" s="5">
        <f>IFERROR(INDEX(Raw_Orders!H277:H2705,MATCH(B277,Raw_Orders!A277:A2705,0)),0)</f>
        <v>14</v>
      </c>
      <c r="J277" s="5" t="str">
        <f t="shared" si="16"/>
        <v>No</v>
      </c>
      <c r="K277" s="5" t="str">
        <f t="shared" si="17"/>
        <v>N0</v>
      </c>
      <c r="L277" s="5" t="str">
        <f t="shared" si="19"/>
        <v>No</v>
      </c>
      <c r="M277" s="5">
        <f t="shared" si="18"/>
        <v>0</v>
      </c>
    </row>
    <row r="278" spans="1:13" x14ac:dyDescent="0.3">
      <c r="A278" s="2" t="s">
        <v>2907</v>
      </c>
      <c r="B278" s="2" t="s">
        <v>413</v>
      </c>
      <c r="C278" s="2" t="s">
        <v>2611</v>
      </c>
      <c r="D278" s="3">
        <v>45704</v>
      </c>
      <c r="E278" s="3">
        <v>45709</v>
      </c>
      <c r="F278" s="3">
        <v>45710</v>
      </c>
      <c r="G278" s="2" t="s">
        <v>2631</v>
      </c>
      <c r="H278" s="2">
        <v>35</v>
      </c>
      <c r="I278" s="2">
        <f>IFERROR(INDEX(Raw_Orders!H278:H2706,MATCH(B278,Raw_Orders!A278:A2706,0)),0)</f>
        <v>35</v>
      </c>
      <c r="J278" s="2" t="str">
        <f t="shared" si="16"/>
        <v>No</v>
      </c>
      <c r="K278" s="2" t="str">
        <f t="shared" si="17"/>
        <v>Yes</v>
      </c>
      <c r="L278" s="2" t="str">
        <f t="shared" si="19"/>
        <v>No</v>
      </c>
      <c r="M278" s="2">
        <f t="shared" si="18"/>
        <v>0</v>
      </c>
    </row>
    <row r="279" spans="1:13" x14ac:dyDescent="0.3">
      <c r="A279" s="5" t="s">
        <v>2908</v>
      </c>
      <c r="B279" s="5" t="s">
        <v>414</v>
      </c>
      <c r="C279" s="5" t="s">
        <v>2614</v>
      </c>
      <c r="D279" s="6">
        <v>45702</v>
      </c>
      <c r="E279" s="6">
        <v>45706</v>
      </c>
      <c r="F279" s="6">
        <v>45716</v>
      </c>
      <c r="G279" s="5" t="s">
        <v>2641</v>
      </c>
      <c r="H279" s="5">
        <v>1</v>
      </c>
      <c r="I279" s="5">
        <f>IFERROR(INDEX(Raw_Orders!H279:H2707,MATCH(B279,Raw_Orders!A279:A2707,0)),0)</f>
        <v>4</v>
      </c>
      <c r="J279" s="5" t="str">
        <f t="shared" si="16"/>
        <v>No</v>
      </c>
      <c r="K279" s="5" t="str">
        <f t="shared" si="17"/>
        <v>N0</v>
      </c>
      <c r="L279" s="5" t="str">
        <f t="shared" si="19"/>
        <v>No</v>
      </c>
      <c r="M279" s="5">
        <f t="shared" si="18"/>
        <v>0</v>
      </c>
    </row>
    <row r="280" spans="1:13" x14ac:dyDescent="0.3">
      <c r="A280" s="2" t="s">
        <v>2909</v>
      </c>
      <c r="B280" s="2" t="s">
        <v>415</v>
      </c>
      <c r="C280" s="2" t="s">
        <v>2604</v>
      </c>
      <c r="D280" s="3">
        <v>45702</v>
      </c>
      <c r="E280" s="3">
        <v>45706</v>
      </c>
      <c r="F280" s="3">
        <v>45710</v>
      </c>
      <c r="G280" s="2" t="s">
        <v>2631</v>
      </c>
      <c r="H280" s="2">
        <v>11</v>
      </c>
      <c r="I280" s="2">
        <f>IFERROR(INDEX(Raw_Orders!H280:H2708,MATCH(B280,Raw_Orders!A280:A2708,0)),0)</f>
        <v>14</v>
      </c>
      <c r="J280" s="2" t="str">
        <f t="shared" si="16"/>
        <v>No</v>
      </c>
      <c r="K280" s="2" t="str">
        <f t="shared" si="17"/>
        <v>N0</v>
      </c>
      <c r="L280" s="2" t="str">
        <f t="shared" si="19"/>
        <v>No</v>
      </c>
      <c r="M280" s="2">
        <f t="shared" si="18"/>
        <v>0</v>
      </c>
    </row>
    <row r="281" spans="1:13" x14ac:dyDescent="0.3">
      <c r="A281" s="5" t="s">
        <v>2910</v>
      </c>
      <c r="B281" s="5" t="s">
        <v>416</v>
      </c>
      <c r="C281" s="5" t="s">
        <v>2608</v>
      </c>
      <c r="D281" s="6">
        <v>45704</v>
      </c>
      <c r="E281" s="6">
        <v>45710</v>
      </c>
      <c r="F281" s="6">
        <v>45716</v>
      </c>
      <c r="G281" s="5" t="s">
        <v>2629</v>
      </c>
      <c r="H281" s="5">
        <v>21</v>
      </c>
      <c r="I281" s="5">
        <f>IFERROR(INDEX(Raw_Orders!H281:H2709,MATCH(B281,Raw_Orders!A281:A2709,0)),0)</f>
        <v>25</v>
      </c>
      <c r="J281" s="5" t="str">
        <f t="shared" si="16"/>
        <v>No</v>
      </c>
      <c r="K281" s="5" t="str">
        <f t="shared" si="17"/>
        <v>N0</v>
      </c>
      <c r="L281" s="5" t="str">
        <f t="shared" si="19"/>
        <v>No</v>
      </c>
      <c r="M281" s="5">
        <f t="shared" si="18"/>
        <v>0</v>
      </c>
    </row>
    <row r="282" spans="1:13" x14ac:dyDescent="0.3">
      <c r="A282" s="2" t="s">
        <v>2911</v>
      </c>
      <c r="B282" s="2" t="s">
        <v>417</v>
      </c>
      <c r="C282" s="2" t="s">
        <v>2608</v>
      </c>
      <c r="D282" s="3">
        <v>45704</v>
      </c>
      <c r="E282" s="3">
        <v>45711</v>
      </c>
      <c r="F282" s="3">
        <v>45721</v>
      </c>
      <c r="G282" s="2" t="s">
        <v>2641</v>
      </c>
      <c r="H282" s="2">
        <v>9</v>
      </c>
      <c r="I282" s="2">
        <f>IFERROR(INDEX(Raw_Orders!H282:H2710,MATCH(B282,Raw_Orders!A282:A2710,0)),0)</f>
        <v>9</v>
      </c>
      <c r="J282" s="2" t="str">
        <f t="shared" si="16"/>
        <v>No</v>
      </c>
      <c r="K282" s="2" t="str">
        <f t="shared" si="17"/>
        <v>Yes</v>
      </c>
      <c r="L282" s="2" t="str">
        <f t="shared" si="19"/>
        <v>No</v>
      </c>
      <c r="M282" s="2">
        <f t="shared" si="18"/>
        <v>0</v>
      </c>
    </row>
    <row r="283" spans="1:13" x14ac:dyDescent="0.3">
      <c r="A283" s="5" t="s">
        <v>2912</v>
      </c>
      <c r="B283" s="5" t="s">
        <v>419</v>
      </c>
      <c r="C283" s="5" t="s">
        <v>2608</v>
      </c>
      <c r="D283" s="6">
        <v>45704</v>
      </c>
      <c r="E283" s="6">
        <v>45706</v>
      </c>
      <c r="F283" s="6">
        <v>45721</v>
      </c>
      <c r="G283" s="5" t="s">
        <v>2633</v>
      </c>
      <c r="H283" s="5">
        <v>4</v>
      </c>
      <c r="I283" s="5">
        <f>IFERROR(INDEX(Raw_Orders!H283:H2711,MATCH(B283,Raw_Orders!A283:A2711,0)),0)</f>
        <v>4</v>
      </c>
      <c r="J283" s="5" t="str">
        <f t="shared" si="16"/>
        <v>No</v>
      </c>
      <c r="K283" s="5" t="str">
        <f t="shared" si="17"/>
        <v>Yes</v>
      </c>
      <c r="L283" s="5" t="str">
        <f t="shared" si="19"/>
        <v>No</v>
      </c>
      <c r="M283" s="5">
        <f t="shared" si="18"/>
        <v>0</v>
      </c>
    </row>
    <row r="284" spans="1:13" x14ac:dyDescent="0.3">
      <c r="A284" s="2" t="s">
        <v>2913</v>
      </c>
      <c r="B284" s="2" t="s">
        <v>421</v>
      </c>
      <c r="C284" s="2" t="s">
        <v>2611</v>
      </c>
      <c r="D284" s="3">
        <v>45704</v>
      </c>
      <c r="E284" s="3">
        <v>45710</v>
      </c>
      <c r="F284" s="3">
        <v>45710</v>
      </c>
      <c r="G284" s="2" t="s">
        <v>2631</v>
      </c>
      <c r="H284" s="2">
        <v>25</v>
      </c>
      <c r="I284" s="2">
        <f>IFERROR(INDEX(Raw_Orders!H284:H2712,MATCH(B284,Raw_Orders!A284:A2712,0)),0)</f>
        <v>25</v>
      </c>
      <c r="J284" s="2" t="str">
        <f t="shared" si="16"/>
        <v>Yes</v>
      </c>
      <c r="K284" s="2" t="str">
        <f t="shared" si="17"/>
        <v>Yes</v>
      </c>
      <c r="L284" s="2" t="str">
        <f t="shared" si="19"/>
        <v>Yes</v>
      </c>
      <c r="M284" s="2">
        <f t="shared" si="18"/>
        <v>1</v>
      </c>
    </row>
    <row r="285" spans="1:13" x14ac:dyDescent="0.3">
      <c r="A285" s="5" t="s">
        <v>2914</v>
      </c>
      <c r="B285" s="5" t="s">
        <v>422</v>
      </c>
      <c r="C285" s="5" t="s">
        <v>2614</v>
      </c>
      <c r="D285" s="6">
        <v>45703</v>
      </c>
      <c r="E285" s="6">
        <v>45711</v>
      </c>
      <c r="F285" s="6">
        <v>45718</v>
      </c>
      <c r="G285" s="5" t="s">
        <v>2641</v>
      </c>
      <c r="H285" s="5">
        <v>17</v>
      </c>
      <c r="I285" s="5">
        <f>IFERROR(INDEX(Raw_Orders!H285:H2713,MATCH(B285,Raw_Orders!A285:A2713,0)),0)</f>
        <v>17</v>
      </c>
      <c r="J285" s="5" t="str">
        <f t="shared" si="16"/>
        <v>No</v>
      </c>
      <c r="K285" s="5" t="str">
        <f t="shared" si="17"/>
        <v>Yes</v>
      </c>
      <c r="L285" s="5" t="str">
        <f t="shared" si="19"/>
        <v>No</v>
      </c>
      <c r="M285" s="5">
        <f t="shared" si="18"/>
        <v>0</v>
      </c>
    </row>
    <row r="286" spans="1:13" x14ac:dyDescent="0.3">
      <c r="A286" s="2" t="s">
        <v>2915</v>
      </c>
      <c r="B286" s="2" t="s">
        <v>423</v>
      </c>
      <c r="C286" s="2" t="s">
        <v>2616</v>
      </c>
      <c r="D286" s="3">
        <v>45703</v>
      </c>
      <c r="E286" s="3">
        <v>45712</v>
      </c>
      <c r="F286" s="3">
        <v>45720</v>
      </c>
      <c r="G286" s="2" t="s">
        <v>2633</v>
      </c>
      <c r="H286" s="2">
        <v>13</v>
      </c>
      <c r="I286" s="2">
        <f>IFERROR(INDEX(Raw_Orders!H286:H2714,MATCH(B286,Raw_Orders!A286:A2714,0)),0)</f>
        <v>16</v>
      </c>
      <c r="J286" s="2" t="str">
        <f t="shared" si="16"/>
        <v>No</v>
      </c>
      <c r="K286" s="2" t="str">
        <f t="shared" si="17"/>
        <v>N0</v>
      </c>
      <c r="L286" s="2" t="str">
        <f t="shared" si="19"/>
        <v>No</v>
      </c>
      <c r="M286" s="2">
        <f t="shared" si="18"/>
        <v>0</v>
      </c>
    </row>
    <row r="287" spans="1:13" x14ac:dyDescent="0.3">
      <c r="A287" s="5" t="s">
        <v>2916</v>
      </c>
      <c r="B287" s="5" t="s">
        <v>424</v>
      </c>
      <c r="C287" s="5" t="s">
        <v>2606</v>
      </c>
      <c r="D287" s="6">
        <v>45703</v>
      </c>
      <c r="E287" s="6">
        <v>45709</v>
      </c>
      <c r="F287" s="6">
        <v>45708</v>
      </c>
      <c r="G287" s="5" t="s">
        <v>2629</v>
      </c>
      <c r="H287" s="5">
        <v>46</v>
      </c>
      <c r="I287" s="5">
        <f>IFERROR(INDEX(Raw_Orders!H287:H2715,MATCH(B287,Raw_Orders!A287:A2715,0)),0)</f>
        <v>46</v>
      </c>
      <c r="J287" s="5" t="str">
        <f t="shared" si="16"/>
        <v>Yes</v>
      </c>
      <c r="K287" s="5" t="str">
        <f t="shared" si="17"/>
        <v>Yes</v>
      </c>
      <c r="L287" s="5" t="str">
        <f t="shared" si="19"/>
        <v>Yes</v>
      </c>
      <c r="M287" s="5">
        <f t="shared" si="18"/>
        <v>1</v>
      </c>
    </row>
    <row r="288" spans="1:13" x14ac:dyDescent="0.3">
      <c r="A288" s="2" t="s">
        <v>2917</v>
      </c>
      <c r="B288" s="2" t="s">
        <v>425</v>
      </c>
      <c r="C288" s="2" t="s">
        <v>2608</v>
      </c>
      <c r="D288" s="3">
        <v>45704</v>
      </c>
      <c r="E288" s="3">
        <v>45709</v>
      </c>
      <c r="F288" s="3">
        <v>45721</v>
      </c>
      <c r="G288" s="2" t="s">
        <v>2633</v>
      </c>
      <c r="H288" s="2">
        <v>7</v>
      </c>
      <c r="I288" s="2">
        <f>IFERROR(INDEX(Raw_Orders!H288:H2716,MATCH(B288,Raw_Orders!A288:A2716,0)),0)</f>
        <v>7</v>
      </c>
      <c r="J288" s="2" t="str">
        <f t="shared" si="16"/>
        <v>No</v>
      </c>
      <c r="K288" s="2" t="str">
        <f t="shared" si="17"/>
        <v>Yes</v>
      </c>
      <c r="L288" s="2" t="str">
        <f t="shared" si="19"/>
        <v>No</v>
      </c>
      <c r="M288" s="2">
        <f t="shared" si="18"/>
        <v>0</v>
      </c>
    </row>
    <row r="289" spans="1:13" x14ac:dyDescent="0.3">
      <c r="A289" s="5" t="s">
        <v>2918</v>
      </c>
      <c r="B289" s="5" t="s">
        <v>426</v>
      </c>
      <c r="C289" s="5" t="s">
        <v>2601</v>
      </c>
      <c r="D289" s="6">
        <v>45706</v>
      </c>
      <c r="E289" s="6">
        <v>45708</v>
      </c>
      <c r="F289" s="6">
        <v>45715</v>
      </c>
      <c r="G289" s="5" t="s">
        <v>2633</v>
      </c>
      <c r="H289" s="5">
        <v>4</v>
      </c>
      <c r="I289" s="5">
        <f>IFERROR(INDEX(Raw_Orders!H289:H2717,MATCH(B289,Raw_Orders!A289:A2717,0)),0)</f>
        <v>4</v>
      </c>
      <c r="J289" s="5" t="str">
        <f t="shared" si="16"/>
        <v>No</v>
      </c>
      <c r="K289" s="5" t="str">
        <f t="shared" si="17"/>
        <v>Yes</v>
      </c>
      <c r="L289" s="5" t="str">
        <f t="shared" si="19"/>
        <v>No</v>
      </c>
      <c r="M289" s="5">
        <f t="shared" si="18"/>
        <v>0</v>
      </c>
    </row>
    <row r="290" spans="1:13" x14ac:dyDescent="0.3">
      <c r="A290" s="2" t="s">
        <v>2919</v>
      </c>
      <c r="B290" s="2" t="s">
        <v>427</v>
      </c>
      <c r="C290" s="2" t="s">
        <v>2604</v>
      </c>
      <c r="D290" s="3">
        <v>45704</v>
      </c>
      <c r="E290" s="3">
        <v>45708</v>
      </c>
      <c r="F290" s="3">
        <v>45708</v>
      </c>
      <c r="G290" s="2" t="s">
        <v>2641</v>
      </c>
      <c r="H290" s="2">
        <v>32</v>
      </c>
      <c r="I290" s="2">
        <f>IFERROR(INDEX(Raw_Orders!H290:H2718,MATCH(B290,Raw_Orders!A290:A2718,0)),0)</f>
        <v>32</v>
      </c>
      <c r="J290" s="2" t="str">
        <f t="shared" si="16"/>
        <v>Yes</v>
      </c>
      <c r="K290" s="2" t="str">
        <f t="shared" si="17"/>
        <v>Yes</v>
      </c>
      <c r="L290" s="2" t="str">
        <f t="shared" si="19"/>
        <v>Yes</v>
      </c>
      <c r="M290" s="2">
        <f t="shared" si="18"/>
        <v>1</v>
      </c>
    </row>
    <row r="291" spans="1:13" x14ac:dyDescent="0.3">
      <c r="A291" s="5" t="s">
        <v>2920</v>
      </c>
      <c r="B291" s="5" t="s">
        <v>428</v>
      </c>
      <c r="C291" s="5" t="s">
        <v>2606</v>
      </c>
      <c r="D291" s="6">
        <v>45704</v>
      </c>
      <c r="E291" s="6">
        <v>45707</v>
      </c>
      <c r="F291" s="6">
        <v>45709</v>
      </c>
      <c r="G291" s="5" t="s">
        <v>2633</v>
      </c>
      <c r="H291" s="5">
        <v>36</v>
      </c>
      <c r="I291" s="5">
        <f>IFERROR(INDEX(Raw_Orders!H291:H2719,MATCH(B291,Raw_Orders!A291:A2719,0)),0)</f>
        <v>36</v>
      </c>
      <c r="J291" s="5" t="str">
        <f t="shared" si="16"/>
        <v>No</v>
      </c>
      <c r="K291" s="5" t="str">
        <f t="shared" si="17"/>
        <v>Yes</v>
      </c>
      <c r="L291" s="5" t="str">
        <f t="shared" si="19"/>
        <v>No</v>
      </c>
      <c r="M291" s="5">
        <f t="shared" si="18"/>
        <v>0</v>
      </c>
    </row>
    <row r="292" spans="1:13" x14ac:dyDescent="0.3">
      <c r="A292" s="2" t="s">
        <v>2921</v>
      </c>
      <c r="B292" s="2" t="s">
        <v>429</v>
      </c>
      <c r="C292" s="2" t="s">
        <v>2608</v>
      </c>
      <c r="D292" s="3">
        <v>45704</v>
      </c>
      <c r="E292" s="3">
        <v>45707</v>
      </c>
      <c r="F292" s="3">
        <v>45719</v>
      </c>
      <c r="G292" s="2" t="s">
        <v>2631</v>
      </c>
      <c r="H292" s="2">
        <v>3</v>
      </c>
      <c r="I292" s="2">
        <f>IFERROR(INDEX(Raw_Orders!H292:H2720,MATCH(B292,Raw_Orders!A292:A2720,0)),0)</f>
        <v>3</v>
      </c>
      <c r="J292" s="2" t="str">
        <f t="shared" si="16"/>
        <v>No</v>
      </c>
      <c r="K292" s="2" t="str">
        <f t="shared" si="17"/>
        <v>Yes</v>
      </c>
      <c r="L292" s="2" t="str">
        <f t="shared" si="19"/>
        <v>No</v>
      </c>
      <c r="M292" s="2">
        <f t="shared" si="18"/>
        <v>0</v>
      </c>
    </row>
    <row r="293" spans="1:13" x14ac:dyDescent="0.3">
      <c r="A293" s="5" t="s">
        <v>2922</v>
      </c>
      <c r="B293" s="5" t="s">
        <v>430</v>
      </c>
      <c r="C293" s="5" t="s">
        <v>2614</v>
      </c>
      <c r="D293" s="6">
        <v>45705</v>
      </c>
      <c r="E293" s="6">
        <v>45713</v>
      </c>
      <c r="F293" s="6">
        <v>45719</v>
      </c>
      <c r="G293" s="5" t="s">
        <v>2641</v>
      </c>
      <c r="H293" s="5">
        <v>16</v>
      </c>
      <c r="I293" s="5">
        <f>IFERROR(INDEX(Raw_Orders!H293:H2721,MATCH(B293,Raw_Orders!A293:A2721,0)),0)</f>
        <v>16</v>
      </c>
      <c r="J293" s="5" t="str">
        <f t="shared" si="16"/>
        <v>No</v>
      </c>
      <c r="K293" s="5" t="str">
        <f t="shared" si="17"/>
        <v>Yes</v>
      </c>
      <c r="L293" s="5" t="str">
        <f t="shared" si="19"/>
        <v>No</v>
      </c>
      <c r="M293" s="5">
        <f t="shared" si="18"/>
        <v>0</v>
      </c>
    </row>
    <row r="294" spans="1:13" x14ac:dyDescent="0.3">
      <c r="A294" s="2" t="s">
        <v>2923</v>
      </c>
      <c r="B294" s="2" t="s">
        <v>432</v>
      </c>
      <c r="C294" s="2" t="s">
        <v>2601</v>
      </c>
      <c r="D294" s="3">
        <v>45706</v>
      </c>
      <c r="E294" s="3">
        <v>45715</v>
      </c>
      <c r="F294" s="3">
        <v>45712</v>
      </c>
      <c r="G294" s="2" t="s">
        <v>2629</v>
      </c>
      <c r="H294" s="2">
        <v>25</v>
      </c>
      <c r="I294" s="2">
        <f>IFERROR(INDEX(Raw_Orders!H294:H2722,MATCH(B294,Raw_Orders!A294:A2722,0)),0)</f>
        <v>25</v>
      </c>
      <c r="J294" s="2" t="str">
        <f t="shared" si="16"/>
        <v>Yes</v>
      </c>
      <c r="K294" s="2" t="str">
        <f t="shared" si="17"/>
        <v>Yes</v>
      </c>
      <c r="L294" s="2" t="str">
        <f t="shared" si="19"/>
        <v>Yes</v>
      </c>
      <c r="M294" s="2">
        <f t="shared" si="18"/>
        <v>1</v>
      </c>
    </row>
    <row r="295" spans="1:13" x14ac:dyDescent="0.3">
      <c r="A295" s="5" t="s">
        <v>2924</v>
      </c>
      <c r="B295" s="5" t="s">
        <v>433</v>
      </c>
      <c r="C295" s="5" t="s">
        <v>2616</v>
      </c>
      <c r="D295" s="6">
        <v>45705</v>
      </c>
      <c r="E295" s="6">
        <v>45710</v>
      </c>
      <c r="F295" s="6">
        <v>45721</v>
      </c>
      <c r="G295" s="5" t="s">
        <v>2629</v>
      </c>
      <c r="H295" s="5">
        <v>2</v>
      </c>
      <c r="I295" s="5">
        <f>IFERROR(INDEX(Raw_Orders!H295:H2723,MATCH(B295,Raw_Orders!A295:A2723,0)),0)</f>
        <v>5</v>
      </c>
      <c r="J295" s="5" t="str">
        <f t="shared" si="16"/>
        <v>No</v>
      </c>
      <c r="K295" s="5" t="str">
        <f t="shared" si="17"/>
        <v>N0</v>
      </c>
      <c r="L295" s="5" t="str">
        <f t="shared" si="19"/>
        <v>No</v>
      </c>
      <c r="M295" s="5">
        <f t="shared" si="18"/>
        <v>0</v>
      </c>
    </row>
    <row r="296" spans="1:13" x14ac:dyDescent="0.3">
      <c r="A296" s="2" t="s">
        <v>2925</v>
      </c>
      <c r="B296" s="2" t="s">
        <v>434</v>
      </c>
      <c r="C296" s="2" t="s">
        <v>2616</v>
      </c>
      <c r="D296" s="3">
        <v>45707</v>
      </c>
      <c r="E296" s="3">
        <v>45714</v>
      </c>
      <c r="F296" s="3">
        <v>45721</v>
      </c>
      <c r="G296" s="2" t="s">
        <v>2641</v>
      </c>
      <c r="H296" s="2">
        <v>47</v>
      </c>
      <c r="I296" s="2">
        <f>IFERROR(INDEX(Raw_Orders!H296:H2724,MATCH(B296,Raw_Orders!A296:A2724,0)),0)</f>
        <v>52</v>
      </c>
      <c r="J296" s="2" t="str">
        <f t="shared" si="16"/>
        <v>No</v>
      </c>
      <c r="K296" s="2" t="str">
        <f t="shared" si="17"/>
        <v>N0</v>
      </c>
      <c r="L296" s="2" t="str">
        <f t="shared" si="19"/>
        <v>No</v>
      </c>
      <c r="M296" s="2">
        <f t="shared" si="18"/>
        <v>0</v>
      </c>
    </row>
    <row r="297" spans="1:13" x14ac:dyDescent="0.3">
      <c r="A297" s="5" t="s">
        <v>2926</v>
      </c>
      <c r="B297" s="5" t="s">
        <v>435</v>
      </c>
      <c r="C297" s="5" t="s">
        <v>2608</v>
      </c>
      <c r="D297" s="6">
        <v>45705</v>
      </c>
      <c r="E297" s="6">
        <v>45710</v>
      </c>
      <c r="F297" s="6">
        <v>45718</v>
      </c>
      <c r="G297" s="5" t="s">
        <v>2631</v>
      </c>
      <c r="H297" s="5">
        <v>12</v>
      </c>
      <c r="I297" s="5">
        <f>IFERROR(INDEX(Raw_Orders!H297:H2725,MATCH(B297,Raw_Orders!A297:A2725,0)),0)</f>
        <v>19</v>
      </c>
      <c r="J297" s="5" t="str">
        <f t="shared" si="16"/>
        <v>No</v>
      </c>
      <c r="K297" s="5" t="str">
        <f t="shared" si="17"/>
        <v>N0</v>
      </c>
      <c r="L297" s="5" t="str">
        <f t="shared" si="19"/>
        <v>No</v>
      </c>
      <c r="M297" s="5">
        <f t="shared" si="18"/>
        <v>0</v>
      </c>
    </row>
    <row r="298" spans="1:13" x14ac:dyDescent="0.3">
      <c r="A298" s="2" t="s">
        <v>2927</v>
      </c>
      <c r="B298" s="2" t="s">
        <v>436</v>
      </c>
      <c r="C298" s="2" t="s">
        <v>2598</v>
      </c>
      <c r="D298" s="3">
        <v>45707</v>
      </c>
      <c r="E298" s="3">
        <v>45713</v>
      </c>
      <c r="F298" s="3">
        <v>45724</v>
      </c>
      <c r="G298" s="2" t="s">
        <v>2641</v>
      </c>
      <c r="H298" s="2">
        <v>30</v>
      </c>
      <c r="I298" s="2">
        <f>IFERROR(INDEX(Raw_Orders!H298:H2726,MATCH(B298,Raw_Orders!A298:A2726,0)),0)</f>
        <v>36</v>
      </c>
      <c r="J298" s="2" t="str">
        <f t="shared" si="16"/>
        <v>No</v>
      </c>
      <c r="K298" s="2" t="str">
        <f t="shared" si="17"/>
        <v>N0</v>
      </c>
      <c r="L298" s="2" t="str">
        <f t="shared" si="19"/>
        <v>No</v>
      </c>
      <c r="M298" s="2">
        <f t="shared" si="18"/>
        <v>0</v>
      </c>
    </row>
    <row r="299" spans="1:13" x14ac:dyDescent="0.3">
      <c r="A299" s="5" t="s">
        <v>2928</v>
      </c>
      <c r="B299" s="5" t="s">
        <v>437</v>
      </c>
      <c r="C299" s="5" t="s">
        <v>2601</v>
      </c>
      <c r="D299" s="6">
        <v>45708</v>
      </c>
      <c r="E299" s="6">
        <v>45714</v>
      </c>
      <c r="F299" s="6">
        <v>45713</v>
      </c>
      <c r="G299" s="5" t="s">
        <v>2633</v>
      </c>
      <c r="H299" s="5">
        <v>14</v>
      </c>
      <c r="I299" s="5">
        <f>IFERROR(INDEX(Raw_Orders!H299:H2727,MATCH(B299,Raw_Orders!A299:A2727,0)),0)</f>
        <v>14</v>
      </c>
      <c r="J299" s="5" t="str">
        <f t="shared" si="16"/>
        <v>Yes</v>
      </c>
      <c r="K299" s="5" t="str">
        <f t="shared" si="17"/>
        <v>Yes</v>
      </c>
      <c r="L299" s="5" t="str">
        <f t="shared" si="19"/>
        <v>Yes</v>
      </c>
      <c r="M299" s="5">
        <f t="shared" si="18"/>
        <v>1</v>
      </c>
    </row>
    <row r="300" spans="1:13" x14ac:dyDescent="0.3">
      <c r="A300" s="2" t="s">
        <v>2929</v>
      </c>
      <c r="B300" s="2" t="s">
        <v>439</v>
      </c>
      <c r="C300" s="2" t="s">
        <v>2601</v>
      </c>
      <c r="D300" s="3">
        <v>45708</v>
      </c>
      <c r="E300" s="3">
        <v>45709</v>
      </c>
      <c r="F300" s="3">
        <v>45717</v>
      </c>
      <c r="G300" s="2" t="s">
        <v>2627</v>
      </c>
      <c r="H300" s="2">
        <v>38</v>
      </c>
      <c r="I300" s="2">
        <f>IFERROR(INDEX(Raw_Orders!H300:H2728,MATCH(B300,Raw_Orders!A300:A2728,0)),0)</f>
        <v>38</v>
      </c>
      <c r="J300" s="2" t="str">
        <f t="shared" si="16"/>
        <v>No</v>
      </c>
      <c r="K300" s="2" t="str">
        <f t="shared" si="17"/>
        <v>Yes</v>
      </c>
      <c r="L300" s="2" t="str">
        <f t="shared" si="19"/>
        <v>No</v>
      </c>
      <c r="M300" s="2">
        <f t="shared" si="18"/>
        <v>0</v>
      </c>
    </row>
    <row r="301" spans="1:13" x14ac:dyDescent="0.3">
      <c r="A301" s="5" t="s">
        <v>2930</v>
      </c>
      <c r="B301" s="5" t="s">
        <v>440</v>
      </c>
      <c r="C301" s="5" t="s">
        <v>2616</v>
      </c>
      <c r="D301" s="6">
        <v>45706</v>
      </c>
      <c r="E301" s="6">
        <v>45710</v>
      </c>
      <c r="F301" s="6">
        <v>45725</v>
      </c>
      <c r="G301" s="5" t="s">
        <v>2633</v>
      </c>
      <c r="H301" s="5">
        <v>11</v>
      </c>
      <c r="I301" s="5">
        <f>IFERROR(INDEX(Raw_Orders!H301:H2729,MATCH(B301,Raw_Orders!A301:A2729,0)),0)</f>
        <v>11</v>
      </c>
      <c r="J301" s="5" t="str">
        <f t="shared" si="16"/>
        <v>No</v>
      </c>
      <c r="K301" s="5" t="str">
        <f t="shared" si="17"/>
        <v>Yes</v>
      </c>
      <c r="L301" s="5" t="str">
        <f t="shared" si="19"/>
        <v>No</v>
      </c>
      <c r="M301" s="5">
        <f t="shared" si="18"/>
        <v>0</v>
      </c>
    </row>
    <row r="302" spans="1:13" x14ac:dyDescent="0.3">
      <c r="A302" s="2" t="s">
        <v>2931</v>
      </c>
      <c r="B302" s="2" t="s">
        <v>441</v>
      </c>
      <c r="C302" s="2" t="s">
        <v>2606</v>
      </c>
      <c r="D302" s="3">
        <v>45708</v>
      </c>
      <c r="E302" s="3">
        <v>45712</v>
      </c>
      <c r="F302" s="3">
        <v>45716</v>
      </c>
      <c r="G302" s="2" t="s">
        <v>2627</v>
      </c>
      <c r="H302" s="2">
        <v>25</v>
      </c>
      <c r="I302" s="2">
        <f>IFERROR(INDEX(Raw_Orders!H302:H2730,MATCH(B302,Raw_Orders!A302:A2730,0)),0)</f>
        <v>25</v>
      </c>
      <c r="J302" s="2" t="str">
        <f t="shared" si="16"/>
        <v>No</v>
      </c>
      <c r="K302" s="2" t="str">
        <f t="shared" si="17"/>
        <v>Yes</v>
      </c>
      <c r="L302" s="2" t="str">
        <f t="shared" si="19"/>
        <v>No</v>
      </c>
      <c r="M302" s="2">
        <f t="shared" si="18"/>
        <v>0</v>
      </c>
    </row>
    <row r="303" spans="1:13" x14ac:dyDescent="0.3">
      <c r="A303" s="5" t="s">
        <v>2932</v>
      </c>
      <c r="B303" s="5" t="s">
        <v>443</v>
      </c>
      <c r="C303" s="5" t="s">
        <v>2606</v>
      </c>
      <c r="D303" s="6">
        <v>45708</v>
      </c>
      <c r="E303" s="6">
        <v>45712</v>
      </c>
      <c r="F303" s="6">
        <v>45715</v>
      </c>
      <c r="G303" s="5" t="s">
        <v>2633</v>
      </c>
      <c r="H303" s="5">
        <v>14</v>
      </c>
      <c r="I303" s="5">
        <f>IFERROR(INDEX(Raw_Orders!H303:H2731,MATCH(B303,Raw_Orders!A303:A2731,0)),0)</f>
        <v>14</v>
      </c>
      <c r="J303" s="5" t="str">
        <f t="shared" si="16"/>
        <v>No</v>
      </c>
      <c r="K303" s="5" t="str">
        <f t="shared" si="17"/>
        <v>Yes</v>
      </c>
      <c r="L303" s="5" t="str">
        <f t="shared" si="19"/>
        <v>No</v>
      </c>
      <c r="M303" s="5">
        <f t="shared" si="18"/>
        <v>0</v>
      </c>
    </row>
    <row r="304" spans="1:13" x14ac:dyDescent="0.3">
      <c r="A304" s="2" t="s">
        <v>2933</v>
      </c>
      <c r="B304" s="2" t="s">
        <v>444</v>
      </c>
      <c r="C304" s="2" t="s">
        <v>2608</v>
      </c>
      <c r="D304" s="3">
        <v>45706</v>
      </c>
      <c r="E304" s="3">
        <v>45714</v>
      </c>
      <c r="F304" s="3">
        <v>45719</v>
      </c>
      <c r="G304" s="2" t="s">
        <v>2641</v>
      </c>
      <c r="H304" s="2">
        <v>3</v>
      </c>
      <c r="I304" s="2">
        <f>IFERROR(INDEX(Raw_Orders!H304:H2732,MATCH(B304,Raw_Orders!A304:A2732,0)),0)</f>
        <v>8</v>
      </c>
      <c r="J304" s="2" t="str">
        <f t="shared" si="16"/>
        <v>No</v>
      </c>
      <c r="K304" s="2" t="str">
        <f t="shared" si="17"/>
        <v>N0</v>
      </c>
      <c r="L304" s="2" t="str">
        <f t="shared" si="19"/>
        <v>No</v>
      </c>
      <c r="M304" s="2">
        <f t="shared" si="18"/>
        <v>0</v>
      </c>
    </row>
    <row r="305" spans="1:13" x14ac:dyDescent="0.3">
      <c r="A305" s="5" t="s">
        <v>2934</v>
      </c>
      <c r="B305" s="5" t="s">
        <v>445</v>
      </c>
      <c r="C305" s="5" t="s">
        <v>2608</v>
      </c>
      <c r="D305" s="6">
        <v>45707</v>
      </c>
      <c r="E305" s="6">
        <v>45711</v>
      </c>
      <c r="F305" s="6">
        <v>45721</v>
      </c>
      <c r="G305" s="5" t="s">
        <v>2627</v>
      </c>
      <c r="H305" s="5">
        <v>9</v>
      </c>
      <c r="I305" s="5">
        <f>IFERROR(INDEX(Raw_Orders!H305:H2733,MATCH(B305,Raw_Orders!A305:A2733,0)),0)</f>
        <v>9</v>
      </c>
      <c r="J305" s="5" t="str">
        <f t="shared" si="16"/>
        <v>No</v>
      </c>
      <c r="K305" s="5" t="str">
        <f t="shared" si="17"/>
        <v>Yes</v>
      </c>
      <c r="L305" s="5" t="str">
        <f t="shared" si="19"/>
        <v>No</v>
      </c>
      <c r="M305" s="5">
        <f t="shared" si="18"/>
        <v>0</v>
      </c>
    </row>
    <row r="306" spans="1:13" x14ac:dyDescent="0.3">
      <c r="A306" s="2" t="s">
        <v>2935</v>
      </c>
      <c r="B306" s="2" t="s">
        <v>446</v>
      </c>
      <c r="C306" s="2" t="s">
        <v>2611</v>
      </c>
      <c r="D306" s="3">
        <v>45708</v>
      </c>
      <c r="E306" s="3">
        <v>45712</v>
      </c>
      <c r="F306" s="3">
        <v>45719</v>
      </c>
      <c r="G306" s="2" t="s">
        <v>2641</v>
      </c>
      <c r="H306" s="2">
        <v>31</v>
      </c>
      <c r="I306" s="2">
        <f>IFERROR(INDEX(Raw_Orders!H306:H2734,MATCH(B306,Raw_Orders!A306:A2734,0)),0)</f>
        <v>31</v>
      </c>
      <c r="J306" s="2" t="str">
        <f t="shared" si="16"/>
        <v>No</v>
      </c>
      <c r="K306" s="2" t="str">
        <f t="shared" si="17"/>
        <v>Yes</v>
      </c>
      <c r="L306" s="2" t="str">
        <f t="shared" si="19"/>
        <v>No</v>
      </c>
      <c r="M306" s="2">
        <f t="shared" si="18"/>
        <v>0</v>
      </c>
    </row>
    <row r="307" spans="1:13" x14ac:dyDescent="0.3">
      <c r="A307" s="5" t="s">
        <v>2936</v>
      </c>
      <c r="B307" s="5" t="s">
        <v>448</v>
      </c>
      <c r="C307" s="5" t="s">
        <v>2598</v>
      </c>
      <c r="D307" s="6">
        <v>45708</v>
      </c>
      <c r="E307" s="6">
        <v>45715</v>
      </c>
      <c r="F307" s="6">
        <v>45720</v>
      </c>
      <c r="G307" s="5" t="s">
        <v>2641</v>
      </c>
      <c r="H307" s="5">
        <v>51</v>
      </c>
      <c r="I307" s="5">
        <f>IFERROR(INDEX(Raw_Orders!H307:H2735,MATCH(B307,Raw_Orders!A307:A2735,0)),0)</f>
        <v>51</v>
      </c>
      <c r="J307" s="5" t="str">
        <f t="shared" si="16"/>
        <v>No</v>
      </c>
      <c r="K307" s="5" t="str">
        <f t="shared" si="17"/>
        <v>Yes</v>
      </c>
      <c r="L307" s="5" t="str">
        <f t="shared" si="19"/>
        <v>No</v>
      </c>
      <c r="M307" s="5">
        <f t="shared" si="18"/>
        <v>0</v>
      </c>
    </row>
    <row r="308" spans="1:13" x14ac:dyDescent="0.3">
      <c r="A308" s="2" t="s">
        <v>2937</v>
      </c>
      <c r="B308" s="2" t="s">
        <v>449</v>
      </c>
      <c r="C308" s="2" t="s">
        <v>2601</v>
      </c>
      <c r="D308" s="3">
        <v>45707</v>
      </c>
      <c r="E308" s="3">
        <v>45716</v>
      </c>
      <c r="F308" s="3">
        <v>45712</v>
      </c>
      <c r="G308" s="2" t="s">
        <v>2629</v>
      </c>
      <c r="H308" s="2">
        <v>22</v>
      </c>
      <c r="I308" s="2">
        <f>IFERROR(INDEX(Raw_Orders!H308:H2736,MATCH(B308,Raw_Orders!A308:A2736,0)),0)</f>
        <v>22</v>
      </c>
      <c r="J308" s="2" t="str">
        <f t="shared" si="16"/>
        <v>Yes</v>
      </c>
      <c r="K308" s="2" t="str">
        <f t="shared" si="17"/>
        <v>Yes</v>
      </c>
      <c r="L308" s="2" t="str">
        <f t="shared" si="19"/>
        <v>Yes</v>
      </c>
      <c r="M308" s="2">
        <f t="shared" si="18"/>
        <v>1</v>
      </c>
    </row>
    <row r="309" spans="1:13" x14ac:dyDescent="0.3">
      <c r="A309" s="5" t="s">
        <v>2938</v>
      </c>
      <c r="B309" s="5" t="s">
        <v>450</v>
      </c>
      <c r="C309" s="5" t="s">
        <v>2601</v>
      </c>
      <c r="D309" s="6">
        <v>45708</v>
      </c>
      <c r="E309" s="6">
        <v>45713</v>
      </c>
      <c r="F309" s="6">
        <v>45714</v>
      </c>
      <c r="G309" s="5" t="s">
        <v>2631</v>
      </c>
      <c r="H309" s="5">
        <v>11</v>
      </c>
      <c r="I309" s="5">
        <f>IFERROR(INDEX(Raw_Orders!H309:H2737,MATCH(B309,Raw_Orders!A309:A2737,0)),0)</f>
        <v>15</v>
      </c>
      <c r="J309" s="5" t="str">
        <f t="shared" si="16"/>
        <v>No</v>
      </c>
      <c r="K309" s="5" t="str">
        <f t="shared" si="17"/>
        <v>N0</v>
      </c>
      <c r="L309" s="5" t="str">
        <f t="shared" si="19"/>
        <v>No</v>
      </c>
      <c r="M309" s="5">
        <f t="shared" si="18"/>
        <v>0</v>
      </c>
    </row>
    <row r="310" spans="1:13" x14ac:dyDescent="0.3">
      <c r="A310" s="2" t="s">
        <v>2939</v>
      </c>
      <c r="B310" s="2" t="s">
        <v>452</v>
      </c>
      <c r="C310" s="2" t="s">
        <v>2606</v>
      </c>
      <c r="D310" s="3">
        <v>45708</v>
      </c>
      <c r="E310" s="3">
        <v>45711</v>
      </c>
      <c r="F310" s="3">
        <v>45713</v>
      </c>
      <c r="G310" s="2" t="s">
        <v>2629</v>
      </c>
      <c r="H310" s="2">
        <v>25</v>
      </c>
      <c r="I310" s="2">
        <f>IFERROR(INDEX(Raw_Orders!H310:H2738,MATCH(B310,Raw_Orders!A310:A2738,0)),0)</f>
        <v>26</v>
      </c>
      <c r="J310" s="2" t="str">
        <f t="shared" si="16"/>
        <v>No</v>
      </c>
      <c r="K310" s="2" t="str">
        <f t="shared" si="17"/>
        <v>N0</v>
      </c>
      <c r="L310" s="2" t="str">
        <f t="shared" si="19"/>
        <v>No</v>
      </c>
      <c r="M310" s="2">
        <f t="shared" si="18"/>
        <v>0</v>
      </c>
    </row>
    <row r="311" spans="1:13" x14ac:dyDescent="0.3">
      <c r="A311" s="5" t="s">
        <v>2940</v>
      </c>
      <c r="B311" s="5" t="s">
        <v>453</v>
      </c>
      <c r="C311" s="5" t="s">
        <v>2608</v>
      </c>
      <c r="D311" s="6">
        <v>45708</v>
      </c>
      <c r="E311" s="6">
        <v>45713</v>
      </c>
      <c r="F311" s="6">
        <v>45721</v>
      </c>
      <c r="G311" s="5" t="s">
        <v>2633</v>
      </c>
      <c r="H311" s="5">
        <v>32</v>
      </c>
      <c r="I311" s="5">
        <f>IFERROR(INDEX(Raw_Orders!H311:H2739,MATCH(B311,Raw_Orders!A311:A2739,0)),0)</f>
        <v>32</v>
      </c>
      <c r="J311" s="5" t="str">
        <f t="shared" si="16"/>
        <v>No</v>
      </c>
      <c r="K311" s="5" t="str">
        <f t="shared" si="17"/>
        <v>Yes</v>
      </c>
      <c r="L311" s="5" t="str">
        <f t="shared" si="19"/>
        <v>No</v>
      </c>
      <c r="M311" s="5">
        <f t="shared" si="18"/>
        <v>0</v>
      </c>
    </row>
    <row r="312" spans="1:13" x14ac:dyDescent="0.3">
      <c r="A312" s="2" t="s">
        <v>2941</v>
      </c>
      <c r="B312" s="2" t="s">
        <v>454</v>
      </c>
      <c r="C312" s="2" t="s">
        <v>2608</v>
      </c>
      <c r="D312" s="3">
        <v>45707</v>
      </c>
      <c r="E312" s="3">
        <v>45711</v>
      </c>
      <c r="F312" s="3">
        <v>45720</v>
      </c>
      <c r="G312" s="2" t="s">
        <v>2631</v>
      </c>
      <c r="H312" s="2">
        <v>1</v>
      </c>
      <c r="I312" s="2">
        <f>IFERROR(INDEX(Raw_Orders!H312:H2740,MATCH(B312,Raw_Orders!A312:A2740,0)),0)</f>
        <v>6</v>
      </c>
      <c r="J312" s="2" t="str">
        <f t="shared" si="16"/>
        <v>No</v>
      </c>
      <c r="K312" s="2" t="str">
        <f t="shared" si="17"/>
        <v>N0</v>
      </c>
      <c r="L312" s="2" t="str">
        <f t="shared" si="19"/>
        <v>No</v>
      </c>
      <c r="M312" s="2">
        <f t="shared" si="18"/>
        <v>0</v>
      </c>
    </row>
    <row r="313" spans="1:13" x14ac:dyDescent="0.3">
      <c r="A313" s="5" t="s">
        <v>2942</v>
      </c>
      <c r="B313" s="5" t="s">
        <v>455</v>
      </c>
      <c r="C313" s="5" t="s">
        <v>2598</v>
      </c>
      <c r="D313" s="6">
        <v>45709</v>
      </c>
      <c r="E313" s="6">
        <v>45711</v>
      </c>
      <c r="F313" s="6">
        <v>45722</v>
      </c>
      <c r="G313" s="5" t="s">
        <v>2641</v>
      </c>
      <c r="H313" s="5">
        <v>16</v>
      </c>
      <c r="I313" s="5">
        <f>IFERROR(INDEX(Raw_Orders!H313:H2741,MATCH(B313,Raw_Orders!A313:A2741,0)),0)</f>
        <v>16</v>
      </c>
      <c r="J313" s="5" t="str">
        <f t="shared" si="16"/>
        <v>No</v>
      </c>
      <c r="K313" s="5" t="str">
        <f t="shared" si="17"/>
        <v>Yes</v>
      </c>
      <c r="L313" s="5" t="str">
        <f t="shared" si="19"/>
        <v>No</v>
      </c>
      <c r="M313" s="5">
        <f t="shared" si="18"/>
        <v>0</v>
      </c>
    </row>
    <row r="314" spans="1:13" x14ac:dyDescent="0.3">
      <c r="A314" s="2" t="s">
        <v>2943</v>
      </c>
      <c r="B314" s="2" t="s">
        <v>457</v>
      </c>
      <c r="C314" s="2" t="s">
        <v>2601</v>
      </c>
      <c r="D314" s="3">
        <v>45708</v>
      </c>
      <c r="E314" s="3">
        <v>45714</v>
      </c>
      <c r="F314" s="3">
        <v>45715</v>
      </c>
      <c r="G314" s="2" t="s">
        <v>2627</v>
      </c>
      <c r="H314" s="2">
        <v>19</v>
      </c>
      <c r="I314" s="2">
        <f>IFERROR(INDEX(Raw_Orders!H314:H2742,MATCH(B314,Raw_Orders!A314:A2742,0)),0)</f>
        <v>19</v>
      </c>
      <c r="J314" s="2" t="str">
        <f t="shared" si="16"/>
        <v>No</v>
      </c>
      <c r="K314" s="2" t="str">
        <f t="shared" si="17"/>
        <v>Yes</v>
      </c>
      <c r="L314" s="2" t="str">
        <f t="shared" si="19"/>
        <v>No</v>
      </c>
      <c r="M314" s="2">
        <f t="shared" si="18"/>
        <v>0</v>
      </c>
    </row>
    <row r="315" spans="1:13" x14ac:dyDescent="0.3">
      <c r="A315" s="5" t="s">
        <v>2944</v>
      </c>
      <c r="B315" s="5" t="s">
        <v>458</v>
      </c>
      <c r="C315" s="5" t="s">
        <v>2601</v>
      </c>
      <c r="D315" s="6">
        <v>45708</v>
      </c>
      <c r="E315" s="6">
        <v>45714</v>
      </c>
      <c r="F315" s="6">
        <v>45712</v>
      </c>
      <c r="G315" s="5" t="s">
        <v>2629</v>
      </c>
      <c r="H315" s="5">
        <v>21</v>
      </c>
      <c r="I315" s="5">
        <f>IFERROR(INDEX(Raw_Orders!H315:H2743,MATCH(B315,Raw_Orders!A315:A2743,0)),0)</f>
        <v>27</v>
      </c>
      <c r="J315" s="5" t="str">
        <f t="shared" si="16"/>
        <v>Yes</v>
      </c>
      <c r="K315" s="5" t="str">
        <f t="shared" si="17"/>
        <v>N0</v>
      </c>
      <c r="L315" s="5" t="str">
        <f t="shared" si="19"/>
        <v>No</v>
      </c>
      <c r="M315" s="5">
        <f t="shared" si="18"/>
        <v>0</v>
      </c>
    </row>
    <row r="316" spans="1:13" x14ac:dyDescent="0.3">
      <c r="A316" s="2" t="s">
        <v>2945</v>
      </c>
      <c r="B316" s="2" t="s">
        <v>459</v>
      </c>
      <c r="C316" s="2" t="s">
        <v>2616</v>
      </c>
      <c r="D316" s="3">
        <v>45710</v>
      </c>
      <c r="E316" s="3">
        <v>45715</v>
      </c>
      <c r="F316" s="3">
        <v>45729</v>
      </c>
      <c r="G316" s="2" t="s">
        <v>2627</v>
      </c>
      <c r="H316" s="2">
        <v>9</v>
      </c>
      <c r="I316" s="2">
        <f>IFERROR(INDEX(Raw_Orders!H316:H2744,MATCH(B316,Raw_Orders!A316:A2744,0)),0)</f>
        <v>9</v>
      </c>
      <c r="J316" s="2" t="str">
        <f t="shared" si="16"/>
        <v>No</v>
      </c>
      <c r="K316" s="2" t="str">
        <f t="shared" si="17"/>
        <v>Yes</v>
      </c>
      <c r="L316" s="2" t="str">
        <f t="shared" si="19"/>
        <v>No</v>
      </c>
      <c r="M316" s="2">
        <f t="shared" si="18"/>
        <v>0</v>
      </c>
    </row>
    <row r="317" spans="1:13" x14ac:dyDescent="0.3">
      <c r="A317" s="5" t="s">
        <v>2946</v>
      </c>
      <c r="B317" s="5" t="s">
        <v>460</v>
      </c>
      <c r="C317" s="5" t="s">
        <v>2606</v>
      </c>
      <c r="D317" s="6">
        <v>45709</v>
      </c>
      <c r="E317" s="6">
        <v>45714</v>
      </c>
      <c r="F317" s="6">
        <v>45716</v>
      </c>
      <c r="G317" s="5" t="s">
        <v>2631</v>
      </c>
      <c r="H317" s="5">
        <v>16</v>
      </c>
      <c r="I317" s="5">
        <f>IFERROR(INDEX(Raw_Orders!H317:H2745,MATCH(B317,Raw_Orders!A317:A2745,0)),0)</f>
        <v>24</v>
      </c>
      <c r="J317" s="5" t="str">
        <f t="shared" si="16"/>
        <v>No</v>
      </c>
      <c r="K317" s="5" t="str">
        <f t="shared" si="17"/>
        <v>N0</v>
      </c>
      <c r="L317" s="5" t="str">
        <f t="shared" si="19"/>
        <v>No</v>
      </c>
      <c r="M317" s="5">
        <f t="shared" si="18"/>
        <v>0</v>
      </c>
    </row>
    <row r="318" spans="1:13" x14ac:dyDescent="0.3">
      <c r="A318" s="2" t="s">
        <v>2947</v>
      </c>
      <c r="B318" s="2" t="s">
        <v>461</v>
      </c>
      <c r="C318" s="2" t="s">
        <v>2608</v>
      </c>
      <c r="D318" s="3">
        <v>45709</v>
      </c>
      <c r="E318" s="3">
        <v>45713</v>
      </c>
      <c r="F318" s="3">
        <v>45722</v>
      </c>
      <c r="G318" s="2" t="s">
        <v>2641</v>
      </c>
      <c r="H318" s="2">
        <v>20</v>
      </c>
      <c r="I318" s="2">
        <f>IFERROR(INDEX(Raw_Orders!H318:H2746,MATCH(B318,Raw_Orders!A318:A2746,0)),0)</f>
        <v>20</v>
      </c>
      <c r="J318" s="2" t="str">
        <f t="shared" si="16"/>
        <v>No</v>
      </c>
      <c r="K318" s="2" t="str">
        <f t="shared" si="17"/>
        <v>Yes</v>
      </c>
      <c r="L318" s="2" t="str">
        <f t="shared" si="19"/>
        <v>No</v>
      </c>
      <c r="M318" s="2">
        <f t="shared" si="18"/>
        <v>0</v>
      </c>
    </row>
    <row r="319" spans="1:13" x14ac:dyDescent="0.3">
      <c r="A319" s="5" t="s">
        <v>2948</v>
      </c>
      <c r="B319" s="5" t="s">
        <v>462</v>
      </c>
      <c r="C319" s="5" t="s">
        <v>2598</v>
      </c>
      <c r="D319" s="6">
        <v>45710</v>
      </c>
      <c r="E319" s="6">
        <v>45715</v>
      </c>
      <c r="F319" s="6">
        <v>45723</v>
      </c>
      <c r="G319" s="5" t="s">
        <v>2641</v>
      </c>
      <c r="H319" s="5">
        <v>15</v>
      </c>
      <c r="I319" s="5">
        <f>IFERROR(INDEX(Raw_Orders!H319:H2747,MATCH(B319,Raw_Orders!A319:A2747,0)),0)</f>
        <v>15</v>
      </c>
      <c r="J319" s="5" t="str">
        <f t="shared" si="16"/>
        <v>No</v>
      </c>
      <c r="K319" s="5" t="str">
        <f t="shared" si="17"/>
        <v>Yes</v>
      </c>
      <c r="L319" s="5" t="str">
        <f t="shared" si="19"/>
        <v>No</v>
      </c>
      <c r="M319" s="5">
        <f t="shared" si="18"/>
        <v>0</v>
      </c>
    </row>
    <row r="320" spans="1:13" x14ac:dyDescent="0.3">
      <c r="A320" s="2" t="s">
        <v>2949</v>
      </c>
      <c r="B320" s="2" t="s">
        <v>463</v>
      </c>
      <c r="C320" s="2" t="s">
        <v>2611</v>
      </c>
      <c r="D320" s="3">
        <v>45710</v>
      </c>
      <c r="E320" s="3">
        <v>45717</v>
      </c>
      <c r="F320" s="3">
        <v>45717</v>
      </c>
      <c r="G320" s="2" t="s">
        <v>2631</v>
      </c>
      <c r="H320" s="2">
        <v>41</v>
      </c>
      <c r="I320" s="2">
        <f>IFERROR(INDEX(Raw_Orders!H320:H2748,MATCH(B320,Raw_Orders!A320:A2748,0)),0)</f>
        <v>42</v>
      </c>
      <c r="J320" s="2" t="str">
        <f t="shared" si="16"/>
        <v>Yes</v>
      </c>
      <c r="K320" s="2" t="str">
        <f t="shared" si="17"/>
        <v>N0</v>
      </c>
      <c r="L320" s="2" t="str">
        <f t="shared" si="19"/>
        <v>No</v>
      </c>
      <c r="M320" s="2">
        <f t="shared" si="18"/>
        <v>0</v>
      </c>
    </row>
    <row r="321" spans="1:13" x14ac:dyDescent="0.3">
      <c r="A321" s="5" t="s">
        <v>2950</v>
      </c>
      <c r="B321" s="5" t="s">
        <v>464</v>
      </c>
      <c r="C321" s="5" t="s">
        <v>2604</v>
      </c>
      <c r="D321" s="6">
        <v>45709</v>
      </c>
      <c r="E321" s="6">
        <v>45717</v>
      </c>
      <c r="F321" s="6">
        <v>45717</v>
      </c>
      <c r="G321" s="5" t="s">
        <v>2633</v>
      </c>
      <c r="H321" s="5">
        <v>9</v>
      </c>
      <c r="I321" s="5">
        <f>IFERROR(INDEX(Raw_Orders!H321:H2749,MATCH(B321,Raw_Orders!A321:A2749,0)),0)</f>
        <v>9</v>
      </c>
      <c r="J321" s="5" t="str">
        <f t="shared" si="16"/>
        <v>Yes</v>
      </c>
      <c r="K321" s="5" t="str">
        <f t="shared" si="17"/>
        <v>Yes</v>
      </c>
      <c r="L321" s="5" t="str">
        <f t="shared" si="19"/>
        <v>Yes</v>
      </c>
      <c r="M321" s="5">
        <f t="shared" si="18"/>
        <v>1</v>
      </c>
    </row>
    <row r="322" spans="1:13" x14ac:dyDescent="0.3">
      <c r="A322" s="2" t="s">
        <v>2951</v>
      </c>
      <c r="B322" s="2" t="s">
        <v>465</v>
      </c>
      <c r="C322" s="2" t="s">
        <v>2608</v>
      </c>
      <c r="D322" s="3">
        <v>45709</v>
      </c>
      <c r="E322" s="3">
        <v>45712</v>
      </c>
      <c r="F322" s="3">
        <v>45721</v>
      </c>
      <c r="G322" s="2" t="s">
        <v>2629</v>
      </c>
      <c r="H322" s="2">
        <v>43</v>
      </c>
      <c r="I322" s="2">
        <f>IFERROR(INDEX(Raw_Orders!H322:H2750,MATCH(B322,Raw_Orders!A322:A2750,0)),0)</f>
        <v>43</v>
      </c>
      <c r="J322" s="2" t="str">
        <f t="shared" si="16"/>
        <v>No</v>
      </c>
      <c r="K322" s="2" t="str">
        <f t="shared" si="17"/>
        <v>Yes</v>
      </c>
      <c r="L322" s="2" t="str">
        <f t="shared" si="19"/>
        <v>No</v>
      </c>
      <c r="M322" s="2">
        <f t="shared" si="18"/>
        <v>0</v>
      </c>
    </row>
    <row r="323" spans="1:13" x14ac:dyDescent="0.3">
      <c r="A323" s="5" t="s">
        <v>2952</v>
      </c>
      <c r="B323" s="5" t="s">
        <v>466</v>
      </c>
      <c r="C323" s="5" t="s">
        <v>2608</v>
      </c>
      <c r="D323" s="6">
        <v>45709</v>
      </c>
      <c r="E323" s="6">
        <v>45715</v>
      </c>
      <c r="F323" s="6">
        <v>45722</v>
      </c>
      <c r="G323" s="5" t="s">
        <v>2633</v>
      </c>
      <c r="H323" s="5">
        <v>7</v>
      </c>
      <c r="I323" s="5">
        <f>IFERROR(INDEX(Raw_Orders!H323:H2751,MATCH(B323,Raw_Orders!A323:A2751,0)),0)</f>
        <v>7</v>
      </c>
      <c r="J323" s="5" t="str">
        <f t="shared" ref="J323:J386" si="20">IF(E323&gt;=F323,"Yes","No")</f>
        <v>No</v>
      </c>
      <c r="K323" s="5" t="str">
        <f t="shared" ref="K323:K386" si="21">IF(H323&gt;=I323,"Yes","N0")</f>
        <v>Yes</v>
      </c>
      <c r="L323" s="5" t="str">
        <f t="shared" si="19"/>
        <v>No</v>
      </c>
      <c r="M323" s="5">
        <f t="shared" ref="M323:M386" si="22">IF(L323="Yes",1,0)</f>
        <v>0</v>
      </c>
    </row>
    <row r="324" spans="1:13" x14ac:dyDescent="0.3">
      <c r="A324" s="2" t="s">
        <v>2953</v>
      </c>
      <c r="B324" s="2" t="s">
        <v>467</v>
      </c>
      <c r="C324" s="2" t="s">
        <v>2608</v>
      </c>
      <c r="D324" s="3">
        <v>45709</v>
      </c>
      <c r="E324" s="3">
        <v>45719</v>
      </c>
      <c r="F324" s="3">
        <v>45722</v>
      </c>
      <c r="G324" s="2" t="s">
        <v>2631</v>
      </c>
      <c r="H324" s="2">
        <v>6</v>
      </c>
      <c r="I324" s="2">
        <f>IFERROR(INDEX(Raw_Orders!H324:H2752,MATCH(B324,Raw_Orders!A324:A2752,0)),0)</f>
        <v>6</v>
      </c>
      <c r="J324" s="2" t="str">
        <f t="shared" si="20"/>
        <v>No</v>
      </c>
      <c r="K324" s="2" t="str">
        <f t="shared" si="21"/>
        <v>Yes</v>
      </c>
      <c r="L324" s="2" t="str">
        <f t="shared" ref="L324:L387" si="23">IF(AND(J324="Yes",K324="Yes"),"Yes","No")</f>
        <v>No</v>
      </c>
      <c r="M324" s="2">
        <f t="shared" si="22"/>
        <v>0</v>
      </c>
    </row>
    <row r="325" spans="1:13" x14ac:dyDescent="0.3">
      <c r="A325" s="5" t="s">
        <v>2954</v>
      </c>
      <c r="B325" s="5" t="s">
        <v>468</v>
      </c>
      <c r="C325" s="5" t="s">
        <v>2598</v>
      </c>
      <c r="D325" s="6">
        <v>45712</v>
      </c>
      <c r="E325" s="6">
        <v>45719</v>
      </c>
      <c r="F325" s="6">
        <v>45724</v>
      </c>
      <c r="G325" s="5" t="s">
        <v>2627</v>
      </c>
      <c r="H325" s="5">
        <v>33</v>
      </c>
      <c r="I325" s="5">
        <f>IFERROR(INDEX(Raw_Orders!H325:H2753,MATCH(B325,Raw_Orders!A325:A2753,0)),0)</f>
        <v>33</v>
      </c>
      <c r="J325" s="5" t="str">
        <f t="shared" si="20"/>
        <v>No</v>
      </c>
      <c r="K325" s="5" t="str">
        <f t="shared" si="21"/>
        <v>Yes</v>
      </c>
      <c r="L325" s="5" t="str">
        <f t="shared" si="23"/>
        <v>No</v>
      </c>
      <c r="M325" s="5">
        <f t="shared" si="22"/>
        <v>0</v>
      </c>
    </row>
    <row r="326" spans="1:13" x14ac:dyDescent="0.3">
      <c r="A326" s="2" t="s">
        <v>2955</v>
      </c>
      <c r="B326" s="2" t="s">
        <v>469</v>
      </c>
      <c r="C326" s="2" t="s">
        <v>2611</v>
      </c>
      <c r="D326" s="3">
        <v>45710</v>
      </c>
      <c r="E326" s="3">
        <v>45719</v>
      </c>
      <c r="F326" s="3">
        <v>45717</v>
      </c>
      <c r="G326" s="2" t="s">
        <v>2633</v>
      </c>
      <c r="H326" s="2">
        <v>37</v>
      </c>
      <c r="I326" s="2">
        <f>IFERROR(INDEX(Raw_Orders!H326:H2754,MATCH(B326,Raw_Orders!A326:A2754,0)),0)</f>
        <v>37</v>
      </c>
      <c r="J326" s="2" t="str">
        <f t="shared" si="20"/>
        <v>Yes</v>
      </c>
      <c r="K326" s="2" t="str">
        <f t="shared" si="21"/>
        <v>Yes</v>
      </c>
      <c r="L326" s="2" t="str">
        <f t="shared" si="23"/>
        <v>Yes</v>
      </c>
      <c r="M326" s="2">
        <f t="shared" si="22"/>
        <v>1</v>
      </c>
    </row>
    <row r="327" spans="1:13" x14ac:dyDescent="0.3">
      <c r="A327" s="5" t="s">
        <v>2956</v>
      </c>
      <c r="B327" s="5" t="s">
        <v>470</v>
      </c>
      <c r="C327" s="5" t="s">
        <v>2614</v>
      </c>
      <c r="D327" s="6">
        <v>45712</v>
      </c>
      <c r="E327" s="6">
        <v>45717</v>
      </c>
      <c r="F327" s="6">
        <v>45725</v>
      </c>
      <c r="G327" s="5" t="s">
        <v>2641</v>
      </c>
      <c r="H327" s="5">
        <v>13</v>
      </c>
      <c r="I327" s="5">
        <f>IFERROR(INDEX(Raw_Orders!H327:H2755,MATCH(B327,Raw_Orders!A327:A2755,0)),0)</f>
        <v>13</v>
      </c>
      <c r="J327" s="5" t="str">
        <f t="shared" si="20"/>
        <v>No</v>
      </c>
      <c r="K327" s="5" t="str">
        <f t="shared" si="21"/>
        <v>Yes</v>
      </c>
      <c r="L327" s="5" t="str">
        <f t="shared" si="23"/>
        <v>No</v>
      </c>
      <c r="M327" s="5">
        <f t="shared" si="22"/>
        <v>0</v>
      </c>
    </row>
    <row r="328" spans="1:13" x14ac:dyDescent="0.3">
      <c r="A328" s="2" t="s">
        <v>2957</v>
      </c>
      <c r="B328" s="2" t="s">
        <v>471</v>
      </c>
      <c r="C328" s="2" t="s">
        <v>2604</v>
      </c>
      <c r="D328" s="3">
        <v>45711</v>
      </c>
      <c r="E328" s="3">
        <v>45716</v>
      </c>
      <c r="F328" s="3">
        <v>45715</v>
      </c>
      <c r="G328" s="2" t="s">
        <v>2629</v>
      </c>
      <c r="H328" s="2">
        <v>54</v>
      </c>
      <c r="I328" s="2">
        <f>IFERROR(INDEX(Raw_Orders!H328:H2756,MATCH(B328,Raw_Orders!A328:A2756,0)),0)</f>
        <v>55</v>
      </c>
      <c r="J328" s="2" t="str">
        <f t="shared" si="20"/>
        <v>Yes</v>
      </c>
      <c r="K328" s="2" t="str">
        <f t="shared" si="21"/>
        <v>N0</v>
      </c>
      <c r="L328" s="2" t="str">
        <f t="shared" si="23"/>
        <v>No</v>
      </c>
      <c r="M328" s="2">
        <f t="shared" si="22"/>
        <v>0</v>
      </c>
    </row>
    <row r="329" spans="1:13" x14ac:dyDescent="0.3">
      <c r="A329" s="5" t="s">
        <v>2958</v>
      </c>
      <c r="B329" s="5" t="s">
        <v>472</v>
      </c>
      <c r="C329" s="5" t="s">
        <v>2604</v>
      </c>
      <c r="D329" s="6">
        <v>45711</v>
      </c>
      <c r="E329" s="6">
        <v>45714</v>
      </c>
      <c r="F329" s="6">
        <v>45714</v>
      </c>
      <c r="G329" s="5" t="s">
        <v>2627</v>
      </c>
      <c r="H329" s="5">
        <v>17</v>
      </c>
      <c r="I329" s="5">
        <f>IFERROR(INDEX(Raw_Orders!H329:H2757,MATCH(B329,Raw_Orders!A329:A2757,0)),0)</f>
        <v>17</v>
      </c>
      <c r="J329" s="5" t="str">
        <f t="shared" si="20"/>
        <v>Yes</v>
      </c>
      <c r="K329" s="5" t="str">
        <f t="shared" si="21"/>
        <v>Yes</v>
      </c>
      <c r="L329" s="5" t="str">
        <f t="shared" si="23"/>
        <v>Yes</v>
      </c>
      <c r="M329" s="5">
        <f t="shared" si="22"/>
        <v>1</v>
      </c>
    </row>
    <row r="330" spans="1:13" x14ac:dyDescent="0.3">
      <c r="A330" s="2" t="s">
        <v>2959</v>
      </c>
      <c r="B330" s="2" t="s">
        <v>474</v>
      </c>
      <c r="C330" s="2" t="s">
        <v>2606</v>
      </c>
      <c r="D330" s="3">
        <v>45712</v>
      </c>
      <c r="E330" s="3">
        <v>45713</v>
      </c>
      <c r="F330" s="3">
        <v>45718</v>
      </c>
      <c r="G330" s="2" t="s">
        <v>2641</v>
      </c>
      <c r="H330" s="2">
        <v>26</v>
      </c>
      <c r="I330" s="2">
        <f>IFERROR(INDEX(Raw_Orders!H330:H2758,MATCH(B330,Raw_Orders!A330:A2758,0)),0)</f>
        <v>26</v>
      </c>
      <c r="J330" s="2" t="str">
        <f t="shared" si="20"/>
        <v>No</v>
      </c>
      <c r="K330" s="2" t="str">
        <f t="shared" si="21"/>
        <v>Yes</v>
      </c>
      <c r="L330" s="2" t="str">
        <f t="shared" si="23"/>
        <v>No</v>
      </c>
      <c r="M330" s="2">
        <f t="shared" si="22"/>
        <v>0</v>
      </c>
    </row>
    <row r="331" spans="1:13" x14ac:dyDescent="0.3">
      <c r="A331" s="5" t="s">
        <v>2960</v>
      </c>
      <c r="B331" s="5" t="s">
        <v>475</v>
      </c>
      <c r="C331" s="5" t="s">
        <v>2606</v>
      </c>
      <c r="D331" s="6">
        <v>45710</v>
      </c>
      <c r="E331" s="6">
        <v>45719</v>
      </c>
      <c r="F331" s="6">
        <v>45715</v>
      </c>
      <c r="G331" s="5" t="s">
        <v>2633</v>
      </c>
      <c r="H331" s="5">
        <v>34</v>
      </c>
      <c r="I331" s="5">
        <f>IFERROR(INDEX(Raw_Orders!H331:H2759,MATCH(B331,Raw_Orders!A331:A2759,0)),0)</f>
        <v>34</v>
      </c>
      <c r="J331" s="5" t="str">
        <f t="shared" si="20"/>
        <v>Yes</v>
      </c>
      <c r="K331" s="5" t="str">
        <f t="shared" si="21"/>
        <v>Yes</v>
      </c>
      <c r="L331" s="5" t="str">
        <f t="shared" si="23"/>
        <v>Yes</v>
      </c>
      <c r="M331" s="5">
        <f t="shared" si="22"/>
        <v>1</v>
      </c>
    </row>
    <row r="332" spans="1:13" x14ac:dyDescent="0.3">
      <c r="A332" s="2" t="s">
        <v>2961</v>
      </c>
      <c r="B332" s="2" t="s">
        <v>476</v>
      </c>
      <c r="C332" s="2" t="s">
        <v>2608</v>
      </c>
      <c r="D332" s="3">
        <v>45712</v>
      </c>
      <c r="E332" s="3">
        <v>45716</v>
      </c>
      <c r="F332" s="3">
        <v>45725</v>
      </c>
      <c r="G332" s="2" t="s">
        <v>2631</v>
      </c>
      <c r="H332" s="2">
        <v>8</v>
      </c>
      <c r="I332" s="2">
        <f>IFERROR(INDEX(Raw_Orders!H332:H2760,MATCH(B332,Raw_Orders!A332:A2760,0)),0)</f>
        <v>8</v>
      </c>
      <c r="J332" s="2" t="str">
        <f t="shared" si="20"/>
        <v>No</v>
      </c>
      <c r="K332" s="2" t="str">
        <f t="shared" si="21"/>
        <v>Yes</v>
      </c>
      <c r="L332" s="2" t="str">
        <f t="shared" si="23"/>
        <v>No</v>
      </c>
      <c r="M332" s="2">
        <f t="shared" si="22"/>
        <v>0</v>
      </c>
    </row>
    <row r="333" spans="1:13" x14ac:dyDescent="0.3">
      <c r="A333" s="5" t="s">
        <v>2962</v>
      </c>
      <c r="B333" s="5" t="s">
        <v>477</v>
      </c>
      <c r="C333" s="5" t="s">
        <v>2611</v>
      </c>
      <c r="D333" s="6">
        <v>45712</v>
      </c>
      <c r="E333" s="6">
        <v>45715</v>
      </c>
      <c r="F333" s="6">
        <v>45719</v>
      </c>
      <c r="G333" s="5" t="s">
        <v>2631</v>
      </c>
      <c r="H333" s="5">
        <v>32</v>
      </c>
      <c r="I333" s="5">
        <f>IFERROR(INDEX(Raw_Orders!H333:H2761,MATCH(B333,Raw_Orders!A333:A2761,0)),0)</f>
        <v>32</v>
      </c>
      <c r="J333" s="5" t="str">
        <f t="shared" si="20"/>
        <v>No</v>
      </c>
      <c r="K333" s="5" t="str">
        <f t="shared" si="21"/>
        <v>Yes</v>
      </c>
      <c r="L333" s="5" t="str">
        <f t="shared" si="23"/>
        <v>No</v>
      </c>
      <c r="M333" s="5">
        <f t="shared" si="22"/>
        <v>0</v>
      </c>
    </row>
    <row r="334" spans="1:13" x14ac:dyDescent="0.3">
      <c r="A334" s="2" t="s">
        <v>2963</v>
      </c>
      <c r="B334" s="2" t="s">
        <v>478</v>
      </c>
      <c r="C334" s="2" t="s">
        <v>2614</v>
      </c>
      <c r="D334" s="3">
        <v>45712</v>
      </c>
      <c r="E334" s="3">
        <v>45717</v>
      </c>
      <c r="F334" s="3">
        <v>45725</v>
      </c>
      <c r="G334" s="2" t="s">
        <v>2631</v>
      </c>
      <c r="H334" s="2">
        <v>17</v>
      </c>
      <c r="I334" s="2">
        <f>IFERROR(INDEX(Raw_Orders!H334:H2762,MATCH(B334,Raw_Orders!A334:A2762,0)),0)</f>
        <v>17</v>
      </c>
      <c r="J334" s="2" t="str">
        <f t="shared" si="20"/>
        <v>No</v>
      </c>
      <c r="K334" s="2" t="str">
        <f t="shared" si="21"/>
        <v>Yes</v>
      </c>
      <c r="L334" s="2" t="str">
        <f t="shared" si="23"/>
        <v>No</v>
      </c>
      <c r="M334" s="2">
        <f t="shared" si="22"/>
        <v>0</v>
      </c>
    </row>
    <row r="335" spans="1:13" x14ac:dyDescent="0.3">
      <c r="A335" s="5" t="s">
        <v>2964</v>
      </c>
      <c r="B335" s="5" t="s">
        <v>479</v>
      </c>
      <c r="C335" s="5" t="s">
        <v>2604</v>
      </c>
      <c r="D335" s="6">
        <v>45712</v>
      </c>
      <c r="E335" s="6">
        <v>45715</v>
      </c>
      <c r="F335" s="6">
        <v>45716</v>
      </c>
      <c r="G335" s="5" t="s">
        <v>2641</v>
      </c>
      <c r="H335" s="5">
        <v>12</v>
      </c>
      <c r="I335" s="5">
        <f>IFERROR(INDEX(Raw_Orders!H335:H2763,MATCH(B335,Raw_Orders!A335:A2763,0)),0)</f>
        <v>12</v>
      </c>
      <c r="J335" s="5" t="str">
        <f t="shared" si="20"/>
        <v>No</v>
      </c>
      <c r="K335" s="5" t="str">
        <f t="shared" si="21"/>
        <v>Yes</v>
      </c>
      <c r="L335" s="5" t="str">
        <f t="shared" si="23"/>
        <v>No</v>
      </c>
      <c r="M335" s="5">
        <f t="shared" si="22"/>
        <v>0</v>
      </c>
    </row>
    <row r="336" spans="1:13" x14ac:dyDescent="0.3">
      <c r="A336" s="2" t="s">
        <v>2965</v>
      </c>
      <c r="B336" s="2" t="s">
        <v>480</v>
      </c>
      <c r="C336" s="2" t="s">
        <v>2608</v>
      </c>
      <c r="D336" s="3">
        <v>45711</v>
      </c>
      <c r="E336" s="3">
        <v>45715</v>
      </c>
      <c r="F336" s="3">
        <v>45728</v>
      </c>
      <c r="G336" s="2" t="s">
        <v>2629</v>
      </c>
      <c r="H336" s="2">
        <v>25</v>
      </c>
      <c r="I336" s="2">
        <f>IFERROR(INDEX(Raw_Orders!H336:H2764,MATCH(B336,Raw_Orders!A336:A2764,0)),0)</f>
        <v>25</v>
      </c>
      <c r="J336" s="2" t="str">
        <f t="shared" si="20"/>
        <v>No</v>
      </c>
      <c r="K336" s="2" t="str">
        <f t="shared" si="21"/>
        <v>Yes</v>
      </c>
      <c r="L336" s="2" t="str">
        <f t="shared" si="23"/>
        <v>No</v>
      </c>
      <c r="M336" s="2">
        <f t="shared" si="22"/>
        <v>0</v>
      </c>
    </row>
    <row r="337" spans="1:13" x14ac:dyDescent="0.3">
      <c r="A337" s="5" t="s">
        <v>2966</v>
      </c>
      <c r="B337" s="5" t="s">
        <v>481</v>
      </c>
      <c r="C337" s="5" t="s">
        <v>2608</v>
      </c>
      <c r="D337" s="6">
        <v>45712</v>
      </c>
      <c r="E337" s="6">
        <v>45720</v>
      </c>
      <c r="F337" s="6">
        <v>45725</v>
      </c>
      <c r="G337" s="5" t="s">
        <v>2641</v>
      </c>
      <c r="H337" s="5">
        <v>2</v>
      </c>
      <c r="I337" s="5">
        <f>IFERROR(INDEX(Raw_Orders!H337:H2765,MATCH(B337,Raw_Orders!A337:A2765,0)),0)</f>
        <v>2</v>
      </c>
      <c r="J337" s="5" t="str">
        <f t="shared" si="20"/>
        <v>No</v>
      </c>
      <c r="K337" s="5" t="str">
        <f t="shared" si="21"/>
        <v>Yes</v>
      </c>
      <c r="L337" s="5" t="str">
        <f t="shared" si="23"/>
        <v>No</v>
      </c>
      <c r="M337" s="5">
        <f t="shared" si="22"/>
        <v>0</v>
      </c>
    </row>
    <row r="338" spans="1:13" x14ac:dyDescent="0.3">
      <c r="A338" s="2" t="s">
        <v>2967</v>
      </c>
      <c r="B338" s="2" t="s">
        <v>482</v>
      </c>
      <c r="C338" s="2" t="s">
        <v>2608</v>
      </c>
      <c r="D338" s="3">
        <v>45712</v>
      </c>
      <c r="E338" s="3">
        <v>45720</v>
      </c>
      <c r="F338" s="3">
        <v>45726</v>
      </c>
      <c r="G338" s="2" t="s">
        <v>2641</v>
      </c>
      <c r="H338" s="2">
        <v>5</v>
      </c>
      <c r="I338" s="2">
        <f>IFERROR(INDEX(Raw_Orders!H338:H2766,MATCH(B338,Raw_Orders!A338:A2766,0)),0)</f>
        <v>9</v>
      </c>
      <c r="J338" s="2" t="str">
        <f t="shared" si="20"/>
        <v>No</v>
      </c>
      <c r="K338" s="2" t="str">
        <f t="shared" si="21"/>
        <v>N0</v>
      </c>
      <c r="L338" s="2" t="str">
        <f t="shared" si="23"/>
        <v>No</v>
      </c>
      <c r="M338" s="2">
        <f t="shared" si="22"/>
        <v>0</v>
      </c>
    </row>
    <row r="339" spans="1:13" x14ac:dyDescent="0.3">
      <c r="A339" s="5" t="s">
        <v>2968</v>
      </c>
      <c r="B339" s="5" t="s">
        <v>483</v>
      </c>
      <c r="C339" s="5" t="s">
        <v>2611</v>
      </c>
      <c r="D339" s="6">
        <v>45712</v>
      </c>
      <c r="E339" s="6">
        <v>45719</v>
      </c>
      <c r="F339" s="6">
        <v>45718</v>
      </c>
      <c r="G339" s="5" t="s">
        <v>2629</v>
      </c>
      <c r="H339" s="5">
        <v>1</v>
      </c>
      <c r="I339" s="5">
        <f>IFERROR(INDEX(Raw_Orders!H339:H2767,MATCH(B339,Raw_Orders!A339:A2767,0)),0)</f>
        <v>4</v>
      </c>
      <c r="J339" s="5" t="str">
        <f t="shared" si="20"/>
        <v>Yes</v>
      </c>
      <c r="K339" s="5" t="str">
        <f t="shared" si="21"/>
        <v>N0</v>
      </c>
      <c r="L339" s="5" t="str">
        <f t="shared" si="23"/>
        <v>No</v>
      </c>
      <c r="M339" s="5">
        <f t="shared" si="22"/>
        <v>0</v>
      </c>
    </row>
    <row r="340" spans="1:13" x14ac:dyDescent="0.3">
      <c r="A340" s="2" t="s">
        <v>2969</v>
      </c>
      <c r="B340" s="2" t="s">
        <v>484</v>
      </c>
      <c r="C340" s="2" t="s">
        <v>2611</v>
      </c>
      <c r="D340" s="3">
        <v>45713</v>
      </c>
      <c r="E340" s="3">
        <v>45717</v>
      </c>
      <c r="F340" s="3">
        <v>45719</v>
      </c>
      <c r="G340" s="2" t="s">
        <v>2627</v>
      </c>
      <c r="H340" s="2">
        <v>12</v>
      </c>
      <c r="I340" s="2">
        <f>IFERROR(INDEX(Raw_Orders!H340:H2768,MATCH(B340,Raw_Orders!A340:A2768,0)),0)</f>
        <v>12</v>
      </c>
      <c r="J340" s="2" t="str">
        <f t="shared" si="20"/>
        <v>No</v>
      </c>
      <c r="K340" s="2" t="str">
        <f t="shared" si="21"/>
        <v>Yes</v>
      </c>
      <c r="L340" s="2" t="str">
        <f t="shared" si="23"/>
        <v>No</v>
      </c>
      <c r="M340" s="2">
        <f t="shared" si="22"/>
        <v>0</v>
      </c>
    </row>
    <row r="341" spans="1:13" x14ac:dyDescent="0.3">
      <c r="A341" s="5" t="s">
        <v>2970</v>
      </c>
      <c r="B341" s="5" t="s">
        <v>485</v>
      </c>
      <c r="C341" s="5" t="s">
        <v>2598</v>
      </c>
      <c r="D341" s="6">
        <v>45712</v>
      </c>
      <c r="E341" s="6">
        <v>45719</v>
      </c>
      <c r="F341" s="6">
        <v>45729</v>
      </c>
      <c r="G341" s="5" t="s">
        <v>2631</v>
      </c>
      <c r="H341" s="5">
        <v>23</v>
      </c>
      <c r="I341" s="5">
        <f>IFERROR(INDEX(Raw_Orders!H341:H2769,MATCH(B341,Raw_Orders!A341:A2769,0)),0)</f>
        <v>31</v>
      </c>
      <c r="J341" s="5" t="str">
        <f t="shared" si="20"/>
        <v>No</v>
      </c>
      <c r="K341" s="5" t="str">
        <f t="shared" si="21"/>
        <v>N0</v>
      </c>
      <c r="L341" s="5" t="str">
        <f t="shared" si="23"/>
        <v>No</v>
      </c>
      <c r="M341" s="5">
        <f t="shared" si="22"/>
        <v>0</v>
      </c>
    </row>
    <row r="342" spans="1:13" x14ac:dyDescent="0.3">
      <c r="A342" s="2" t="s">
        <v>2971</v>
      </c>
      <c r="B342" s="2" t="s">
        <v>486</v>
      </c>
      <c r="C342" s="2" t="s">
        <v>2614</v>
      </c>
      <c r="D342" s="3">
        <v>45714</v>
      </c>
      <c r="E342" s="3">
        <v>45717</v>
      </c>
      <c r="F342" s="3">
        <v>45728</v>
      </c>
      <c r="G342" s="2" t="s">
        <v>2633</v>
      </c>
      <c r="H342" s="2">
        <v>13</v>
      </c>
      <c r="I342" s="2">
        <f>IFERROR(INDEX(Raw_Orders!H342:H2770,MATCH(B342,Raw_Orders!A342:A2770,0)),0)</f>
        <v>18</v>
      </c>
      <c r="J342" s="2" t="str">
        <f t="shared" si="20"/>
        <v>No</v>
      </c>
      <c r="K342" s="2" t="str">
        <f t="shared" si="21"/>
        <v>N0</v>
      </c>
      <c r="L342" s="2" t="str">
        <f t="shared" si="23"/>
        <v>No</v>
      </c>
      <c r="M342" s="2">
        <f t="shared" si="22"/>
        <v>0</v>
      </c>
    </row>
    <row r="343" spans="1:13" x14ac:dyDescent="0.3">
      <c r="A343" s="5" t="s">
        <v>2972</v>
      </c>
      <c r="B343" s="5" t="s">
        <v>487</v>
      </c>
      <c r="C343" s="5" t="s">
        <v>2601</v>
      </c>
      <c r="D343" s="6">
        <v>45714</v>
      </c>
      <c r="E343" s="6">
        <v>45716</v>
      </c>
      <c r="F343" s="6">
        <v>45721</v>
      </c>
      <c r="G343" s="5" t="s">
        <v>2641</v>
      </c>
      <c r="H343" s="5">
        <v>39</v>
      </c>
      <c r="I343" s="5">
        <f>IFERROR(INDEX(Raw_Orders!H343:H2771,MATCH(B343,Raw_Orders!A343:A2771,0)),0)</f>
        <v>39</v>
      </c>
      <c r="J343" s="5" t="str">
        <f t="shared" si="20"/>
        <v>No</v>
      </c>
      <c r="K343" s="5" t="str">
        <f t="shared" si="21"/>
        <v>Yes</v>
      </c>
      <c r="L343" s="5" t="str">
        <f t="shared" si="23"/>
        <v>No</v>
      </c>
      <c r="M343" s="5">
        <f t="shared" si="22"/>
        <v>0</v>
      </c>
    </row>
    <row r="344" spans="1:13" x14ac:dyDescent="0.3">
      <c r="A344" s="2" t="s">
        <v>2973</v>
      </c>
      <c r="B344" s="2" t="s">
        <v>488</v>
      </c>
      <c r="C344" s="2" t="s">
        <v>2604</v>
      </c>
      <c r="D344" s="3">
        <v>45714</v>
      </c>
      <c r="E344" s="3">
        <v>45716</v>
      </c>
      <c r="F344" s="3">
        <v>45719</v>
      </c>
      <c r="G344" s="2" t="s">
        <v>2627</v>
      </c>
      <c r="H344" s="2">
        <v>14</v>
      </c>
      <c r="I344" s="2">
        <f>IFERROR(INDEX(Raw_Orders!H344:H2772,MATCH(B344,Raw_Orders!A344:A2772,0)),0)</f>
        <v>14</v>
      </c>
      <c r="J344" s="2" t="str">
        <f t="shared" si="20"/>
        <v>No</v>
      </c>
      <c r="K344" s="2" t="str">
        <f t="shared" si="21"/>
        <v>Yes</v>
      </c>
      <c r="L344" s="2" t="str">
        <f t="shared" si="23"/>
        <v>No</v>
      </c>
      <c r="M344" s="2">
        <f t="shared" si="22"/>
        <v>0</v>
      </c>
    </row>
    <row r="345" spans="1:13" x14ac:dyDescent="0.3">
      <c r="A345" s="5" t="s">
        <v>2974</v>
      </c>
      <c r="B345" s="5" t="s">
        <v>489</v>
      </c>
      <c r="C345" s="5" t="s">
        <v>2604</v>
      </c>
      <c r="D345" s="6">
        <v>45713</v>
      </c>
      <c r="E345" s="6">
        <v>45721</v>
      </c>
      <c r="F345" s="6">
        <v>45717</v>
      </c>
      <c r="G345" s="5" t="s">
        <v>2633</v>
      </c>
      <c r="H345" s="5">
        <v>33</v>
      </c>
      <c r="I345" s="5">
        <f>IFERROR(INDEX(Raw_Orders!H345:H2773,MATCH(B345,Raw_Orders!A345:A2773,0)),0)</f>
        <v>33</v>
      </c>
      <c r="J345" s="5" t="str">
        <f t="shared" si="20"/>
        <v>Yes</v>
      </c>
      <c r="K345" s="5" t="str">
        <f t="shared" si="21"/>
        <v>Yes</v>
      </c>
      <c r="L345" s="5" t="str">
        <f t="shared" si="23"/>
        <v>Yes</v>
      </c>
      <c r="M345" s="5">
        <f t="shared" si="22"/>
        <v>1</v>
      </c>
    </row>
    <row r="346" spans="1:13" x14ac:dyDescent="0.3">
      <c r="A346" s="2" t="s">
        <v>2975</v>
      </c>
      <c r="B346" s="2" t="s">
        <v>490</v>
      </c>
      <c r="C346" s="2" t="s">
        <v>2616</v>
      </c>
      <c r="D346" s="3">
        <v>45712</v>
      </c>
      <c r="E346" s="3">
        <v>45720</v>
      </c>
      <c r="F346" s="3">
        <v>45726</v>
      </c>
      <c r="G346" s="2" t="s">
        <v>2631</v>
      </c>
      <c r="H346" s="2">
        <v>11</v>
      </c>
      <c r="I346" s="2">
        <f>IFERROR(INDEX(Raw_Orders!H346:H2774,MATCH(B346,Raw_Orders!A346:A2774,0)),0)</f>
        <v>11</v>
      </c>
      <c r="J346" s="2" t="str">
        <f t="shared" si="20"/>
        <v>No</v>
      </c>
      <c r="K346" s="2" t="str">
        <f t="shared" si="21"/>
        <v>Yes</v>
      </c>
      <c r="L346" s="2" t="str">
        <f t="shared" si="23"/>
        <v>No</v>
      </c>
      <c r="M346" s="2">
        <f t="shared" si="22"/>
        <v>0</v>
      </c>
    </row>
    <row r="347" spans="1:13" x14ac:dyDescent="0.3">
      <c r="A347" s="5" t="s">
        <v>2976</v>
      </c>
      <c r="B347" s="5" t="s">
        <v>491</v>
      </c>
      <c r="C347" s="5" t="s">
        <v>2606</v>
      </c>
      <c r="D347" s="6">
        <v>45714</v>
      </c>
      <c r="E347" s="6">
        <v>45721</v>
      </c>
      <c r="F347" s="6">
        <v>45720</v>
      </c>
      <c r="G347" s="5" t="s">
        <v>2631</v>
      </c>
      <c r="H347" s="5">
        <v>32</v>
      </c>
      <c r="I347" s="5">
        <f>IFERROR(INDEX(Raw_Orders!H347:H2775,MATCH(B347,Raw_Orders!A347:A2775,0)),0)</f>
        <v>32</v>
      </c>
      <c r="J347" s="5" t="str">
        <f t="shared" si="20"/>
        <v>Yes</v>
      </c>
      <c r="K347" s="5" t="str">
        <f t="shared" si="21"/>
        <v>Yes</v>
      </c>
      <c r="L347" s="5" t="str">
        <f t="shared" si="23"/>
        <v>Yes</v>
      </c>
      <c r="M347" s="5">
        <f t="shared" si="22"/>
        <v>1</v>
      </c>
    </row>
    <row r="348" spans="1:13" x14ac:dyDescent="0.3">
      <c r="A348" s="2" t="s">
        <v>2977</v>
      </c>
      <c r="B348" s="2" t="s">
        <v>492</v>
      </c>
      <c r="C348" s="2" t="s">
        <v>2608</v>
      </c>
      <c r="D348" s="3">
        <v>45713</v>
      </c>
      <c r="E348" s="3">
        <v>45717</v>
      </c>
      <c r="F348" s="3">
        <v>45730</v>
      </c>
      <c r="G348" s="2" t="s">
        <v>2629</v>
      </c>
      <c r="H348" s="2">
        <v>3</v>
      </c>
      <c r="I348" s="2">
        <f>IFERROR(INDEX(Raw_Orders!H348:H2776,MATCH(B348,Raw_Orders!A348:A2776,0)),0)</f>
        <v>3</v>
      </c>
      <c r="J348" s="2" t="str">
        <f t="shared" si="20"/>
        <v>No</v>
      </c>
      <c r="K348" s="2" t="str">
        <f t="shared" si="21"/>
        <v>Yes</v>
      </c>
      <c r="L348" s="2" t="str">
        <f t="shared" si="23"/>
        <v>No</v>
      </c>
      <c r="M348" s="2">
        <f t="shared" si="22"/>
        <v>0</v>
      </c>
    </row>
    <row r="349" spans="1:13" x14ac:dyDescent="0.3">
      <c r="A349" s="5" t="s">
        <v>2978</v>
      </c>
      <c r="B349" s="5" t="s">
        <v>493</v>
      </c>
      <c r="C349" s="5" t="s">
        <v>2608</v>
      </c>
      <c r="D349" s="6">
        <v>45714</v>
      </c>
      <c r="E349" s="6">
        <v>45722</v>
      </c>
      <c r="F349" s="6">
        <v>45726</v>
      </c>
      <c r="G349" s="5" t="s">
        <v>2631</v>
      </c>
      <c r="H349" s="5">
        <v>8</v>
      </c>
      <c r="I349" s="5">
        <f>IFERROR(INDEX(Raw_Orders!H349:H2777,MATCH(B349,Raw_Orders!A349:A2777,0)),0)</f>
        <v>8</v>
      </c>
      <c r="J349" s="5" t="str">
        <f t="shared" si="20"/>
        <v>No</v>
      </c>
      <c r="K349" s="5" t="str">
        <f t="shared" si="21"/>
        <v>Yes</v>
      </c>
      <c r="L349" s="5" t="str">
        <f t="shared" si="23"/>
        <v>No</v>
      </c>
      <c r="M349" s="5">
        <f t="shared" si="22"/>
        <v>0</v>
      </c>
    </row>
    <row r="350" spans="1:13" x14ac:dyDescent="0.3">
      <c r="A350" s="2" t="s">
        <v>2979</v>
      </c>
      <c r="B350" s="2" t="s">
        <v>494</v>
      </c>
      <c r="C350" s="2" t="s">
        <v>2611</v>
      </c>
      <c r="D350" s="3">
        <v>45715</v>
      </c>
      <c r="E350" s="3">
        <v>45717</v>
      </c>
      <c r="F350" s="3">
        <v>45721</v>
      </c>
      <c r="G350" s="2" t="s">
        <v>2629</v>
      </c>
      <c r="H350" s="2">
        <v>32</v>
      </c>
      <c r="I350" s="2">
        <f>IFERROR(INDEX(Raw_Orders!H350:H2778,MATCH(B350,Raw_Orders!A350:A2778,0)),0)</f>
        <v>32</v>
      </c>
      <c r="J350" s="2" t="str">
        <f t="shared" si="20"/>
        <v>No</v>
      </c>
      <c r="K350" s="2" t="str">
        <f t="shared" si="21"/>
        <v>Yes</v>
      </c>
      <c r="L350" s="2" t="str">
        <f t="shared" si="23"/>
        <v>No</v>
      </c>
      <c r="M350" s="2">
        <f t="shared" si="22"/>
        <v>0</v>
      </c>
    </row>
    <row r="351" spans="1:13" x14ac:dyDescent="0.3">
      <c r="A351" s="5" t="s">
        <v>2980</v>
      </c>
      <c r="B351" s="5" t="s">
        <v>495</v>
      </c>
      <c r="C351" s="5" t="s">
        <v>2616</v>
      </c>
      <c r="D351" s="6">
        <v>45713</v>
      </c>
      <c r="E351" s="6">
        <v>45716</v>
      </c>
      <c r="F351" s="6">
        <v>45728</v>
      </c>
      <c r="G351" s="5" t="s">
        <v>2633</v>
      </c>
      <c r="H351" s="5">
        <v>17</v>
      </c>
      <c r="I351" s="5">
        <f>IFERROR(INDEX(Raw_Orders!H351:H2779,MATCH(B351,Raw_Orders!A351:A2779,0)),0)</f>
        <v>17</v>
      </c>
      <c r="J351" s="5" t="str">
        <f t="shared" si="20"/>
        <v>No</v>
      </c>
      <c r="K351" s="5" t="str">
        <f t="shared" si="21"/>
        <v>Yes</v>
      </c>
      <c r="L351" s="5" t="str">
        <f t="shared" si="23"/>
        <v>No</v>
      </c>
      <c r="M351" s="5">
        <f t="shared" si="22"/>
        <v>0</v>
      </c>
    </row>
    <row r="352" spans="1:13" x14ac:dyDescent="0.3">
      <c r="A352" s="2" t="s">
        <v>2981</v>
      </c>
      <c r="B352" s="2" t="s">
        <v>496</v>
      </c>
      <c r="C352" s="2" t="s">
        <v>2604</v>
      </c>
      <c r="D352" s="3">
        <v>45713</v>
      </c>
      <c r="E352" s="3">
        <v>45722</v>
      </c>
      <c r="F352" s="3">
        <v>45717</v>
      </c>
      <c r="G352" s="2" t="s">
        <v>2633</v>
      </c>
      <c r="H352" s="2">
        <v>24</v>
      </c>
      <c r="I352" s="2">
        <f>IFERROR(INDEX(Raw_Orders!H352:H2780,MATCH(B352,Raw_Orders!A352:A2780,0)),0)</f>
        <v>24</v>
      </c>
      <c r="J352" s="2" t="str">
        <f t="shared" si="20"/>
        <v>Yes</v>
      </c>
      <c r="K352" s="2" t="str">
        <f t="shared" si="21"/>
        <v>Yes</v>
      </c>
      <c r="L352" s="2" t="str">
        <f t="shared" si="23"/>
        <v>Yes</v>
      </c>
      <c r="M352" s="2">
        <f t="shared" si="22"/>
        <v>1</v>
      </c>
    </row>
    <row r="353" spans="1:13" x14ac:dyDescent="0.3">
      <c r="A353" s="5" t="s">
        <v>2982</v>
      </c>
      <c r="B353" s="5" t="s">
        <v>497</v>
      </c>
      <c r="C353" s="5" t="s">
        <v>2606</v>
      </c>
      <c r="D353" s="6">
        <v>45714</v>
      </c>
      <c r="E353" s="6">
        <v>45719</v>
      </c>
      <c r="F353" s="6">
        <v>45721</v>
      </c>
      <c r="G353" s="5" t="s">
        <v>2641</v>
      </c>
      <c r="H353" s="5">
        <v>27</v>
      </c>
      <c r="I353" s="5">
        <f>IFERROR(INDEX(Raw_Orders!H353:H2781,MATCH(B353,Raw_Orders!A353:A2781,0)),0)</f>
        <v>27</v>
      </c>
      <c r="J353" s="5" t="str">
        <f t="shared" si="20"/>
        <v>No</v>
      </c>
      <c r="K353" s="5" t="str">
        <f t="shared" si="21"/>
        <v>Yes</v>
      </c>
      <c r="L353" s="5" t="str">
        <f t="shared" si="23"/>
        <v>No</v>
      </c>
      <c r="M353" s="5">
        <f t="shared" si="22"/>
        <v>0</v>
      </c>
    </row>
    <row r="354" spans="1:13" x14ac:dyDescent="0.3">
      <c r="A354" s="2" t="s">
        <v>2983</v>
      </c>
      <c r="B354" s="2" t="s">
        <v>498</v>
      </c>
      <c r="C354" s="2" t="s">
        <v>2606</v>
      </c>
      <c r="D354" s="3">
        <v>45714</v>
      </c>
      <c r="E354" s="3">
        <v>45723</v>
      </c>
      <c r="F354" s="3">
        <v>45720</v>
      </c>
      <c r="G354" s="2" t="s">
        <v>2631</v>
      </c>
      <c r="H354" s="2">
        <v>29</v>
      </c>
      <c r="I354" s="2">
        <f>IFERROR(INDEX(Raw_Orders!H354:H2782,MATCH(B354,Raw_Orders!A354:A2782,0)),0)</f>
        <v>29</v>
      </c>
      <c r="J354" s="2" t="str">
        <f t="shared" si="20"/>
        <v>Yes</v>
      </c>
      <c r="K354" s="2" t="str">
        <f t="shared" si="21"/>
        <v>Yes</v>
      </c>
      <c r="L354" s="2" t="str">
        <f t="shared" si="23"/>
        <v>Yes</v>
      </c>
      <c r="M354" s="2">
        <f t="shared" si="22"/>
        <v>1</v>
      </c>
    </row>
    <row r="355" spans="1:13" x14ac:dyDescent="0.3">
      <c r="A355" s="5" t="s">
        <v>2984</v>
      </c>
      <c r="B355" s="5" t="s">
        <v>499</v>
      </c>
      <c r="C355" s="5" t="s">
        <v>2606</v>
      </c>
      <c r="D355" s="6">
        <v>45715</v>
      </c>
      <c r="E355" s="6">
        <v>45720</v>
      </c>
      <c r="F355" s="6">
        <v>45722</v>
      </c>
      <c r="G355" s="5" t="s">
        <v>2631</v>
      </c>
      <c r="H355" s="5">
        <v>31</v>
      </c>
      <c r="I355" s="5">
        <f>IFERROR(INDEX(Raw_Orders!H355:H2783,MATCH(B355,Raw_Orders!A355:A2783,0)),0)</f>
        <v>31</v>
      </c>
      <c r="J355" s="5" t="str">
        <f t="shared" si="20"/>
        <v>No</v>
      </c>
      <c r="K355" s="5" t="str">
        <f t="shared" si="21"/>
        <v>Yes</v>
      </c>
      <c r="L355" s="5" t="str">
        <f t="shared" si="23"/>
        <v>No</v>
      </c>
      <c r="M355" s="5">
        <f t="shared" si="22"/>
        <v>0</v>
      </c>
    </row>
    <row r="356" spans="1:13" x14ac:dyDescent="0.3">
      <c r="A356" s="2" t="s">
        <v>2985</v>
      </c>
      <c r="B356" s="2" t="s">
        <v>500</v>
      </c>
      <c r="C356" s="2" t="s">
        <v>2608</v>
      </c>
      <c r="D356" s="3">
        <v>45713</v>
      </c>
      <c r="E356" s="3">
        <v>45718</v>
      </c>
      <c r="F356" s="3">
        <v>45725</v>
      </c>
      <c r="G356" s="2" t="s">
        <v>2627</v>
      </c>
      <c r="H356" s="2">
        <v>15</v>
      </c>
      <c r="I356" s="2">
        <f>IFERROR(INDEX(Raw_Orders!H356:H2784,MATCH(B356,Raw_Orders!A356:A2784,0)),0)</f>
        <v>15</v>
      </c>
      <c r="J356" s="2" t="str">
        <f t="shared" si="20"/>
        <v>No</v>
      </c>
      <c r="K356" s="2" t="str">
        <f t="shared" si="21"/>
        <v>Yes</v>
      </c>
      <c r="L356" s="2" t="str">
        <f t="shared" si="23"/>
        <v>No</v>
      </c>
      <c r="M356" s="2">
        <f t="shared" si="22"/>
        <v>0</v>
      </c>
    </row>
    <row r="357" spans="1:13" x14ac:dyDescent="0.3">
      <c r="A357" s="5" t="s">
        <v>2986</v>
      </c>
      <c r="B357" s="5" t="s">
        <v>501</v>
      </c>
      <c r="C357" s="5" t="s">
        <v>2598</v>
      </c>
      <c r="D357" s="6">
        <v>45715</v>
      </c>
      <c r="E357" s="6">
        <v>45721</v>
      </c>
      <c r="F357" s="6">
        <v>45732</v>
      </c>
      <c r="G357" s="5" t="s">
        <v>2641</v>
      </c>
      <c r="H357" s="5">
        <v>14</v>
      </c>
      <c r="I357" s="5">
        <f>IFERROR(INDEX(Raw_Orders!H357:H2785,MATCH(B357,Raw_Orders!A357:A2785,0)),0)</f>
        <v>14</v>
      </c>
      <c r="J357" s="5" t="str">
        <f t="shared" si="20"/>
        <v>No</v>
      </c>
      <c r="K357" s="5" t="str">
        <f t="shared" si="21"/>
        <v>Yes</v>
      </c>
      <c r="L357" s="5" t="str">
        <f t="shared" si="23"/>
        <v>No</v>
      </c>
      <c r="M357" s="5">
        <f t="shared" si="22"/>
        <v>0</v>
      </c>
    </row>
    <row r="358" spans="1:13" x14ac:dyDescent="0.3">
      <c r="A358" s="2" t="s">
        <v>2987</v>
      </c>
      <c r="B358" s="2" t="s">
        <v>502</v>
      </c>
      <c r="C358" s="2" t="s">
        <v>2601</v>
      </c>
      <c r="D358" s="3">
        <v>45714</v>
      </c>
      <c r="E358" s="3">
        <v>45720</v>
      </c>
      <c r="F358" s="3">
        <v>45719</v>
      </c>
      <c r="G358" s="2" t="s">
        <v>2631</v>
      </c>
      <c r="H358" s="2">
        <v>6</v>
      </c>
      <c r="I358" s="2">
        <f>IFERROR(INDEX(Raw_Orders!H358:H2786,MATCH(B358,Raw_Orders!A358:A2786,0)),0)</f>
        <v>14</v>
      </c>
      <c r="J358" s="2" t="str">
        <f t="shared" si="20"/>
        <v>Yes</v>
      </c>
      <c r="K358" s="2" t="str">
        <f t="shared" si="21"/>
        <v>N0</v>
      </c>
      <c r="L358" s="2" t="str">
        <f t="shared" si="23"/>
        <v>No</v>
      </c>
      <c r="M358" s="2">
        <f t="shared" si="22"/>
        <v>0</v>
      </c>
    </row>
    <row r="359" spans="1:13" x14ac:dyDescent="0.3">
      <c r="A359" s="5" t="s">
        <v>2988</v>
      </c>
      <c r="B359" s="5" t="s">
        <v>503</v>
      </c>
      <c r="C359" s="5" t="s">
        <v>2604</v>
      </c>
      <c r="D359" s="6">
        <v>45714</v>
      </c>
      <c r="E359" s="6">
        <v>45724</v>
      </c>
      <c r="F359" s="6">
        <v>45717</v>
      </c>
      <c r="G359" s="5" t="s">
        <v>2641</v>
      </c>
      <c r="H359" s="5">
        <v>40</v>
      </c>
      <c r="I359" s="5">
        <f>IFERROR(INDEX(Raw_Orders!H359:H2787,MATCH(B359,Raw_Orders!A359:A2787,0)),0)</f>
        <v>40</v>
      </c>
      <c r="J359" s="5" t="str">
        <f t="shared" si="20"/>
        <v>Yes</v>
      </c>
      <c r="K359" s="5" t="str">
        <f t="shared" si="21"/>
        <v>Yes</v>
      </c>
      <c r="L359" s="5" t="str">
        <f t="shared" si="23"/>
        <v>Yes</v>
      </c>
      <c r="M359" s="5">
        <f t="shared" si="22"/>
        <v>1</v>
      </c>
    </row>
    <row r="360" spans="1:13" x14ac:dyDescent="0.3">
      <c r="A360" s="2" t="s">
        <v>2989</v>
      </c>
      <c r="B360" s="2" t="s">
        <v>505</v>
      </c>
      <c r="C360" s="2" t="s">
        <v>2606</v>
      </c>
      <c r="D360" s="3">
        <v>45716</v>
      </c>
      <c r="E360" s="3">
        <v>45718</v>
      </c>
      <c r="F360" s="3">
        <v>45726</v>
      </c>
      <c r="G360" s="2" t="s">
        <v>2627</v>
      </c>
      <c r="H360" s="2">
        <v>49</v>
      </c>
      <c r="I360" s="2">
        <f>IFERROR(INDEX(Raw_Orders!H360:H2788,MATCH(B360,Raw_Orders!A360:A2788,0)),0)</f>
        <v>49</v>
      </c>
      <c r="J360" s="2" t="str">
        <f t="shared" si="20"/>
        <v>No</v>
      </c>
      <c r="K360" s="2" t="str">
        <f t="shared" si="21"/>
        <v>Yes</v>
      </c>
      <c r="L360" s="2" t="str">
        <f t="shared" si="23"/>
        <v>No</v>
      </c>
      <c r="M360" s="2">
        <f t="shared" si="22"/>
        <v>0</v>
      </c>
    </row>
    <row r="361" spans="1:13" x14ac:dyDescent="0.3">
      <c r="A361" s="5" t="s">
        <v>2990</v>
      </c>
      <c r="B361" s="5" t="s">
        <v>506</v>
      </c>
      <c r="C361" s="5" t="s">
        <v>2608</v>
      </c>
      <c r="D361" s="6">
        <v>45716</v>
      </c>
      <c r="E361" s="6">
        <v>45717</v>
      </c>
      <c r="F361" s="6">
        <v>45733</v>
      </c>
      <c r="G361" s="5" t="s">
        <v>2631</v>
      </c>
      <c r="H361" s="5">
        <v>1</v>
      </c>
      <c r="I361" s="5">
        <f>IFERROR(INDEX(Raw_Orders!H361:H2789,MATCH(B361,Raw_Orders!A361:A2789,0)),0)</f>
        <v>7</v>
      </c>
      <c r="J361" s="5" t="str">
        <f t="shared" si="20"/>
        <v>No</v>
      </c>
      <c r="K361" s="5" t="str">
        <f t="shared" si="21"/>
        <v>N0</v>
      </c>
      <c r="L361" s="5" t="str">
        <f t="shared" si="23"/>
        <v>No</v>
      </c>
      <c r="M361" s="5">
        <f t="shared" si="22"/>
        <v>0</v>
      </c>
    </row>
    <row r="362" spans="1:13" x14ac:dyDescent="0.3">
      <c r="A362" s="2" t="s">
        <v>2991</v>
      </c>
      <c r="B362" s="2" t="s">
        <v>507</v>
      </c>
      <c r="C362" s="2" t="s">
        <v>2611</v>
      </c>
      <c r="D362" s="3">
        <v>45715</v>
      </c>
      <c r="E362" s="3">
        <v>45719</v>
      </c>
      <c r="F362" s="3">
        <v>45721</v>
      </c>
      <c r="G362" s="2" t="s">
        <v>2633</v>
      </c>
      <c r="H362" s="2">
        <v>27</v>
      </c>
      <c r="I362" s="2">
        <f>IFERROR(INDEX(Raw_Orders!H362:H2790,MATCH(B362,Raw_Orders!A362:A2790,0)),0)</f>
        <v>35</v>
      </c>
      <c r="J362" s="2" t="str">
        <f t="shared" si="20"/>
        <v>No</v>
      </c>
      <c r="K362" s="2" t="str">
        <f t="shared" si="21"/>
        <v>N0</v>
      </c>
      <c r="L362" s="2" t="str">
        <f t="shared" si="23"/>
        <v>No</v>
      </c>
      <c r="M362" s="2">
        <f t="shared" si="22"/>
        <v>0</v>
      </c>
    </row>
    <row r="363" spans="1:13" x14ac:dyDescent="0.3">
      <c r="A363" s="5" t="s">
        <v>2992</v>
      </c>
      <c r="B363" s="5" t="s">
        <v>508</v>
      </c>
      <c r="C363" s="5" t="s">
        <v>2614</v>
      </c>
      <c r="D363" s="6">
        <v>45717</v>
      </c>
      <c r="E363" s="6">
        <v>45724</v>
      </c>
      <c r="F363" s="6">
        <v>45732</v>
      </c>
      <c r="G363" s="5" t="s">
        <v>2631</v>
      </c>
      <c r="H363" s="5">
        <v>9</v>
      </c>
      <c r="I363" s="5">
        <f>IFERROR(INDEX(Raw_Orders!H363:H2791,MATCH(B363,Raw_Orders!A363:A2791,0)),0)</f>
        <v>11</v>
      </c>
      <c r="J363" s="5" t="str">
        <f t="shared" si="20"/>
        <v>No</v>
      </c>
      <c r="K363" s="5" t="str">
        <f t="shared" si="21"/>
        <v>N0</v>
      </c>
      <c r="L363" s="5" t="str">
        <f t="shared" si="23"/>
        <v>No</v>
      </c>
      <c r="M363" s="5">
        <f t="shared" si="22"/>
        <v>0</v>
      </c>
    </row>
    <row r="364" spans="1:13" x14ac:dyDescent="0.3">
      <c r="A364" s="2" t="s">
        <v>2993</v>
      </c>
      <c r="B364" s="2" t="s">
        <v>509</v>
      </c>
      <c r="C364" s="2" t="s">
        <v>2616</v>
      </c>
      <c r="D364" s="3">
        <v>45716</v>
      </c>
      <c r="E364" s="3">
        <v>45724</v>
      </c>
      <c r="F364" s="3">
        <v>45731</v>
      </c>
      <c r="G364" s="2" t="s">
        <v>2641</v>
      </c>
      <c r="H364" s="2">
        <v>16</v>
      </c>
      <c r="I364" s="2">
        <f>IFERROR(INDEX(Raw_Orders!H364:H2792,MATCH(B364,Raw_Orders!A364:A2792,0)),0)</f>
        <v>16</v>
      </c>
      <c r="J364" s="2" t="str">
        <f t="shared" si="20"/>
        <v>No</v>
      </c>
      <c r="K364" s="2" t="str">
        <f t="shared" si="21"/>
        <v>Yes</v>
      </c>
      <c r="L364" s="2" t="str">
        <f t="shared" si="23"/>
        <v>No</v>
      </c>
      <c r="M364" s="2">
        <f t="shared" si="22"/>
        <v>0</v>
      </c>
    </row>
    <row r="365" spans="1:13" x14ac:dyDescent="0.3">
      <c r="A365" s="5" t="s">
        <v>2994</v>
      </c>
      <c r="B365" s="5" t="s">
        <v>511</v>
      </c>
      <c r="C365" s="5" t="s">
        <v>2606</v>
      </c>
      <c r="D365" s="6">
        <v>45716</v>
      </c>
      <c r="E365" s="6">
        <v>45723</v>
      </c>
      <c r="F365" s="6">
        <v>45722</v>
      </c>
      <c r="G365" s="5" t="s">
        <v>2641</v>
      </c>
      <c r="H365" s="5">
        <v>39</v>
      </c>
      <c r="I365" s="5">
        <f>IFERROR(INDEX(Raw_Orders!H365:H2793,MATCH(B365,Raw_Orders!A365:A2793,0)),0)</f>
        <v>39</v>
      </c>
      <c r="J365" s="5" t="str">
        <f t="shared" si="20"/>
        <v>Yes</v>
      </c>
      <c r="K365" s="5" t="str">
        <f t="shared" si="21"/>
        <v>Yes</v>
      </c>
      <c r="L365" s="5" t="str">
        <f t="shared" si="23"/>
        <v>Yes</v>
      </c>
      <c r="M365" s="5">
        <f t="shared" si="22"/>
        <v>1</v>
      </c>
    </row>
    <row r="366" spans="1:13" x14ac:dyDescent="0.3">
      <c r="A366" s="2" t="s">
        <v>2995</v>
      </c>
      <c r="B366" s="2" t="s">
        <v>512</v>
      </c>
      <c r="C366" s="2" t="s">
        <v>2606</v>
      </c>
      <c r="D366" s="3">
        <v>45717</v>
      </c>
      <c r="E366" s="3">
        <v>45725</v>
      </c>
      <c r="F366" s="3">
        <v>45723</v>
      </c>
      <c r="G366" s="2" t="s">
        <v>2633</v>
      </c>
      <c r="H366" s="2">
        <v>38</v>
      </c>
      <c r="I366" s="2">
        <f>IFERROR(INDEX(Raw_Orders!H366:H2794,MATCH(B366,Raw_Orders!A366:A2794,0)),0)</f>
        <v>38</v>
      </c>
      <c r="J366" s="2" t="str">
        <f t="shared" si="20"/>
        <v>Yes</v>
      </c>
      <c r="K366" s="2" t="str">
        <f t="shared" si="21"/>
        <v>Yes</v>
      </c>
      <c r="L366" s="2" t="str">
        <f t="shared" si="23"/>
        <v>Yes</v>
      </c>
      <c r="M366" s="2">
        <f t="shared" si="22"/>
        <v>1</v>
      </c>
    </row>
    <row r="367" spans="1:13" x14ac:dyDescent="0.3">
      <c r="A367" s="5" t="s">
        <v>2996</v>
      </c>
      <c r="B367" s="5" t="s">
        <v>513</v>
      </c>
      <c r="C367" s="5" t="s">
        <v>2608</v>
      </c>
      <c r="D367" s="6">
        <v>45715</v>
      </c>
      <c r="E367" s="6">
        <v>45719</v>
      </c>
      <c r="F367" s="6">
        <v>45732</v>
      </c>
      <c r="G367" s="5" t="s">
        <v>2629</v>
      </c>
      <c r="H367" s="5">
        <v>33</v>
      </c>
      <c r="I367" s="5">
        <f>IFERROR(INDEX(Raw_Orders!H367:H2795,MATCH(B367,Raw_Orders!A367:A2795,0)),0)</f>
        <v>34</v>
      </c>
      <c r="J367" s="5" t="str">
        <f t="shared" si="20"/>
        <v>No</v>
      </c>
      <c r="K367" s="5" t="str">
        <f t="shared" si="21"/>
        <v>N0</v>
      </c>
      <c r="L367" s="5" t="str">
        <f t="shared" si="23"/>
        <v>No</v>
      </c>
      <c r="M367" s="5">
        <f t="shared" si="22"/>
        <v>0</v>
      </c>
    </row>
    <row r="368" spans="1:13" x14ac:dyDescent="0.3">
      <c r="A368" s="2" t="s">
        <v>2997</v>
      </c>
      <c r="B368" s="2" t="s">
        <v>514</v>
      </c>
      <c r="C368" s="2" t="s">
        <v>2611</v>
      </c>
      <c r="D368" s="3">
        <v>45717</v>
      </c>
      <c r="E368" s="3">
        <v>45721</v>
      </c>
      <c r="F368" s="3">
        <v>45724</v>
      </c>
      <c r="G368" s="2" t="s">
        <v>2641</v>
      </c>
      <c r="H368" s="2">
        <v>42</v>
      </c>
      <c r="I368" s="2">
        <f>IFERROR(INDEX(Raw_Orders!H368:H2796,MATCH(B368,Raw_Orders!A368:A2796,0)),0)</f>
        <v>42</v>
      </c>
      <c r="J368" s="2" t="str">
        <f t="shared" si="20"/>
        <v>No</v>
      </c>
      <c r="K368" s="2" t="str">
        <f t="shared" si="21"/>
        <v>Yes</v>
      </c>
      <c r="L368" s="2" t="str">
        <f t="shared" si="23"/>
        <v>No</v>
      </c>
      <c r="M368" s="2">
        <f t="shared" si="22"/>
        <v>0</v>
      </c>
    </row>
    <row r="369" spans="1:13" x14ac:dyDescent="0.3">
      <c r="A369" s="5" t="s">
        <v>2998</v>
      </c>
      <c r="B369" s="5" t="s">
        <v>515</v>
      </c>
      <c r="C369" s="5" t="s">
        <v>2598</v>
      </c>
      <c r="D369" s="6">
        <v>45717</v>
      </c>
      <c r="E369" s="6">
        <v>45725</v>
      </c>
      <c r="F369" s="6">
        <v>45731</v>
      </c>
      <c r="G369" s="5" t="s">
        <v>2633</v>
      </c>
      <c r="H369" s="5">
        <v>10</v>
      </c>
      <c r="I369" s="5">
        <f>IFERROR(INDEX(Raw_Orders!H369:H2797,MATCH(B369,Raw_Orders!A369:A2797,0)),0)</f>
        <v>17</v>
      </c>
      <c r="J369" s="5" t="str">
        <f t="shared" si="20"/>
        <v>No</v>
      </c>
      <c r="K369" s="5" t="str">
        <f t="shared" si="21"/>
        <v>N0</v>
      </c>
      <c r="L369" s="5" t="str">
        <f t="shared" si="23"/>
        <v>No</v>
      </c>
      <c r="M369" s="5">
        <f t="shared" si="22"/>
        <v>0</v>
      </c>
    </row>
    <row r="370" spans="1:13" x14ac:dyDescent="0.3">
      <c r="A370" s="2" t="s">
        <v>2999</v>
      </c>
      <c r="B370" s="2" t="s">
        <v>516</v>
      </c>
      <c r="C370" s="2" t="s">
        <v>2601</v>
      </c>
      <c r="D370" s="3">
        <v>45716</v>
      </c>
      <c r="E370" s="3">
        <v>45722</v>
      </c>
      <c r="F370" s="3">
        <v>45722</v>
      </c>
      <c r="G370" s="2" t="s">
        <v>2631</v>
      </c>
      <c r="H370" s="2">
        <v>22</v>
      </c>
      <c r="I370" s="2">
        <f>IFERROR(INDEX(Raw_Orders!H370:H2798,MATCH(B370,Raw_Orders!A370:A2798,0)),0)</f>
        <v>22</v>
      </c>
      <c r="J370" s="2" t="str">
        <f t="shared" si="20"/>
        <v>Yes</v>
      </c>
      <c r="K370" s="2" t="str">
        <f t="shared" si="21"/>
        <v>Yes</v>
      </c>
      <c r="L370" s="2" t="str">
        <f t="shared" si="23"/>
        <v>Yes</v>
      </c>
      <c r="M370" s="2">
        <f t="shared" si="22"/>
        <v>1</v>
      </c>
    </row>
    <row r="371" spans="1:13" x14ac:dyDescent="0.3">
      <c r="A371" s="5" t="s">
        <v>3000</v>
      </c>
      <c r="B371" s="5" t="s">
        <v>517</v>
      </c>
      <c r="C371" s="5" t="s">
        <v>2614</v>
      </c>
      <c r="D371" s="6">
        <v>45716</v>
      </c>
      <c r="E371" s="6">
        <v>45722</v>
      </c>
      <c r="F371" s="6">
        <v>45731</v>
      </c>
      <c r="G371" s="5" t="s">
        <v>2631</v>
      </c>
      <c r="H371" s="5">
        <v>10</v>
      </c>
      <c r="I371" s="5">
        <f>IFERROR(INDEX(Raw_Orders!H371:H2799,MATCH(B371,Raw_Orders!A371:A2799,0)),0)</f>
        <v>10</v>
      </c>
      <c r="J371" s="5" t="str">
        <f t="shared" si="20"/>
        <v>No</v>
      </c>
      <c r="K371" s="5" t="str">
        <f t="shared" si="21"/>
        <v>Yes</v>
      </c>
      <c r="L371" s="5" t="str">
        <f t="shared" si="23"/>
        <v>No</v>
      </c>
      <c r="M371" s="5">
        <f t="shared" si="22"/>
        <v>0</v>
      </c>
    </row>
    <row r="372" spans="1:13" x14ac:dyDescent="0.3">
      <c r="A372" s="2" t="s">
        <v>3001</v>
      </c>
      <c r="B372" s="2" t="s">
        <v>518</v>
      </c>
      <c r="C372" s="2" t="s">
        <v>2604</v>
      </c>
      <c r="D372" s="3">
        <v>45717</v>
      </c>
      <c r="E372" s="3">
        <v>45721</v>
      </c>
      <c r="F372" s="3">
        <v>45723</v>
      </c>
      <c r="G372" s="2" t="s">
        <v>2631</v>
      </c>
      <c r="H372" s="2">
        <v>30</v>
      </c>
      <c r="I372" s="2">
        <f>IFERROR(INDEX(Raw_Orders!H372:H2800,MATCH(B372,Raw_Orders!A372:A2800,0)),0)</f>
        <v>30</v>
      </c>
      <c r="J372" s="2" t="str">
        <f t="shared" si="20"/>
        <v>No</v>
      </c>
      <c r="K372" s="2" t="str">
        <f t="shared" si="21"/>
        <v>Yes</v>
      </c>
      <c r="L372" s="2" t="str">
        <f t="shared" si="23"/>
        <v>No</v>
      </c>
      <c r="M372" s="2">
        <f t="shared" si="22"/>
        <v>0</v>
      </c>
    </row>
    <row r="373" spans="1:13" x14ac:dyDescent="0.3">
      <c r="A373" s="5" t="s">
        <v>3002</v>
      </c>
      <c r="B373" s="5" t="s">
        <v>519</v>
      </c>
      <c r="C373" s="5" t="s">
        <v>2606</v>
      </c>
      <c r="D373" s="6">
        <v>45718</v>
      </c>
      <c r="E373" s="6">
        <v>45720</v>
      </c>
      <c r="F373" s="6">
        <v>45726</v>
      </c>
      <c r="G373" s="5" t="s">
        <v>2631</v>
      </c>
      <c r="H373" s="5">
        <v>53</v>
      </c>
      <c r="I373" s="5">
        <f>IFERROR(INDEX(Raw_Orders!H373:H2801,MATCH(B373,Raw_Orders!A373:A2801,0)),0)</f>
        <v>54</v>
      </c>
      <c r="J373" s="5" t="str">
        <f t="shared" si="20"/>
        <v>No</v>
      </c>
      <c r="K373" s="5" t="str">
        <f t="shared" si="21"/>
        <v>N0</v>
      </c>
      <c r="L373" s="5" t="str">
        <f t="shared" si="23"/>
        <v>No</v>
      </c>
      <c r="M373" s="5">
        <f t="shared" si="22"/>
        <v>0</v>
      </c>
    </row>
    <row r="374" spans="1:13" x14ac:dyDescent="0.3">
      <c r="A374" s="2" t="s">
        <v>3003</v>
      </c>
      <c r="B374" s="2" t="s">
        <v>520</v>
      </c>
      <c r="C374" s="2" t="s">
        <v>2611</v>
      </c>
      <c r="D374" s="3">
        <v>45717</v>
      </c>
      <c r="E374" s="3">
        <v>45724</v>
      </c>
      <c r="F374" s="3">
        <v>45726</v>
      </c>
      <c r="G374" s="2" t="s">
        <v>2631</v>
      </c>
      <c r="H374" s="2">
        <v>40</v>
      </c>
      <c r="I374" s="2">
        <f>IFERROR(INDEX(Raw_Orders!H374:H2802,MATCH(B374,Raw_Orders!A374:A2802,0)),0)</f>
        <v>42</v>
      </c>
      <c r="J374" s="2" t="str">
        <f t="shared" si="20"/>
        <v>No</v>
      </c>
      <c r="K374" s="2" t="str">
        <f t="shared" si="21"/>
        <v>N0</v>
      </c>
      <c r="L374" s="2" t="str">
        <f t="shared" si="23"/>
        <v>No</v>
      </c>
      <c r="M374" s="2">
        <f t="shared" si="22"/>
        <v>0</v>
      </c>
    </row>
    <row r="375" spans="1:13" x14ac:dyDescent="0.3">
      <c r="A375" s="5" t="s">
        <v>3004</v>
      </c>
      <c r="B375" s="5" t="s">
        <v>521</v>
      </c>
      <c r="C375" s="5" t="s">
        <v>2611</v>
      </c>
      <c r="D375" s="6">
        <v>45717</v>
      </c>
      <c r="E375" s="6">
        <v>45723</v>
      </c>
      <c r="F375" s="6">
        <v>45724</v>
      </c>
      <c r="G375" s="5" t="s">
        <v>2629</v>
      </c>
      <c r="H375" s="5">
        <v>21</v>
      </c>
      <c r="I375" s="5">
        <f>IFERROR(INDEX(Raw_Orders!H375:H2803,MATCH(B375,Raw_Orders!A375:A2803,0)),0)</f>
        <v>21</v>
      </c>
      <c r="J375" s="5" t="str">
        <f t="shared" si="20"/>
        <v>No</v>
      </c>
      <c r="K375" s="5" t="str">
        <f t="shared" si="21"/>
        <v>Yes</v>
      </c>
      <c r="L375" s="5" t="str">
        <f t="shared" si="23"/>
        <v>No</v>
      </c>
      <c r="M375" s="5">
        <f t="shared" si="22"/>
        <v>0</v>
      </c>
    </row>
    <row r="376" spans="1:13" x14ac:dyDescent="0.3">
      <c r="A376" s="2" t="s">
        <v>3005</v>
      </c>
      <c r="B376" s="2" t="s">
        <v>522</v>
      </c>
      <c r="C376" s="2" t="s">
        <v>2601</v>
      </c>
      <c r="D376" s="3">
        <v>45717</v>
      </c>
      <c r="E376" s="3">
        <v>45726</v>
      </c>
      <c r="F376" s="3">
        <v>45722</v>
      </c>
      <c r="G376" s="2" t="s">
        <v>2631</v>
      </c>
      <c r="H376" s="2">
        <v>12</v>
      </c>
      <c r="I376" s="2">
        <f>IFERROR(INDEX(Raw_Orders!H376:H2804,MATCH(B376,Raw_Orders!A376:A2804,0)),0)</f>
        <v>12</v>
      </c>
      <c r="J376" s="2" t="str">
        <f t="shared" si="20"/>
        <v>Yes</v>
      </c>
      <c r="K376" s="2" t="str">
        <f t="shared" si="21"/>
        <v>Yes</v>
      </c>
      <c r="L376" s="2" t="str">
        <f t="shared" si="23"/>
        <v>Yes</v>
      </c>
      <c r="M376" s="2">
        <f t="shared" si="22"/>
        <v>1</v>
      </c>
    </row>
    <row r="377" spans="1:13" x14ac:dyDescent="0.3">
      <c r="A377" s="5" t="s">
        <v>3006</v>
      </c>
      <c r="B377" s="5" t="s">
        <v>523</v>
      </c>
      <c r="C377" s="5" t="s">
        <v>2601</v>
      </c>
      <c r="D377" s="6">
        <v>45718</v>
      </c>
      <c r="E377" s="6">
        <v>45727</v>
      </c>
      <c r="F377" s="6">
        <v>45725</v>
      </c>
      <c r="G377" s="5" t="s">
        <v>2633</v>
      </c>
      <c r="H377" s="5">
        <v>8</v>
      </c>
      <c r="I377" s="5">
        <f>IFERROR(INDEX(Raw_Orders!H377:H2805,MATCH(B377,Raw_Orders!A377:A2805,0)),0)</f>
        <v>8</v>
      </c>
      <c r="J377" s="5" t="str">
        <f t="shared" si="20"/>
        <v>Yes</v>
      </c>
      <c r="K377" s="5" t="str">
        <f t="shared" si="21"/>
        <v>Yes</v>
      </c>
      <c r="L377" s="5" t="str">
        <f t="shared" si="23"/>
        <v>Yes</v>
      </c>
      <c r="M377" s="5">
        <f t="shared" si="22"/>
        <v>1</v>
      </c>
    </row>
    <row r="378" spans="1:13" x14ac:dyDescent="0.3">
      <c r="A378" s="2" t="s">
        <v>3007</v>
      </c>
      <c r="B378" s="2" t="s">
        <v>524</v>
      </c>
      <c r="C378" s="2" t="s">
        <v>2616</v>
      </c>
      <c r="D378" s="3">
        <v>45719</v>
      </c>
      <c r="E378" s="3">
        <v>45720</v>
      </c>
      <c r="F378" s="3">
        <v>45738</v>
      </c>
      <c r="G378" s="2" t="s">
        <v>2629</v>
      </c>
      <c r="H378" s="2">
        <v>16</v>
      </c>
      <c r="I378" s="2">
        <f>IFERROR(INDEX(Raw_Orders!H378:H2806,MATCH(B378,Raw_Orders!A378:A2806,0)),0)</f>
        <v>16</v>
      </c>
      <c r="J378" s="2" t="str">
        <f t="shared" si="20"/>
        <v>No</v>
      </c>
      <c r="K378" s="2" t="str">
        <f t="shared" si="21"/>
        <v>Yes</v>
      </c>
      <c r="L378" s="2" t="str">
        <f t="shared" si="23"/>
        <v>No</v>
      </c>
      <c r="M378" s="2">
        <f t="shared" si="22"/>
        <v>0</v>
      </c>
    </row>
    <row r="379" spans="1:13" x14ac:dyDescent="0.3">
      <c r="A379" s="5" t="s">
        <v>3008</v>
      </c>
      <c r="B379" s="5" t="s">
        <v>525</v>
      </c>
      <c r="C379" s="5" t="s">
        <v>2606</v>
      </c>
      <c r="D379" s="6">
        <v>45718</v>
      </c>
      <c r="E379" s="6">
        <v>45726</v>
      </c>
      <c r="F379" s="6">
        <v>45726</v>
      </c>
      <c r="G379" s="5" t="s">
        <v>2627</v>
      </c>
      <c r="H379" s="5">
        <v>45</v>
      </c>
      <c r="I379" s="5">
        <f>IFERROR(INDEX(Raw_Orders!H379:H2807,MATCH(B379,Raw_Orders!A379:A2807,0)),0)</f>
        <v>52</v>
      </c>
      <c r="J379" s="5" t="str">
        <f t="shared" si="20"/>
        <v>Yes</v>
      </c>
      <c r="K379" s="5" t="str">
        <f t="shared" si="21"/>
        <v>N0</v>
      </c>
      <c r="L379" s="5" t="str">
        <f t="shared" si="23"/>
        <v>No</v>
      </c>
      <c r="M379" s="5">
        <f t="shared" si="22"/>
        <v>0</v>
      </c>
    </row>
    <row r="380" spans="1:13" x14ac:dyDescent="0.3">
      <c r="A380" s="2" t="s">
        <v>3009</v>
      </c>
      <c r="B380" s="2" t="s">
        <v>526</v>
      </c>
      <c r="C380" s="2" t="s">
        <v>2606</v>
      </c>
      <c r="D380" s="3">
        <v>45718</v>
      </c>
      <c r="E380" s="3">
        <v>45727</v>
      </c>
      <c r="F380" s="3">
        <v>45725</v>
      </c>
      <c r="G380" s="2" t="s">
        <v>2627</v>
      </c>
      <c r="H380" s="2">
        <v>12</v>
      </c>
      <c r="I380" s="2">
        <f>IFERROR(INDEX(Raw_Orders!H380:H2808,MATCH(B380,Raw_Orders!A380:A2808,0)),0)</f>
        <v>12</v>
      </c>
      <c r="J380" s="2" t="str">
        <f t="shared" si="20"/>
        <v>Yes</v>
      </c>
      <c r="K380" s="2" t="str">
        <f t="shared" si="21"/>
        <v>Yes</v>
      </c>
      <c r="L380" s="2" t="str">
        <f t="shared" si="23"/>
        <v>Yes</v>
      </c>
      <c r="M380" s="2">
        <f t="shared" si="22"/>
        <v>1</v>
      </c>
    </row>
    <row r="381" spans="1:13" x14ac:dyDescent="0.3">
      <c r="A381" s="5" t="s">
        <v>3010</v>
      </c>
      <c r="B381" s="5" t="s">
        <v>528</v>
      </c>
      <c r="C381" s="5" t="s">
        <v>2608</v>
      </c>
      <c r="D381" s="6">
        <v>45717</v>
      </c>
      <c r="E381" s="6">
        <v>45720</v>
      </c>
      <c r="F381" s="6">
        <v>45730</v>
      </c>
      <c r="G381" s="5" t="s">
        <v>2627</v>
      </c>
      <c r="H381" s="5">
        <v>26</v>
      </c>
      <c r="I381" s="5">
        <f>IFERROR(INDEX(Raw_Orders!H381:H2809,MATCH(B381,Raw_Orders!A381:A2809,0)),0)</f>
        <v>26</v>
      </c>
      <c r="J381" s="5" t="str">
        <f t="shared" si="20"/>
        <v>No</v>
      </c>
      <c r="K381" s="5" t="str">
        <f t="shared" si="21"/>
        <v>Yes</v>
      </c>
      <c r="L381" s="5" t="str">
        <f t="shared" si="23"/>
        <v>No</v>
      </c>
      <c r="M381" s="5">
        <f t="shared" si="22"/>
        <v>0</v>
      </c>
    </row>
    <row r="382" spans="1:13" x14ac:dyDescent="0.3">
      <c r="A382" s="2" t="s">
        <v>3011</v>
      </c>
      <c r="B382" s="2" t="s">
        <v>529</v>
      </c>
      <c r="C382" s="2" t="s">
        <v>2608</v>
      </c>
      <c r="D382" s="3">
        <v>45717</v>
      </c>
      <c r="E382" s="3">
        <v>45722</v>
      </c>
      <c r="F382" s="3">
        <v>45730</v>
      </c>
      <c r="G382" s="2" t="s">
        <v>2633</v>
      </c>
      <c r="H382" s="2">
        <v>1</v>
      </c>
      <c r="I382" s="2">
        <f>IFERROR(INDEX(Raw_Orders!H382:H2810,MATCH(B382,Raw_Orders!A382:A2810,0)),0)</f>
        <v>6</v>
      </c>
      <c r="J382" s="2" t="str">
        <f t="shared" si="20"/>
        <v>No</v>
      </c>
      <c r="K382" s="2" t="str">
        <f t="shared" si="21"/>
        <v>N0</v>
      </c>
      <c r="L382" s="2" t="str">
        <f t="shared" si="23"/>
        <v>No</v>
      </c>
      <c r="M382" s="2">
        <f t="shared" si="22"/>
        <v>0</v>
      </c>
    </row>
    <row r="383" spans="1:13" x14ac:dyDescent="0.3">
      <c r="A383" s="5" t="s">
        <v>3012</v>
      </c>
      <c r="B383" s="5" t="s">
        <v>530</v>
      </c>
      <c r="C383" s="5" t="s">
        <v>2614</v>
      </c>
      <c r="D383" s="6">
        <v>45718</v>
      </c>
      <c r="E383" s="6">
        <v>45726</v>
      </c>
      <c r="F383" s="6">
        <v>45732</v>
      </c>
      <c r="G383" s="5" t="s">
        <v>2627</v>
      </c>
      <c r="H383" s="5">
        <v>39</v>
      </c>
      <c r="I383" s="5">
        <f>IFERROR(INDEX(Raw_Orders!H383:H2811,MATCH(B383,Raw_Orders!A383:A2811,0)),0)</f>
        <v>39</v>
      </c>
      <c r="J383" s="5" t="str">
        <f t="shared" si="20"/>
        <v>No</v>
      </c>
      <c r="K383" s="5" t="str">
        <f t="shared" si="21"/>
        <v>Yes</v>
      </c>
      <c r="L383" s="5" t="str">
        <f t="shared" si="23"/>
        <v>No</v>
      </c>
      <c r="M383" s="5">
        <f t="shared" si="22"/>
        <v>0</v>
      </c>
    </row>
    <row r="384" spans="1:13" x14ac:dyDescent="0.3">
      <c r="A384" s="2" t="s">
        <v>3013</v>
      </c>
      <c r="B384" s="2" t="s">
        <v>531</v>
      </c>
      <c r="C384" s="2" t="s">
        <v>2604</v>
      </c>
      <c r="D384" s="3">
        <v>45720</v>
      </c>
      <c r="E384" s="3">
        <v>45724</v>
      </c>
      <c r="F384" s="3">
        <v>45724</v>
      </c>
      <c r="G384" s="2" t="s">
        <v>2631</v>
      </c>
      <c r="H384" s="2">
        <v>14</v>
      </c>
      <c r="I384" s="2">
        <f>IFERROR(INDEX(Raw_Orders!H384:H2812,MATCH(B384,Raw_Orders!A384:A2812,0)),0)</f>
        <v>14</v>
      </c>
      <c r="J384" s="2" t="str">
        <f t="shared" si="20"/>
        <v>Yes</v>
      </c>
      <c r="K384" s="2" t="str">
        <f t="shared" si="21"/>
        <v>Yes</v>
      </c>
      <c r="L384" s="2" t="str">
        <f t="shared" si="23"/>
        <v>Yes</v>
      </c>
      <c r="M384" s="2">
        <f t="shared" si="22"/>
        <v>1</v>
      </c>
    </row>
    <row r="385" spans="1:13" x14ac:dyDescent="0.3">
      <c r="A385" s="5" t="s">
        <v>3014</v>
      </c>
      <c r="B385" s="5" t="s">
        <v>532</v>
      </c>
      <c r="C385" s="5" t="s">
        <v>2604</v>
      </c>
      <c r="D385" s="6">
        <v>45718</v>
      </c>
      <c r="E385" s="6">
        <v>45726</v>
      </c>
      <c r="F385" s="6">
        <v>45723</v>
      </c>
      <c r="G385" s="5" t="s">
        <v>2641</v>
      </c>
      <c r="H385" s="5">
        <v>54</v>
      </c>
      <c r="I385" s="5">
        <f>IFERROR(INDEX(Raw_Orders!H385:H2813,MATCH(B385,Raw_Orders!A385:A2813,0)),0)</f>
        <v>54</v>
      </c>
      <c r="J385" s="5" t="str">
        <f t="shared" si="20"/>
        <v>Yes</v>
      </c>
      <c r="K385" s="5" t="str">
        <f t="shared" si="21"/>
        <v>Yes</v>
      </c>
      <c r="L385" s="5" t="str">
        <f t="shared" si="23"/>
        <v>Yes</v>
      </c>
      <c r="M385" s="5">
        <f t="shared" si="22"/>
        <v>1</v>
      </c>
    </row>
    <row r="386" spans="1:13" x14ac:dyDescent="0.3">
      <c r="A386" s="2" t="s">
        <v>3015</v>
      </c>
      <c r="B386" s="2" t="s">
        <v>533</v>
      </c>
      <c r="C386" s="2" t="s">
        <v>2606</v>
      </c>
      <c r="D386" s="3">
        <v>45720</v>
      </c>
      <c r="E386" s="3">
        <v>45726</v>
      </c>
      <c r="F386" s="3">
        <v>45726</v>
      </c>
      <c r="G386" s="2" t="s">
        <v>2631</v>
      </c>
      <c r="H386" s="2">
        <v>41</v>
      </c>
      <c r="I386" s="2">
        <f>IFERROR(INDEX(Raw_Orders!H386:H2814,MATCH(B386,Raw_Orders!A386:A2814,0)),0)</f>
        <v>41</v>
      </c>
      <c r="J386" s="2" t="str">
        <f t="shared" si="20"/>
        <v>Yes</v>
      </c>
      <c r="K386" s="2" t="str">
        <f t="shared" si="21"/>
        <v>Yes</v>
      </c>
      <c r="L386" s="2" t="str">
        <f t="shared" si="23"/>
        <v>Yes</v>
      </c>
      <c r="M386" s="2">
        <f t="shared" si="22"/>
        <v>1</v>
      </c>
    </row>
    <row r="387" spans="1:13" x14ac:dyDescent="0.3">
      <c r="A387" s="5" t="s">
        <v>3016</v>
      </c>
      <c r="B387" s="5" t="s">
        <v>534</v>
      </c>
      <c r="C387" s="5" t="s">
        <v>2606</v>
      </c>
      <c r="D387" s="6">
        <v>45720</v>
      </c>
      <c r="E387" s="6">
        <v>45723</v>
      </c>
      <c r="F387" s="6">
        <v>45725</v>
      </c>
      <c r="G387" s="5" t="s">
        <v>2641</v>
      </c>
      <c r="H387" s="5">
        <v>30</v>
      </c>
      <c r="I387" s="5">
        <f>IFERROR(INDEX(Raw_Orders!H387:H2815,MATCH(B387,Raw_Orders!A387:A2815,0)),0)</f>
        <v>30</v>
      </c>
      <c r="J387" s="5" t="str">
        <f t="shared" ref="J387:J450" si="24">IF(E387&gt;=F387,"Yes","No")</f>
        <v>No</v>
      </c>
      <c r="K387" s="5" t="str">
        <f t="shared" ref="K387:K450" si="25">IF(H387&gt;=I387,"Yes","N0")</f>
        <v>Yes</v>
      </c>
      <c r="L387" s="5" t="str">
        <f t="shared" si="23"/>
        <v>No</v>
      </c>
      <c r="M387" s="5">
        <f t="shared" ref="M387:M450" si="26">IF(L387="Yes",1,0)</f>
        <v>0</v>
      </c>
    </row>
    <row r="388" spans="1:13" x14ac:dyDescent="0.3">
      <c r="A388" s="2" t="s">
        <v>3017</v>
      </c>
      <c r="B388" s="2" t="s">
        <v>535</v>
      </c>
      <c r="C388" s="2" t="s">
        <v>2611</v>
      </c>
      <c r="D388" s="3">
        <v>45720</v>
      </c>
      <c r="E388" s="3">
        <v>45726</v>
      </c>
      <c r="F388" s="3">
        <v>45727</v>
      </c>
      <c r="G388" s="2" t="s">
        <v>2631</v>
      </c>
      <c r="H388" s="2">
        <v>35</v>
      </c>
      <c r="I388" s="2">
        <f>IFERROR(INDEX(Raw_Orders!H388:H2816,MATCH(B388,Raw_Orders!A388:A2816,0)),0)</f>
        <v>43</v>
      </c>
      <c r="J388" s="2" t="str">
        <f t="shared" si="24"/>
        <v>No</v>
      </c>
      <c r="K388" s="2" t="str">
        <f t="shared" si="25"/>
        <v>N0</v>
      </c>
      <c r="L388" s="2" t="str">
        <f t="shared" ref="L388:L451" si="27">IF(AND(J388="Yes",K388="Yes"),"Yes","No")</f>
        <v>No</v>
      </c>
      <c r="M388" s="2">
        <f t="shared" si="26"/>
        <v>0</v>
      </c>
    </row>
    <row r="389" spans="1:13" x14ac:dyDescent="0.3">
      <c r="A389" s="5" t="s">
        <v>3018</v>
      </c>
      <c r="B389" s="5" t="s">
        <v>536</v>
      </c>
      <c r="C389" s="5" t="s">
        <v>2598</v>
      </c>
      <c r="D389" s="6">
        <v>45720</v>
      </c>
      <c r="E389" s="6">
        <v>45728</v>
      </c>
      <c r="F389" s="6">
        <v>45732</v>
      </c>
      <c r="G389" s="5" t="s">
        <v>2633</v>
      </c>
      <c r="H389" s="5">
        <v>16</v>
      </c>
      <c r="I389" s="5">
        <f>IFERROR(INDEX(Raw_Orders!H389:H2817,MATCH(B389,Raw_Orders!A389:A2817,0)),0)</f>
        <v>16</v>
      </c>
      <c r="J389" s="5" t="str">
        <f t="shared" si="24"/>
        <v>No</v>
      </c>
      <c r="K389" s="5" t="str">
        <f t="shared" si="25"/>
        <v>Yes</v>
      </c>
      <c r="L389" s="5" t="str">
        <f t="shared" si="27"/>
        <v>No</v>
      </c>
      <c r="M389" s="5">
        <f t="shared" si="26"/>
        <v>0</v>
      </c>
    </row>
    <row r="390" spans="1:13" x14ac:dyDescent="0.3">
      <c r="A390" s="2" t="s">
        <v>3019</v>
      </c>
      <c r="B390" s="2" t="s">
        <v>537</v>
      </c>
      <c r="C390" s="2" t="s">
        <v>2601</v>
      </c>
      <c r="D390" s="3">
        <v>45720</v>
      </c>
      <c r="E390" s="3">
        <v>45727</v>
      </c>
      <c r="F390" s="3">
        <v>45724</v>
      </c>
      <c r="G390" s="2" t="s">
        <v>2633</v>
      </c>
      <c r="H390" s="2">
        <v>16</v>
      </c>
      <c r="I390" s="2">
        <f>IFERROR(INDEX(Raw_Orders!H390:H2818,MATCH(B390,Raw_Orders!A390:A2818,0)),0)</f>
        <v>16</v>
      </c>
      <c r="J390" s="2" t="str">
        <f t="shared" si="24"/>
        <v>Yes</v>
      </c>
      <c r="K390" s="2" t="str">
        <f t="shared" si="25"/>
        <v>Yes</v>
      </c>
      <c r="L390" s="2" t="str">
        <f t="shared" si="27"/>
        <v>Yes</v>
      </c>
      <c r="M390" s="2">
        <f t="shared" si="26"/>
        <v>1</v>
      </c>
    </row>
    <row r="391" spans="1:13" x14ac:dyDescent="0.3">
      <c r="A391" s="5" t="s">
        <v>3020</v>
      </c>
      <c r="B391" s="5" t="s">
        <v>538</v>
      </c>
      <c r="C391" s="5" t="s">
        <v>2604</v>
      </c>
      <c r="D391" s="6">
        <v>45720</v>
      </c>
      <c r="E391" s="6">
        <v>45728</v>
      </c>
      <c r="F391" s="6">
        <v>45726</v>
      </c>
      <c r="G391" s="5" t="s">
        <v>2631</v>
      </c>
      <c r="H391" s="5">
        <v>11</v>
      </c>
      <c r="I391" s="5">
        <f>IFERROR(INDEX(Raw_Orders!H391:H2819,MATCH(B391,Raw_Orders!A391:A2819,0)),0)</f>
        <v>11</v>
      </c>
      <c r="J391" s="5" t="str">
        <f t="shared" si="24"/>
        <v>Yes</v>
      </c>
      <c r="K391" s="5" t="str">
        <f t="shared" si="25"/>
        <v>Yes</v>
      </c>
      <c r="L391" s="5" t="str">
        <f t="shared" si="27"/>
        <v>Yes</v>
      </c>
      <c r="M391" s="5">
        <f t="shared" si="26"/>
        <v>1</v>
      </c>
    </row>
    <row r="392" spans="1:13" x14ac:dyDescent="0.3">
      <c r="A392" s="2" t="s">
        <v>3021</v>
      </c>
      <c r="B392" s="2" t="s">
        <v>539</v>
      </c>
      <c r="C392" s="2" t="s">
        <v>2604</v>
      </c>
      <c r="D392" s="3">
        <v>45719</v>
      </c>
      <c r="E392" s="3">
        <v>45728</v>
      </c>
      <c r="F392" s="3">
        <v>45725</v>
      </c>
      <c r="G392" s="2" t="s">
        <v>2641</v>
      </c>
      <c r="H392" s="2">
        <v>47</v>
      </c>
      <c r="I392" s="2">
        <f>IFERROR(INDEX(Raw_Orders!H392:H2820,MATCH(B392,Raw_Orders!A392:A2820,0)),0)</f>
        <v>47</v>
      </c>
      <c r="J392" s="2" t="str">
        <f t="shared" si="24"/>
        <v>Yes</v>
      </c>
      <c r="K392" s="2" t="str">
        <f t="shared" si="25"/>
        <v>Yes</v>
      </c>
      <c r="L392" s="2" t="str">
        <f t="shared" si="27"/>
        <v>Yes</v>
      </c>
      <c r="M392" s="2">
        <f t="shared" si="26"/>
        <v>1</v>
      </c>
    </row>
    <row r="393" spans="1:13" x14ac:dyDescent="0.3">
      <c r="A393" s="5" t="s">
        <v>3022</v>
      </c>
      <c r="B393" s="5" t="s">
        <v>540</v>
      </c>
      <c r="C393" s="5" t="s">
        <v>2598</v>
      </c>
      <c r="D393" s="6">
        <v>45721</v>
      </c>
      <c r="E393" s="6">
        <v>45730</v>
      </c>
      <c r="F393" s="6">
        <v>45736</v>
      </c>
      <c r="G393" s="5" t="s">
        <v>2633</v>
      </c>
      <c r="H393" s="5">
        <v>14</v>
      </c>
      <c r="I393" s="5">
        <f>IFERROR(INDEX(Raw_Orders!H393:H2821,MATCH(B393,Raw_Orders!A393:A2821,0)),0)</f>
        <v>14</v>
      </c>
      <c r="J393" s="5" t="str">
        <f t="shared" si="24"/>
        <v>No</v>
      </c>
      <c r="K393" s="5" t="str">
        <f t="shared" si="25"/>
        <v>Yes</v>
      </c>
      <c r="L393" s="5" t="str">
        <f t="shared" si="27"/>
        <v>No</v>
      </c>
      <c r="M393" s="5">
        <f t="shared" si="26"/>
        <v>0</v>
      </c>
    </row>
    <row r="394" spans="1:13" x14ac:dyDescent="0.3">
      <c r="A394" s="2" t="s">
        <v>3023</v>
      </c>
      <c r="B394" s="2" t="s">
        <v>541</v>
      </c>
      <c r="C394" s="2" t="s">
        <v>2614</v>
      </c>
      <c r="D394" s="3">
        <v>45720</v>
      </c>
      <c r="E394" s="3">
        <v>45730</v>
      </c>
      <c r="F394" s="3">
        <v>45734</v>
      </c>
      <c r="G394" s="2" t="s">
        <v>2627</v>
      </c>
      <c r="H394" s="2">
        <v>17</v>
      </c>
      <c r="I394" s="2">
        <f>IFERROR(INDEX(Raw_Orders!H394:H2822,MATCH(B394,Raw_Orders!A394:A2822,0)),0)</f>
        <v>22</v>
      </c>
      <c r="J394" s="2" t="str">
        <f t="shared" si="24"/>
        <v>No</v>
      </c>
      <c r="K394" s="2" t="str">
        <f t="shared" si="25"/>
        <v>N0</v>
      </c>
      <c r="L394" s="2" t="str">
        <f t="shared" si="27"/>
        <v>No</v>
      </c>
      <c r="M394" s="2">
        <f t="shared" si="26"/>
        <v>0</v>
      </c>
    </row>
    <row r="395" spans="1:13" x14ac:dyDescent="0.3">
      <c r="A395" s="5" t="s">
        <v>3024</v>
      </c>
      <c r="B395" s="5" t="s">
        <v>542</v>
      </c>
      <c r="C395" s="5" t="s">
        <v>2601</v>
      </c>
      <c r="D395" s="6">
        <v>45721</v>
      </c>
      <c r="E395" s="6">
        <v>45725</v>
      </c>
      <c r="F395" s="6">
        <v>45726</v>
      </c>
      <c r="G395" s="5" t="s">
        <v>2633</v>
      </c>
      <c r="H395" s="5">
        <v>12</v>
      </c>
      <c r="I395" s="5">
        <f>IFERROR(INDEX(Raw_Orders!H395:H2823,MATCH(B395,Raw_Orders!A395:A2823,0)),0)</f>
        <v>12</v>
      </c>
      <c r="J395" s="5" t="str">
        <f t="shared" si="24"/>
        <v>No</v>
      </c>
      <c r="K395" s="5" t="str">
        <f t="shared" si="25"/>
        <v>Yes</v>
      </c>
      <c r="L395" s="5" t="str">
        <f t="shared" si="27"/>
        <v>No</v>
      </c>
      <c r="M395" s="5">
        <f t="shared" si="26"/>
        <v>0</v>
      </c>
    </row>
    <row r="396" spans="1:13" x14ac:dyDescent="0.3">
      <c r="A396" s="2" t="s">
        <v>3025</v>
      </c>
      <c r="B396" s="2" t="s">
        <v>543</v>
      </c>
      <c r="C396" s="2" t="s">
        <v>2606</v>
      </c>
      <c r="D396" s="3">
        <v>45721</v>
      </c>
      <c r="E396" s="3">
        <v>45723</v>
      </c>
      <c r="F396" s="3">
        <v>45727</v>
      </c>
      <c r="G396" s="2" t="s">
        <v>2629</v>
      </c>
      <c r="H396" s="2">
        <v>20</v>
      </c>
      <c r="I396" s="2">
        <f>IFERROR(INDEX(Raw_Orders!H396:H2824,MATCH(B396,Raw_Orders!A396:A2824,0)),0)</f>
        <v>20</v>
      </c>
      <c r="J396" s="2" t="str">
        <f t="shared" si="24"/>
        <v>No</v>
      </c>
      <c r="K396" s="2" t="str">
        <f t="shared" si="25"/>
        <v>Yes</v>
      </c>
      <c r="L396" s="2" t="str">
        <f t="shared" si="27"/>
        <v>No</v>
      </c>
      <c r="M396" s="2">
        <f t="shared" si="26"/>
        <v>0</v>
      </c>
    </row>
    <row r="397" spans="1:13" x14ac:dyDescent="0.3">
      <c r="A397" s="5" t="s">
        <v>3026</v>
      </c>
      <c r="B397" s="5" t="s">
        <v>544</v>
      </c>
      <c r="C397" s="5" t="s">
        <v>2606</v>
      </c>
      <c r="D397" s="6">
        <v>45721</v>
      </c>
      <c r="E397" s="6">
        <v>45723</v>
      </c>
      <c r="F397" s="6">
        <v>45726</v>
      </c>
      <c r="G397" s="5" t="s">
        <v>2629</v>
      </c>
      <c r="H397" s="5">
        <v>20</v>
      </c>
      <c r="I397" s="5">
        <f>IFERROR(INDEX(Raw_Orders!H397:H2825,MATCH(B397,Raw_Orders!A397:A2825,0)),0)</f>
        <v>20</v>
      </c>
      <c r="J397" s="5" t="str">
        <f t="shared" si="24"/>
        <v>No</v>
      </c>
      <c r="K397" s="5" t="str">
        <f t="shared" si="25"/>
        <v>Yes</v>
      </c>
      <c r="L397" s="5" t="str">
        <f t="shared" si="27"/>
        <v>No</v>
      </c>
      <c r="M397" s="5">
        <f t="shared" si="26"/>
        <v>0</v>
      </c>
    </row>
    <row r="398" spans="1:13" x14ac:dyDescent="0.3">
      <c r="A398" s="2" t="s">
        <v>3027</v>
      </c>
      <c r="B398" s="2" t="s">
        <v>546</v>
      </c>
      <c r="C398" s="2" t="s">
        <v>2608</v>
      </c>
      <c r="D398" s="3">
        <v>45722</v>
      </c>
      <c r="E398" s="3">
        <v>45724</v>
      </c>
      <c r="F398" s="3">
        <v>45734</v>
      </c>
      <c r="G398" s="2" t="s">
        <v>2627</v>
      </c>
      <c r="H398" s="2">
        <v>13</v>
      </c>
      <c r="I398" s="2">
        <f>IFERROR(INDEX(Raw_Orders!H398:H2826,MATCH(B398,Raw_Orders!A398:A2826,0)),0)</f>
        <v>13</v>
      </c>
      <c r="J398" s="2" t="str">
        <f t="shared" si="24"/>
        <v>No</v>
      </c>
      <c r="K398" s="2" t="str">
        <f t="shared" si="25"/>
        <v>Yes</v>
      </c>
      <c r="L398" s="2" t="str">
        <f t="shared" si="27"/>
        <v>No</v>
      </c>
      <c r="M398" s="2">
        <f t="shared" si="26"/>
        <v>0</v>
      </c>
    </row>
    <row r="399" spans="1:13" x14ac:dyDescent="0.3">
      <c r="A399" s="5" t="s">
        <v>3028</v>
      </c>
      <c r="B399" s="5" t="s">
        <v>547</v>
      </c>
      <c r="C399" s="5" t="s">
        <v>2611</v>
      </c>
      <c r="D399" s="6">
        <v>45721</v>
      </c>
      <c r="E399" s="6">
        <v>45729</v>
      </c>
      <c r="F399" s="6">
        <v>45732</v>
      </c>
      <c r="G399" s="5" t="s">
        <v>2629</v>
      </c>
      <c r="H399" s="5">
        <v>16</v>
      </c>
      <c r="I399" s="5">
        <f>IFERROR(INDEX(Raw_Orders!H399:H2827,MATCH(B399,Raw_Orders!A399:A2827,0)),0)</f>
        <v>16</v>
      </c>
      <c r="J399" s="5" t="str">
        <f t="shared" si="24"/>
        <v>No</v>
      </c>
      <c r="K399" s="5" t="str">
        <f t="shared" si="25"/>
        <v>Yes</v>
      </c>
      <c r="L399" s="5" t="str">
        <f t="shared" si="27"/>
        <v>No</v>
      </c>
      <c r="M399" s="5">
        <f t="shared" si="26"/>
        <v>0</v>
      </c>
    </row>
    <row r="400" spans="1:13" x14ac:dyDescent="0.3">
      <c r="A400" s="2" t="s">
        <v>3029</v>
      </c>
      <c r="B400" s="2" t="s">
        <v>548</v>
      </c>
      <c r="C400" s="2" t="s">
        <v>2598</v>
      </c>
      <c r="D400" s="3">
        <v>45722</v>
      </c>
      <c r="E400" s="3">
        <v>45727</v>
      </c>
      <c r="F400" s="3">
        <v>45739</v>
      </c>
      <c r="G400" s="2" t="s">
        <v>2633</v>
      </c>
      <c r="H400" s="2">
        <v>10</v>
      </c>
      <c r="I400" s="2">
        <f>IFERROR(INDEX(Raw_Orders!H400:H2828,MATCH(B400,Raw_Orders!A400:A2828,0)),0)</f>
        <v>10</v>
      </c>
      <c r="J400" s="2" t="str">
        <f t="shared" si="24"/>
        <v>No</v>
      </c>
      <c r="K400" s="2" t="str">
        <f t="shared" si="25"/>
        <v>Yes</v>
      </c>
      <c r="L400" s="2" t="str">
        <f t="shared" si="27"/>
        <v>No</v>
      </c>
      <c r="M400" s="2">
        <f t="shared" si="26"/>
        <v>0</v>
      </c>
    </row>
    <row r="401" spans="1:13" x14ac:dyDescent="0.3">
      <c r="A401" s="5" t="s">
        <v>3030</v>
      </c>
      <c r="B401" s="5" t="s">
        <v>549</v>
      </c>
      <c r="C401" s="5" t="s">
        <v>2601</v>
      </c>
      <c r="D401" s="6">
        <v>45723</v>
      </c>
      <c r="E401" s="6">
        <v>45731</v>
      </c>
      <c r="F401" s="6">
        <v>45728</v>
      </c>
      <c r="G401" s="5" t="s">
        <v>2631</v>
      </c>
      <c r="H401" s="5">
        <v>8</v>
      </c>
      <c r="I401" s="5">
        <f>IFERROR(INDEX(Raw_Orders!H401:H2829,MATCH(B401,Raw_Orders!A401:A2829,0)),0)</f>
        <v>8</v>
      </c>
      <c r="J401" s="5" t="str">
        <f t="shared" si="24"/>
        <v>Yes</v>
      </c>
      <c r="K401" s="5" t="str">
        <f t="shared" si="25"/>
        <v>Yes</v>
      </c>
      <c r="L401" s="5" t="str">
        <f t="shared" si="27"/>
        <v>Yes</v>
      </c>
      <c r="M401" s="5">
        <f t="shared" si="26"/>
        <v>1</v>
      </c>
    </row>
    <row r="402" spans="1:13" x14ac:dyDescent="0.3">
      <c r="A402" s="2" t="s">
        <v>3031</v>
      </c>
      <c r="B402" s="2" t="s">
        <v>550</v>
      </c>
      <c r="C402" s="2" t="s">
        <v>2604</v>
      </c>
      <c r="D402" s="3">
        <v>45723</v>
      </c>
      <c r="E402" s="3">
        <v>45725</v>
      </c>
      <c r="F402" s="3">
        <v>45728</v>
      </c>
      <c r="G402" s="2" t="s">
        <v>2633</v>
      </c>
      <c r="H402" s="2">
        <v>18</v>
      </c>
      <c r="I402" s="2">
        <f>IFERROR(INDEX(Raw_Orders!H402:H2830,MATCH(B402,Raw_Orders!A402:A2830,0)),0)</f>
        <v>18</v>
      </c>
      <c r="J402" s="2" t="str">
        <f t="shared" si="24"/>
        <v>No</v>
      </c>
      <c r="K402" s="2" t="str">
        <f t="shared" si="25"/>
        <v>Yes</v>
      </c>
      <c r="L402" s="2" t="str">
        <f t="shared" si="27"/>
        <v>No</v>
      </c>
      <c r="M402" s="2">
        <f t="shared" si="26"/>
        <v>0</v>
      </c>
    </row>
    <row r="403" spans="1:13" x14ac:dyDescent="0.3">
      <c r="A403" s="5" t="s">
        <v>3032</v>
      </c>
      <c r="B403" s="5" t="s">
        <v>551</v>
      </c>
      <c r="C403" s="5" t="s">
        <v>2616</v>
      </c>
      <c r="D403" s="6">
        <v>45722</v>
      </c>
      <c r="E403" s="6">
        <v>45725</v>
      </c>
      <c r="F403" s="6">
        <v>45741</v>
      </c>
      <c r="G403" s="5" t="s">
        <v>2633</v>
      </c>
      <c r="H403" s="5">
        <v>20</v>
      </c>
      <c r="I403" s="5">
        <f>IFERROR(INDEX(Raw_Orders!H403:H2831,MATCH(B403,Raw_Orders!A403:A2831,0)),0)</f>
        <v>20</v>
      </c>
      <c r="J403" s="5" t="str">
        <f t="shared" si="24"/>
        <v>No</v>
      </c>
      <c r="K403" s="5" t="str">
        <f t="shared" si="25"/>
        <v>Yes</v>
      </c>
      <c r="L403" s="5" t="str">
        <f t="shared" si="27"/>
        <v>No</v>
      </c>
      <c r="M403" s="5">
        <f t="shared" si="26"/>
        <v>0</v>
      </c>
    </row>
    <row r="404" spans="1:13" x14ac:dyDescent="0.3">
      <c r="A404" s="2" t="s">
        <v>3033</v>
      </c>
      <c r="B404" s="2" t="s">
        <v>552</v>
      </c>
      <c r="C404" s="2" t="s">
        <v>2606</v>
      </c>
      <c r="D404" s="3">
        <v>45721</v>
      </c>
      <c r="E404" s="3">
        <v>45730</v>
      </c>
      <c r="F404" s="3">
        <v>45727</v>
      </c>
      <c r="G404" s="2" t="s">
        <v>2631</v>
      </c>
      <c r="H404" s="2">
        <v>30</v>
      </c>
      <c r="I404" s="2">
        <f>IFERROR(INDEX(Raw_Orders!H404:H2832,MATCH(B404,Raw_Orders!A404:A2832,0)),0)</f>
        <v>30</v>
      </c>
      <c r="J404" s="2" t="str">
        <f t="shared" si="24"/>
        <v>Yes</v>
      </c>
      <c r="K404" s="2" t="str">
        <f t="shared" si="25"/>
        <v>Yes</v>
      </c>
      <c r="L404" s="2" t="str">
        <f t="shared" si="27"/>
        <v>Yes</v>
      </c>
      <c r="M404" s="2">
        <f t="shared" si="26"/>
        <v>1</v>
      </c>
    </row>
    <row r="405" spans="1:13" x14ac:dyDescent="0.3">
      <c r="A405" s="5" t="s">
        <v>3034</v>
      </c>
      <c r="B405" s="5" t="s">
        <v>553</v>
      </c>
      <c r="C405" s="5" t="s">
        <v>2608</v>
      </c>
      <c r="D405" s="6">
        <v>45721</v>
      </c>
      <c r="E405" s="6">
        <v>45724</v>
      </c>
      <c r="F405" s="6">
        <v>45738</v>
      </c>
      <c r="G405" s="5" t="s">
        <v>2641</v>
      </c>
      <c r="H405" s="5">
        <v>31</v>
      </c>
      <c r="I405" s="5">
        <f>IFERROR(INDEX(Raw_Orders!H405:H2833,MATCH(B405,Raw_Orders!A405:A2833,0)),0)</f>
        <v>31</v>
      </c>
      <c r="J405" s="5" t="str">
        <f t="shared" si="24"/>
        <v>No</v>
      </c>
      <c r="K405" s="5" t="str">
        <f t="shared" si="25"/>
        <v>Yes</v>
      </c>
      <c r="L405" s="5" t="str">
        <f t="shared" si="27"/>
        <v>No</v>
      </c>
      <c r="M405" s="5">
        <f t="shared" si="26"/>
        <v>0</v>
      </c>
    </row>
    <row r="406" spans="1:13" x14ac:dyDescent="0.3">
      <c r="A406" s="2" t="s">
        <v>3035</v>
      </c>
      <c r="B406" s="2" t="s">
        <v>554</v>
      </c>
      <c r="C406" s="2" t="s">
        <v>2608</v>
      </c>
      <c r="D406" s="3">
        <v>45723</v>
      </c>
      <c r="E406" s="3">
        <v>45726</v>
      </c>
      <c r="F406" s="3">
        <v>45736</v>
      </c>
      <c r="G406" s="2" t="s">
        <v>2631</v>
      </c>
      <c r="H406" s="2">
        <v>6</v>
      </c>
      <c r="I406" s="2">
        <f>IFERROR(INDEX(Raw_Orders!H406:H2834,MATCH(B406,Raw_Orders!A406:A2834,0)),0)</f>
        <v>6</v>
      </c>
      <c r="J406" s="2" t="str">
        <f t="shared" si="24"/>
        <v>No</v>
      </c>
      <c r="K406" s="2" t="str">
        <f t="shared" si="25"/>
        <v>Yes</v>
      </c>
      <c r="L406" s="2" t="str">
        <f t="shared" si="27"/>
        <v>No</v>
      </c>
      <c r="M406" s="2">
        <f t="shared" si="26"/>
        <v>0</v>
      </c>
    </row>
    <row r="407" spans="1:13" x14ac:dyDescent="0.3">
      <c r="A407" s="5" t="s">
        <v>3036</v>
      </c>
      <c r="B407" s="5" t="s">
        <v>555</v>
      </c>
      <c r="C407" s="5" t="s">
        <v>2611</v>
      </c>
      <c r="D407" s="6">
        <v>45724</v>
      </c>
      <c r="E407" s="6">
        <v>45726</v>
      </c>
      <c r="F407" s="6">
        <v>45733</v>
      </c>
      <c r="G407" s="5" t="s">
        <v>2641</v>
      </c>
      <c r="H407" s="5">
        <v>17</v>
      </c>
      <c r="I407" s="5">
        <f>IFERROR(INDEX(Raw_Orders!H407:H2835,MATCH(B407,Raw_Orders!A407:A2835,0)),0)</f>
        <v>17</v>
      </c>
      <c r="J407" s="5" t="str">
        <f t="shared" si="24"/>
        <v>No</v>
      </c>
      <c r="K407" s="5" t="str">
        <f t="shared" si="25"/>
        <v>Yes</v>
      </c>
      <c r="L407" s="5" t="str">
        <f t="shared" si="27"/>
        <v>No</v>
      </c>
      <c r="M407" s="5">
        <f t="shared" si="26"/>
        <v>0</v>
      </c>
    </row>
    <row r="408" spans="1:13" x14ac:dyDescent="0.3">
      <c r="A408" s="2" t="s">
        <v>3037</v>
      </c>
      <c r="B408" s="2" t="s">
        <v>556</v>
      </c>
      <c r="C408" s="2" t="s">
        <v>2611</v>
      </c>
      <c r="D408" s="3">
        <v>45724</v>
      </c>
      <c r="E408" s="3">
        <v>45727</v>
      </c>
      <c r="F408" s="3">
        <v>45732</v>
      </c>
      <c r="G408" s="2" t="s">
        <v>2627</v>
      </c>
      <c r="H408" s="2">
        <v>46</v>
      </c>
      <c r="I408" s="2">
        <f>IFERROR(INDEX(Raw_Orders!H408:H2836,MATCH(B408,Raw_Orders!A408:A2836,0)),0)</f>
        <v>46</v>
      </c>
      <c r="J408" s="2" t="str">
        <f t="shared" si="24"/>
        <v>No</v>
      </c>
      <c r="K408" s="2" t="str">
        <f t="shared" si="25"/>
        <v>Yes</v>
      </c>
      <c r="L408" s="2" t="str">
        <f t="shared" si="27"/>
        <v>No</v>
      </c>
      <c r="M408" s="2">
        <f t="shared" si="26"/>
        <v>0</v>
      </c>
    </row>
    <row r="409" spans="1:13" x14ac:dyDescent="0.3">
      <c r="A409" s="5" t="s">
        <v>3038</v>
      </c>
      <c r="B409" s="5" t="s">
        <v>557</v>
      </c>
      <c r="C409" s="5" t="s">
        <v>2614</v>
      </c>
      <c r="D409" s="6">
        <v>45724</v>
      </c>
      <c r="E409" s="6">
        <v>45729</v>
      </c>
      <c r="F409" s="6">
        <v>45738</v>
      </c>
      <c r="G409" s="5" t="s">
        <v>2633</v>
      </c>
      <c r="H409" s="5">
        <v>25</v>
      </c>
      <c r="I409" s="5">
        <f>IFERROR(INDEX(Raw_Orders!H409:H2837,MATCH(B409,Raw_Orders!A409:A2837,0)),0)</f>
        <v>25</v>
      </c>
      <c r="J409" s="5" t="str">
        <f t="shared" si="24"/>
        <v>No</v>
      </c>
      <c r="K409" s="5" t="str">
        <f t="shared" si="25"/>
        <v>Yes</v>
      </c>
      <c r="L409" s="5" t="str">
        <f t="shared" si="27"/>
        <v>No</v>
      </c>
      <c r="M409" s="5">
        <f t="shared" si="26"/>
        <v>0</v>
      </c>
    </row>
    <row r="410" spans="1:13" x14ac:dyDescent="0.3">
      <c r="A410" s="2" t="s">
        <v>3039</v>
      </c>
      <c r="B410" s="2" t="s">
        <v>558</v>
      </c>
      <c r="C410" s="2" t="s">
        <v>2616</v>
      </c>
      <c r="D410" s="3">
        <v>45723</v>
      </c>
      <c r="E410" s="3">
        <v>45731</v>
      </c>
      <c r="F410" s="3">
        <v>45739</v>
      </c>
      <c r="G410" s="2" t="s">
        <v>2627</v>
      </c>
      <c r="H410" s="2">
        <v>23</v>
      </c>
      <c r="I410" s="2">
        <f>IFERROR(INDEX(Raw_Orders!H410:H2838,MATCH(B410,Raw_Orders!A410:A2838,0)),0)</f>
        <v>23</v>
      </c>
      <c r="J410" s="2" t="str">
        <f t="shared" si="24"/>
        <v>No</v>
      </c>
      <c r="K410" s="2" t="str">
        <f t="shared" si="25"/>
        <v>Yes</v>
      </c>
      <c r="L410" s="2" t="str">
        <f t="shared" si="27"/>
        <v>No</v>
      </c>
      <c r="M410" s="2">
        <f t="shared" si="26"/>
        <v>0</v>
      </c>
    </row>
    <row r="411" spans="1:13" x14ac:dyDescent="0.3">
      <c r="A411" s="5" t="s">
        <v>3040</v>
      </c>
      <c r="B411" s="5" t="s">
        <v>559</v>
      </c>
      <c r="C411" s="5" t="s">
        <v>2606</v>
      </c>
      <c r="D411" s="6">
        <v>45722</v>
      </c>
      <c r="E411" s="6">
        <v>45731</v>
      </c>
      <c r="F411" s="6">
        <v>45727</v>
      </c>
      <c r="G411" s="5" t="s">
        <v>2631</v>
      </c>
      <c r="H411" s="5">
        <v>37</v>
      </c>
      <c r="I411" s="5">
        <f>IFERROR(INDEX(Raw_Orders!H411:H2839,MATCH(B411,Raw_Orders!A411:A2839,0)),0)</f>
        <v>37</v>
      </c>
      <c r="J411" s="5" t="str">
        <f t="shared" si="24"/>
        <v>Yes</v>
      </c>
      <c r="K411" s="5" t="str">
        <f t="shared" si="25"/>
        <v>Yes</v>
      </c>
      <c r="L411" s="5" t="str">
        <f t="shared" si="27"/>
        <v>Yes</v>
      </c>
      <c r="M411" s="5">
        <f t="shared" si="26"/>
        <v>1</v>
      </c>
    </row>
    <row r="412" spans="1:13" x14ac:dyDescent="0.3">
      <c r="A412" s="2" t="s">
        <v>3041</v>
      </c>
      <c r="B412" s="2" t="s">
        <v>560</v>
      </c>
      <c r="C412" s="2" t="s">
        <v>2598</v>
      </c>
      <c r="D412" s="3">
        <v>45723</v>
      </c>
      <c r="E412" s="3">
        <v>45731</v>
      </c>
      <c r="F412" s="3">
        <v>45740</v>
      </c>
      <c r="G412" s="2" t="s">
        <v>2629</v>
      </c>
      <c r="H412" s="2">
        <v>45</v>
      </c>
      <c r="I412" s="2">
        <f>IFERROR(INDEX(Raw_Orders!H412:H2840,MATCH(B412,Raw_Orders!A412:A2840,0)),0)</f>
        <v>45</v>
      </c>
      <c r="J412" s="2" t="str">
        <f t="shared" si="24"/>
        <v>No</v>
      </c>
      <c r="K412" s="2" t="str">
        <f t="shared" si="25"/>
        <v>Yes</v>
      </c>
      <c r="L412" s="2" t="str">
        <f t="shared" si="27"/>
        <v>No</v>
      </c>
      <c r="M412" s="2">
        <f t="shared" si="26"/>
        <v>0</v>
      </c>
    </row>
    <row r="413" spans="1:13" x14ac:dyDescent="0.3">
      <c r="A413" s="5" t="s">
        <v>3042</v>
      </c>
      <c r="B413" s="5" t="s">
        <v>561</v>
      </c>
      <c r="C413" s="5" t="s">
        <v>2616</v>
      </c>
      <c r="D413" s="6">
        <v>45723</v>
      </c>
      <c r="E413" s="6">
        <v>45727</v>
      </c>
      <c r="F413" s="6">
        <v>45740</v>
      </c>
      <c r="G413" s="5" t="s">
        <v>2633</v>
      </c>
      <c r="H413" s="5">
        <v>9</v>
      </c>
      <c r="I413" s="5">
        <f>IFERROR(INDEX(Raw_Orders!H413:H2841,MATCH(B413,Raw_Orders!A413:A2841,0)),0)</f>
        <v>9</v>
      </c>
      <c r="J413" s="5" t="str">
        <f t="shared" si="24"/>
        <v>No</v>
      </c>
      <c r="K413" s="5" t="str">
        <f t="shared" si="25"/>
        <v>Yes</v>
      </c>
      <c r="L413" s="5" t="str">
        <f t="shared" si="27"/>
        <v>No</v>
      </c>
      <c r="M413" s="5">
        <f t="shared" si="26"/>
        <v>0</v>
      </c>
    </row>
    <row r="414" spans="1:13" x14ac:dyDescent="0.3">
      <c r="A414" s="2" t="s">
        <v>3043</v>
      </c>
      <c r="B414" s="2" t="s">
        <v>562</v>
      </c>
      <c r="C414" s="2" t="s">
        <v>2616</v>
      </c>
      <c r="D414" s="3">
        <v>45723</v>
      </c>
      <c r="E414" s="3">
        <v>45732</v>
      </c>
      <c r="F414" s="3">
        <v>45737</v>
      </c>
      <c r="G414" s="2" t="s">
        <v>2629</v>
      </c>
      <c r="H414" s="2">
        <v>70</v>
      </c>
      <c r="I414" s="2">
        <f>IFERROR(INDEX(Raw_Orders!H414:H2842,MATCH(B414,Raw_Orders!A414:A2842,0)),0)</f>
        <v>70</v>
      </c>
      <c r="J414" s="2" t="str">
        <f t="shared" si="24"/>
        <v>No</v>
      </c>
      <c r="K414" s="2" t="str">
        <f t="shared" si="25"/>
        <v>Yes</v>
      </c>
      <c r="L414" s="2" t="str">
        <f t="shared" si="27"/>
        <v>No</v>
      </c>
      <c r="M414" s="2">
        <f t="shared" si="26"/>
        <v>0</v>
      </c>
    </row>
    <row r="415" spans="1:13" x14ac:dyDescent="0.3">
      <c r="A415" s="5" t="s">
        <v>3044</v>
      </c>
      <c r="B415" s="5" t="s">
        <v>563</v>
      </c>
      <c r="C415" s="5" t="s">
        <v>2606</v>
      </c>
      <c r="D415" s="6">
        <v>45723</v>
      </c>
      <c r="E415" s="6">
        <v>45732</v>
      </c>
      <c r="F415" s="6">
        <v>45733</v>
      </c>
      <c r="G415" s="5" t="s">
        <v>2631</v>
      </c>
      <c r="H415" s="5">
        <v>23</v>
      </c>
      <c r="I415" s="5">
        <f>IFERROR(INDEX(Raw_Orders!H415:H2843,MATCH(B415,Raw_Orders!A415:A2843,0)),0)</f>
        <v>23</v>
      </c>
      <c r="J415" s="5" t="str">
        <f t="shared" si="24"/>
        <v>No</v>
      </c>
      <c r="K415" s="5" t="str">
        <f t="shared" si="25"/>
        <v>Yes</v>
      </c>
      <c r="L415" s="5" t="str">
        <f t="shared" si="27"/>
        <v>No</v>
      </c>
      <c r="M415" s="5">
        <f t="shared" si="26"/>
        <v>0</v>
      </c>
    </row>
    <row r="416" spans="1:13" x14ac:dyDescent="0.3">
      <c r="A416" s="2" t="s">
        <v>3045</v>
      </c>
      <c r="B416" s="2" t="s">
        <v>564</v>
      </c>
      <c r="C416" s="2" t="s">
        <v>2606</v>
      </c>
      <c r="D416" s="3">
        <v>45723</v>
      </c>
      <c r="E416" s="3">
        <v>45729</v>
      </c>
      <c r="F416" s="3">
        <v>45729</v>
      </c>
      <c r="G416" s="2" t="s">
        <v>2629</v>
      </c>
      <c r="H416" s="2">
        <v>22</v>
      </c>
      <c r="I416" s="2">
        <f>IFERROR(INDEX(Raw_Orders!H416:H2844,MATCH(B416,Raw_Orders!A416:A2844,0)),0)</f>
        <v>22</v>
      </c>
      <c r="J416" s="2" t="str">
        <f t="shared" si="24"/>
        <v>Yes</v>
      </c>
      <c r="K416" s="2" t="str">
        <f t="shared" si="25"/>
        <v>Yes</v>
      </c>
      <c r="L416" s="2" t="str">
        <f t="shared" si="27"/>
        <v>Yes</v>
      </c>
      <c r="M416" s="2">
        <f t="shared" si="26"/>
        <v>1</v>
      </c>
    </row>
    <row r="417" spans="1:13" x14ac:dyDescent="0.3">
      <c r="A417" s="5" t="s">
        <v>3046</v>
      </c>
      <c r="B417" s="5" t="s">
        <v>565</v>
      </c>
      <c r="C417" s="5" t="s">
        <v>2608</v>
      </c>
      <c r="D417" s="6">
        <v>45723</v>
      </c>
      <c r="E417" s="6">
        <v>45727</v>
      </c>
      <c r="F417" s="6">
        <v>45737</v>
      </c>
      <c r="G417" s="5" t="s">
        <v>2627</v>
      </c>
      <c r="H417" s="5">
        <v>36</v>
      </c>
      <c r="I417" s="5">
        <f>IFERROR(INDEX(Raw_Orders!H417:H2845,MATCH(B417,Raw_Orders!A417:A2845,0)),0)</f>
        <v>36</v>
      </c>
      <c r="J417" s="5" t="str">
        <f t="shared" si="24"/>
        <v>No</v>
      </c>
      <c r="K417" s="5" t="str">
        <f t="shared" si="25"/>
        <v>Yes</v>
      </c>
      <c r="L417" s="5" t="str">
        <f t="shared" si="27"/>
        <v>No</v>
      </c>
      <c r="M417" s="5">
        <f t="shared" si="26"/>
        <v>0</v>
      </c>
    </row>
    <row r="418" spans="1:13" x14ac:dyDescent="0.3">
      <c r="A418" s="2" t="s">
        <v>3047</v>
      </c>
      <c r="B418" s="2" t="s">
        <v>566</v>
      </c>
      <c r="C418" s="2" t="s">
        <v>2611</v>
      </c>
      <c r="D418" s="3">
        <v>45726</v>
      </c>
      <c r="E418" s="3">
        <v>45734</v>
      </c>
      <c r="F418" s="3">
        <v>45732</v>
      </c>
      <c r="G418" s="2" t="s">
        <v>2633</v>
      </c>
      <c r="H418" s="2">
        <v>44</v>
      </c>
      <c r="I418" s="2">
        <f>IFERROR(INDEX(Raw_Orders!H418:H2846,MATCH(B418,Raw_Orders!A418:A2846,0)),0)</f>
        <v>44</v>
      </c>
      <c r="J418" s="2" t="str">
        <f t="shared" si="24"/>
        <v>Yes</v>
      </c>
      <c r="K418" s="2" t="str">
        <f t="shared" si="25"/>
        <v>Yes</v>
      </c>
      <c r="L418" s="2" t="str">
        <f t="shared" si="27"/>
        <v>Yes</v>
      </c>
      <c r="M418" s="2">
        <f t="shared" si="26"/>
        <v>1</v>
      </c>
    </row>
    <row r="419" spans="1:13" x14ac:dyDescent="0.3">
      <c r="A419" s="5" t="s">
        <v>3048</v>
      </c>
      <c r="B419" s="5" t="s">
        <v>567</v>
      </c>
      <c r="C419" s="5" t="s">
        <v>2598</v>
      </c>
      <c r="D419" s="6">
        <v>45724</v>
      </c>
      <c r="E419" s="6">
        <v>45729</v>
      </c>
      <c r="F419" s="6">
        <v>45738</v>
      </c>
      <c r="G419" s="5" t="s">
        <v>2631</v>
      </c>
      <c r="H419" s="5">
        <v>20</v>
      </c>
      <c r="I419" s="5">
        <f>IFERROR(INDEX(Raw_Orders!H419:H2847,MATCH(B419,Raw_Orders!A419:A2847,0)),0)</f>
        <v>20</v>
      </c>
      <c r="J419" s="5" t="str">
        <f t="shared" si="24"/>
        <v>No</v>
      </c>
      <c r="K419" s="5" t="str">
        <f t="shared" si="25"/>
        <v>Yes</v>
      </c>
      <c r="L419" s="5" t="str">
        <f t="shared" si="27"/>
        <v>No</v>
      </c>
      <c r="M419" s="5">
        <f t="shared" si="26"/>
        <v>0</v>
      </c>
    </row>
    <row r="420" spans="1:13" x14ac:dyDescent="0.3">
      <c r="A420" s="2" t="s">
        <v>3049</v>
      </c>
      <c r="B420" s="2" t="s">
        <v>568</v>
      </c>
      <c r="C420" s="2" t="s">
        <v>2614</v>
      </c>
      <c r="D420" s="3">
        <v>45724</v>
      </c>
      <c r="E420" s="3">
        <v>45731</v>
      </c>
      <c r="F420" s="3">
        <v>45738</v>
      </c>
      <c r="G420" s="2" t="s">
        <v>2631</v>
      </c>
      <c r="H420" s="2">
        <v>38</v>
      </c>
      <c r="I420" s="2">
        <f>IFERROR(INDEX(Raw_Orders!H420:H2848,MATCH(B420,Raw_Orders!A420:A2848,0)),0)</f>
        <v>38</v>
      </c>
      <c r="J420" s="2" t="str">
        <f t="shared" si="24"/>
        <v>No</v>
      </c>
      <c r="K420" s="2" t="str">
        <f t="shared" si="25"/>
        <v>Yes</v>
      </c>
      <c r="L420" s="2" t="str">
        <f t="shared" si="27"/>
        <v>No</v>
      </c>
      <c r="M420" s="2">
        <f t="shared" si="26"/>
        <v>0</v>
      </c>
    </row>
    <row r="421" spans="1:13" x14ac:dyDescent="0.3">
      <c r="A421" s="5" t="s">
        <v>3050</v>
      </c>
      <c r="B421" s="5" t="s">
        <v>569</v>
      </c>
      <c r="C421" s="5" t="s">
        <v>2614</v>
      </c>
      <c r="D421" s="6">
        <v>45724</v>
      </c>
      <c r="E421" s="6">
        <v>45731</v>
      </c>
      <c r="F421" s="6">
        <v>45737</v>
      </c>
      <c r="G421" s="5" t="s">
        <v>2629</v>
      </c>
      <c r="H421" s="5">
        <v>12</v>
      </c>
      <c r="I421" s="5">
        <f>IFERROR(INDEX(Raw_Orders!H421:H2849,MATCH(B421,Raw_Orders!A421:A2849,0)),0)</f>
        <v>12</v>
      </c>
      <c r="J421" s="5" t="str">
        <f t="shared" si="24"/>
        <v>No</v>
      </c>
      <c r="K421" s="5" t="str">
        <f t="shared" si="25"/>
        <v>Yes</v>
      </c>
      <c r="L421" s="5" t="str">
        <f t="shared" si="27"/>
        <v>No</v>
      </c>
      <c r="M421" s="5">
        <f t="shared" si="26"/>
        <v>0</v>
      </c>
    </row>
    <row r="422" spans="1:13" x14ac:dyDescent="0.3">
      <c r="A422" s="2" t="s">
        <v>3051</v>
      </c>
      <c r="B422" s="2" t="s">
        <v>570</v>
      </c>
      <c r="C422" s="2" t="s">
        <v>2616</v>
      </c>
      <c r="D422" s="3">
        <v>45726</v>
      </c>
      <c r="E422" s="3">
        <v>45728</v>
      </c>
      <c r="F422" s="3">
        <v>45745</v>
      </c>
      <c r="G422" s="2" t="s">
        <v>2631</v>
      </c>
      <c r="H422" s="2">
        <v>44</v>
      </c>
      <c r="I422" s="2">
        <f>IFERROR(INDEX(Raw_Orders!H422:H2850,MATCH(B422,Raw_Orders!A422:A2850,0)),0)</f>
        <v>44</v>
      </c>
      <c r="J422" s="2" t="str">
        <f t="shared" si="24"/>
        <v>No</v>
      </c>
      <c r="K422" s="2" t="str">
        <f t="shared" si="25"/>
        <v>Yes</v>
      </c>
      <c r="L422" s="2" t="str">
        <f t="shared" si="27"/>
        <v>No</v>
      </c>
      <c r="M422" s="2">
        <f t="shared" si="26"/>
        <v>0</v>
      </c>
    </row>
    <row r="423" spans="1:13" x14ac:dyDescent="0.3">
      <c r="A423" s="5" t="s">
        <v>3052</v>
      </c>
      <c r="B423" s="5" t="s">
        <v>571</v>
      </c>
      <c r="C423" s="5" t="s">
        <v>2606</v>
      </c>
      <c r="D423" s="6">
        <v>45725</v>
      </c>
      <c r="E423" s="6">
        <v>45729</v>
      </c>
      <c r="F423" s="6">
        <v>45731</v>
      </c>
      <c r="G423" s="5" t="s">
        <v>2627</v>
      </c>
      <c r="H423" s="5">
        <v>28</v>
      </c>
      <c r="I423" s="5">
        <f>IFERROR(INDEX(Raw_Orders!H423:H2851,MATCH(B423,Raw_Orders!A423:A2851,0)),0)</f>
        <v>28</v>
      </c>
      <c r="J423" s="5" t="str">
        <f t="shared" si="24"/>
        <v>No</v>
      </c>
      <c r="K423" s="5" t="str">
        <f t="shared" si="25"/>
        <v>Yes</v>
      </c>
      <c r="L423" s="5" t="str">
        <f t="shared" si="27"/>
        <v>No</v>
      </c>
      <c r="M423" s="5">
        <f t="shared" si="26"/>
        <v>0</v>
      </c>
    </row>
    <row r="424" spans="1:13" x14ac:dyDescent="0.3">
      <c r="A424" s="2" t="s">
        <v>3053</v>
      </c>
      <c r="B424" s="2" t="s">
        <v>572</v>
      </c>
      <c r="C424" s="2" t="s">
        <v>2606</v>
      </c>
      <c r="D424" s="3">
        <v>45725</v>
      </c>
      <c r="E424" s="3">
        <v>45728</v>
      </c>
      <c r="F424" s="3">
        <v>45731</v>
      </c>
      <c r="G424" s="2" t="s">
        <v>2627</v>
      </c>
      <c r="H424" s="2">
        <v>30</v>
      </c>
      <c r="I424" s="2">
        <f>IFERROR(INDEX(Raw_Orders!H424:H2852,MATCH(B424,Raw_Orders!A424:A2852,0)),0)</f>
        <v>35</v>
      </c>
      <c r="J424" s="2" t="str">
        <f t="shared" si="24"/>
        <v>No</v>
      </c>
      <c r="K424" s="2" t="str">
        <f t="shared" si="25"/>
        <v>N0</v>
      </c>
      <c r="L424" s="2" t="str">
        <f t="shared" si="27"/>
        <v>No</v>
      </c>
      <c r="M424" s="2">
        <f t="shared" si="26"/>
        <v>0</v>
      </c>
    </row>
    <row r="425" spans="1:13" x14ac:dyDescent="0.3">
      <c r="A425" s="5" t="s">
        <v>3054</v>
      </c>
      <c r="B425" s="5" t="s">
        <v>573</v>
      </c>
      <c r="C425" s="5" t="s">
        <v>2608</v>
      </c>
      <c r="D425" s="6">
        <v>45725</v>
      </c>
      <c r="E425" s="6">
        <v>45727</v>
      </c>
      <c r="F425" s="6">
        <v>45738</v>
      </c>
      <c r="G425" s="5" t="s">
        <v>2627</v>
      </c>
      <c r="H425" s="5">
        <v>33</v>
      </c>
      <c r="I425" s="5">
        <f>IFERROR(INDEX(Raw_Orders!H425:H2853,MATCH(B425,Raw_Orders!A425:A2853,0)),0)</f>
        <v>33</v>
      </c>
      <c r="J425" s="5" t="str">
        <f t="shared" si="24"/>
        <v>No</v>
      </c>
      <c r="K425" s="5" t="str">
        <f t="shared" si="25"/>
        <v>Yes</v>
      </c>
      <c r="L425" s="5" t="str">
        <f t="shared" si="27"/>
        <v>No</v>
      </c>
      <c r="M425" s="5">
        <f t="shared" si="26"/>
        <v>0</v>
      </c>
    </row>
    <row r="426" spans="1:13" x14ac:dyDescent="0.3">
      <c r="A426" s="2" t="s">
        <v>3055</v>
      </c>
      <c r="B426" s="2" t="s">
        <v>574</v>
      </c>
      <c r="C426" s="2" t="s">
        <v>2608</v>
      </c>
      <c r="D426" s="3">
        <v>45726</v>
      </c>
      <c r="E426" s="3">
        <v>45727</v>
      </c>
      <c r="F426" s="3">
        <v>45739</v>
      </c>
      <c r="G426" s="2" t="s">
        <v>2627</v>
      </c>
      <c r="H426" s="2">
        <v>13</v>
      </c>
      <c r="I426" s="2">
        <f>IFERROR(INDEX(Raw_Orders!H426:H2854,MATCH(B426,Raw_Orders!A426:A2854,0)),0)</f>
        <v>13</v>
      </c>
      <c r="J426" s="2" t="str">
        <f t="shared" si="24"/>
        <v>No</v>
      </c>
      <c r="K426" s="2" t="str">
        <f t="shared" si="25"/>
        <v>Yes</v>
      </c>
      <c r="L426" s="2" t="str">
        <f t="shared" si="27"/>
        <v>No</v>
      </c>
      <c r="M426" s="2">
        <f t="shared" si="26"/>
        <v>0</v>
      </c>
    </row>
    <row r="427" spans="1:13" x14ac:dyDescent="0.3">
      <c r="A427" s="5" t="s">
        <v>3056</v>
      </c>
      <c r="B427" s="5" t="s">
        <v>575</v>
      </c>
      <c r="C427" s="5" t="s">
        <v>2611</v>
      </c>
      <c r="D427" s="6">
        <v>45725</v>
      </c>
      <c r="E427" s="6">
        <v>45731</v>
      </c>
      <c r="F427" s="6">
        <v>45732</v>
      </c>
      <c r="G427" s="5" t="s">
        <v>2631</v>
      </c>
      <c r="H427" s="5">
        <v>55</v>
      </c>
      <c r="I427" s="5">
        <f>IFERROR(INDEX(Raw_Orders!H427:H2855,MATCH(B427,Raw_Orders!A427:A2855,0)),0)</f>
        <v>55</v>
      </c>
      <c r="J427" s="5" t="str">
        <f t="shared" si="24"/>
        <v>No</v>
      </c>
      <c r="K427" s="5" t="str">
        <f t="shared" si="25"/>
        <v>Yes</v>
      </c>
      <c r="L427" s="5" t="str">
        <f t="shared" si="27"/>
        <v>No</v>
      </c>
      <c r="M427" s="5">
        <f t="shared" si="26"/>
        <v>0</v>
      </c>
    </row>
    <row r="428" spans="1:13" x14ac:dyDescent="0.3">
      <c r="A428" s="2" t="s">
        <v>3057</v>
      </c>
      <c r="B428" s="2" t="s">
        <v>576</v>
      </c>
      <c r="C428" s="2" t="s">
        <v>2598</v>
      </c>
      <c r="D428" s="3">
        <v>45726</v>
      </c>
      <c r="E428" s="3">
        <v>45728</v>
      </c>
      <c r="F428" s="3">
        <v>45739</v>
      </c>
      <c r="G428" s="2" t="s">
        <v>2627</v>
      </c>
      <c r="H428" s="2">
        <v>22</v>
      </c>
      <c r="I428" s="2">
        <f>IFERROR(INDEX(Raw_Orders!H428:H2856,MATCH(B428,Raw_Orders!A428:A2856,0)),0)</f>
        <v>22</v>
      </c>
      <c r="J428" s="2" t="str">
        <f t="shared" si="24"/>
        <v>No</v>
      </c>
      <c r="K428" s="2" t="str">
        <f t="shared" si="25"/>
        <v>Yes</v>
      </c>
      <c r="L428" s="2" t="str">
        <f t="shared" si="27"/>
        <v>No</v>
      </c>
      <c r="M428" s="2">
        <f t="shared" si="26"/>
        <v>0</v>
      </c>
    </row>
    <row r="429" spans="1:13" x14ac:dyDescent="0.3">
      <c r="A429" s="5" t="s">
        <v>3058</v>
      </c>
      <c r="B429" s="5" t="s">
        <v>577</v>
      </c>
      <c r="C429" s="5" t="s">
        <v>2614</v>
      </c>
      <c r="D429" s="6">
        <v>45726</v>
      </c>
      <c r="E429" s="6">
        <v>45735</v>
      </c>
      <c r="F429" s="6">
        <v>45740</v>
      </c>
      <c r="G429" s="5" t="s">
        <v>2641</v>
      </c>
      <c r="H429" s="5">
        <v>16</v>
      </c>
      <c r="I429" s="5">
        <f>IFERROR(INDEX(Raw_Orders!H429:H2857,MATCH(B429,Raw_Orders!A429:A2857,0)),0)</f>
        <v>16</v>
      </c>
      <c r="J429" s="5" t="str">
        <f t="shared" si="24"/>
        <v>No</v>
      </c>
      <c r="K429" s="5" t="str">
        <f t="shared" si="25"/>
        <v>Yes</v>
      </c>
      <c r="L429" s="5" t="str">
        <f t="shared" si="27"/>
        <v>No</v>
      </c>
      <c r="M429" s="5">
        <f t="shared" si="26"/>
        <v>0</v>
      </c>
    </row>
    <row r="430" spans="1:13" x14ac:dyDescent="0.3">
      <c r="A430" s="2" t="s">
        <v>3059</v>
      </c>
      <c r="B430" s="2" t="s">
        <v>578</v>
      </c>
      <c r="C430" s="2" t="s">
        <v>2616</v>
      </c>
      <c r="D430" s="3">
        <v>45726</v>
      </c>
      <c r="E430" s="3">
        <v>45731</v>
      </c>
      <c r="F430" s="3">
        <v>45743</v>
      </c>
      <c r="G430" s="2" t="s">
        <v>2633</v>
      </c>
      <c r="H430" s="2">
        <v>13</v>
      </c>
      <c r="I430" s="2">
        <f>IFERROR(INDEX(Raw_Orders!H430:H2858,MATCH(B430,Raw_Orders!A430:A2858,0)),0)</f>
        <v>13</v>
      </c>
      <c r="J430" s="2" t="str">
        <f t="shared" si="24"/>
        <v>No</v>
      </c>
      <c r="K430" s="2" t="str">
        <f t="shared" si="25"/>
        <v>Yes</v>
      </c>
      <c r="L430" s="2" t="str">
        <f t="shared" si="27"/>
        <v>No</v>
      </c>
      <c r="M430" s="2">
        <f t="shared" si="26"/>
        <v>0</v>
      </c>
    </row>
    <row r="431" spans="1:13" x14ac:dyDescent="0.3">
      <c r="A431" s="5" t="s">
        <v>3060</v>
      </c>
      <c r="B431" s="5" t="s">
        <v>579</v>
      </c>
      <c r="C431" s="5" t="s">
        <v>2616</v>
      </c>
      <c r="D431" s="6">
        <v>45727</v>
      </c>
      <c r="E431" s="6">
        <v>45733</v>
      </c>
      <c r="F431" s="6">
        <v>45742</v>
      </c>
      <c r="G431" s="5" t="s">
        <v>2627</v>
      </c>
      <c r="H431" s="5">
        <v>19</v>
      </c>
      <c r="I431" s="5">
        <f>IFERROR(INDEX(Raw_Orders!H431:H2859,MATCH(B431,Raw_Orders!A431:A2859,0)),0)</f>
        <v>19</v>
      </c>
      <c r="J431" s="5" t="str">
        <f t="shared" si="24"/>
        <v>No</v>
      </c>
      <c r="K431" s="5" t="str">
        <f t="shared" si="25"/>
        <v>Yes</v>
      </c>
      <c r="L431" s="5" t="str">
        <f t="shared" si="27"/>
        <v>No</v>
      </c>
      <c r="M431" s="5">
        <f t="shared" si="26"/>
        <v>0</v>
      </c>
    </row>
    <row r="432" spans="1:13" x14ac:dyDescent="0.3">
      <c r="A432" s="2" t="s">
        <v>3061</v>
      </c>
      <c r="B432" s="2" t="s">
        <v>580</v>
      </c>
      <c r="C432" s="2" t="s">
        <v>2608</v>
      </c>
      <c r="D432" s="3">
        <v>45725</v>
      </c>
      <c r="E432" s="3">
        <v>45733</v>
      </c>
      <c r="F432" s="3">
        <v>45737</v>
      </c>
      <c r="G432" s="2" t="s">
        <v>2629</v>
      </c>
      <c r="H432" s="2">
        <v>9</v>
      </c>
      <c r="I432" s="2">
        <f>IFERROR(INDEX(Raw_Orders!H432:H2860,MATCH(B432,Raw_Orders!A432:A2860,0)),0)</f>
        <v>9</v>
      </c>
      <c r="J432" s="2" t="str">
        <f t="shared" si="24"/>
        <v>No</v>
      </c>
      <c r="K432" s="2" t="str">
        <f t="shared" si="25"/>
        <v>Yes</v>
      </c>
      <c r="L432" s="2" t="str">
        <f t="shared" si="27"/>
        <v>No</v>
      </c>
      <c r="M432" s="2">
        <f t="shared" si="26"/>
        <v>0</v>
      </c>
    </row>
    <row r="433" spans="1:13" x14ac:dyDescent="0.3">
      <c r="A433" s="5" t="s">
        <v>3062</v>
      </c>
      <c r="B433" s="5" t="s">
        <v>581</v>
      </c>
      <c r="C433" s="5" t="s">
        <v>2598</v>
      </c>
      <c r="D433" s="6">
        <v>45726</v>
      </c>
      <c r="E433" s="6">
        <v>45735</v>
      </c>
      <c r="F433" s="6">
        <v>45738</v>
      </c>
      <c r="G433" s="5" t="s">
        <v>2641</v>
      </c>
      <c r="H433" s="5">
        <v>11</v>
      </c>
      <c r="I433" s="5">
        <f>IFERROR(INDEX(Raw_Orders!H433:H2861,MATCH(B433,Raw_Orders!A433:A2861,0)),0)</f>
        <v>16</v>
      </c>
      <c r="J433" s="5" t="str">
        <f t="shared" si="24"/>
        <v>No</v>
      </c>
      <c r="K433" s="5" t="str">
        <f t="shared" si="25"/>
        <v>N0</v>
      </c>
      <c r="L433" s="5" t="str">
        <f t="shared" si="27"/>
        <v>No</v>
      </c>
      <c r="M433" s="5">
        <f t="shared" si="26"/>
        <v>0</v>
      </c>
    </row>
    <row r="434" spans="1:13" x14ac:dyDescent="0.3">
      <c r="A434" s="2" t="s">
        <v>3063</v>
      </c>
      <c r="B434" s="2" t="s">
        <v>582</v>
      </c>
      <c r="C434" s="2" t="s">
        <v>2611</v>
      </c>
      <c r="D434" s="3">
        <v>45727</v>
      </c>
      <c r="E434" s="3">
        <v>45736</v>
      </c>
      <c r="F434" s="3">
        <v>45734</v>
      </c>
      <c r="G434" s="2" t="s">
        <v>2629</v>
      </c>
      <c r="H434" s="2">
        <v>26</v>
      </c>
      <c r="I434" s="2">
        <f>IFERROR(INDEX(Raw_Orders!H434:H2862,MATCH(B434,Raw_Orders!A434:A2862,0)),0)</f>
        <v>26</v>
      </c>
      <c r="J434" s="2" t="str">
        <f t="shared" si="24"/>
        <v>Yes</v>
      </c>
      <c r="K434" s="2" t="str">
        <f t="shared" si="25"/>
        <v>Yes</v>
      </c>
      <c r="L434" s="2" t="str">
        <f t="shared" si="27"/>
        <v>Yes</v>
      </c>
      <c r="M434" s="2">
        <f t="shared" si="26"/>
        <v>1</v>
      </c>
    </row>
    <row r="435" spans="1:13" x14ac:dyDescent="0.3">
      <c r="A435" s="5" t="s">
        <v>3064</v>
      </c>
      <c r="B435" s="5" t="s">
        <v>583</v>
      </c>
      <c r="C435" s="5" t="s">
        <v>2614</v>
      </c>
      <c r="D435" s="6">
        <v>45727</v>
      </c>
      <c r="E435" s="6">
        <v>45732</v>
      </c>
      <c r="F435" s="6">
        <v>45741</v>
      </c>
      <c r="G435" s="5" t="s">
        <v>2631</v>
      </c>
      <c r="H435" s="5">
        <v>26</v>
      </c>
      <c r="I435" s="5">
        <f>IFERROR(INDEX(Raw_Orders!H435:H2863,MATCH(B435,Raw_Orders!A435:A2863,0)),0)</f>
        <v>26</v>
      </c>
      <c r="J435" s="5" t="str">
        <f t="shared" si="24"/>
        <v>No</v>
      </c>
      <c r="K435" s="5" t="str">
        <f t="shared" si="25"/>
        <v>Yes</v>
      </c>
      <c r="L435" s="5" t="str">
        <f t="shared" si="27"/>
        <v>No</v>
      </c>
      <c r="M435" s="5">
        <f t="shared" si="26"/>
        <v>0</v>
      </c>
    </row>
    <row r="436" spans="1:13" x14ac:dyDescent="0.3">
      <c r="A436" s="2" t="s">
        <v>3065</v>
      </c>
      <c r="B436" s="2" t="s">
        <v>584</v>
      </c>
      <c r="C436" s="2" t="s">
        <v>2604</v>
      </c>
      <c r="D436" s="3">
        <v>45727</v>
      </c>
      <c r="E436" s="3">
        <v>45730</v>
      </c>
      <c r="F436" s="3">
        <v>45730</v>
      </c>
      <c r="G436" s="2" t="s">
        <v>2627</v>
      </c>
      <c r="H436" s="2">
        <v>12</v>
      </c>
      <c r="I436" s="2">
        <f>IFERROR(INDEX(Raw_Orders!H436:H2864,MATCH(B436,Raw_Orders!A436:A2864,0)),0)</f>
        <v>15</v>
      </c>
      <c r="J436" s="2" t="str">
        <f t="shared" si="24"/>
        <v>Yes</v>
      </c>
      <c r="K436" s="2" t="str">
        <f t="shared" si="25"/>
        <v>N0</v>
      </c>
      <c r="L436" s="2" t="str">
        <f t="shared" si="27"/>
        <v>No</v>
      </c>
      <c r="M436" s="2">
        <f t="shared" si="26"/>
        <v>0</v>
      </c>
    </row>
    <row r="437" spans="1:13" x14ac:dyDescent="0.3">
      <c r="A437" s="5" t="s">
        <v>3066</v>
      </c>
      <c r="B437" s="5" t="s">
        <v>585</v>
      </c>
      <c r="C437" s="5" t="s">
        <v>2604</v>
      </c>
      <c r="D437" s="6">
        <v>45726</v>
      </c>
      <c r="E437" s="6">
        <v>45729</v>
      </c>
      <c r="F437" s="6">
        <v>45730</v>
      </c>
      <c r="G437" s="5" t="s">
        <v>2631</v>
      </c>
      <c r="H437" s="5">
        <v>19</v>
      </c>
      <c r="I437" s="5">
        <f>IFERROR(INDEX(Raw_Orders!H437:H2865,MATCH(B437,Raw_Orders!A437:A2865,0)),0)</f>
        <v>19</v>
      </c>
      <c r="J437" s="5" t="str">
        <f t="shared" si="24"/>
        <v>No</v>
      </c>
      <c r="K437" s="5" t="str">
        <f t="shared" si="25"/>
        <v>Yes</v>
      </c>
      <c r="L437" s="5" t="str">
        <f t="shared" si="27"/>
        <v>No</v>
      </c>
      <c r="M437" s="5">
        <f t="shared" si="26"/>
        <v>0</v>
      </c>
    </row>
    <row r="438" spans="1:13" x14ac:dyDescent="0.3">
      <c r="A438" s="2" t="s">
        <v>3067</v>
      </c>
      <c r="B438" s="2" t="s">
        <v>586</v>
      </c>
      <c r="C438" s="2" t="s">
        <v>2606</v>
      </c>
      <c r="D438" s="3">
        <v>45728</v>
      </c>
      <c r="E438" s="3">
        <v>45735</v>
      </c>
      <c r="F438" s="3">
        <v>45738</v>
      </c>
      <c r="G438" s="2" t="s">
        <v>2629</v>
      </c>
      <c r="H438" s="2">
        <v>37</v>
      </c>
      <c r="I438" s="2">
        <f>IFERROR(INDEX(Raw_Orders!H438:H2866,MATCH(B438,Raw_Orders!A438:A2866,0)),0)</f>
        <v>37</v>
      </c>
      <c r="J438" s="2" t="str">
        <f t="shared" si="24"/>
        <v>No</v>
      </c>
      <c r="K438" s="2" t="str">
        <f t="shared" si="25"/>
        <v>Yes</v>
      </c>
      <c r="L438" s="2" t="str">
        <f t="shared" si="27"/>
        <v>No</v>
      </c>
      <c r="M438" s="2">
        <f t="shared" si="26"/>
        <v>0</v>
      </c>
    </row>
    <row r="439" spans="1:13" x14ac:dyDescent="0.3">
      <c r="A439" s="5" t="s">
        <v>3068</v>
      </c>
      <c r="B439" s="5" t="s">
        <v>587</v>
      </c>
      <c r="C439" s="5" t="s">
        <v>2606</v>
      </c>
      <c r="D439" s="6">
        <v>45726</v>
      </c>
      <c r="E439" s="6">
        <v>45733</v>
      </c>
      <c r="F439" s="6">
        <v>45736</v>
      </c>
      <c r="G439" s="5" t="s">
        <v>2631</v>
      </c>
      <c r="H439" s="5">
        <v>50</v>
      </c>
      <c r="I439" s="5">
        <f>IFERROR(INDEX(Raw_Orders!H439:H2867,MATCH(B439,Raw_Orders!A439:A2867,0)),0)</f>
        <v>50</v>
      </c>
      <c r="J439" s="5" t="str">
        <f t="shared" si="24"/>
        <v>No</v>
      </c>
      <c r="K439" s="5" t="str">
        <f t="shared" si="25"/>
        <v>Yes</v>
      </c>
      <c r="L439" s="5" t="str">
        <f t="shared" si="27"/>
        <v>No</v>
      </c>
      <c r="M439" s="5">
        <f t="shared" si="26"/>
        <v>0</v>
      </c>
    </row>
    <row r="440" spans="1:13" x14ac:dyDescent="0.3">
      <c r="A440" s="2" t="s">
        <v>3069</v>
      </c>
      <c r="B440" s="2" t="s">
        <v>588</v>
      </c>
      <c r="C440" s="2" t="s">
        <v>2608</v>
      </c>
      <c r="D440" s="3">
        <v>45726</v>
      </c>
      <c r="E440" s="3">
        <v>45730</v>
      </c>
      <c r="F440" s="3">
        <v>45739</v>
      </c>
      <c r="G440" s="2" t="s">
        <v>2629</v>
      </c>
      <c r="H440" s="2">
        <v>26</v>
      </c>
      <c r="I440" s="2">
        <f>IFERROR(INDEX(Raw_Orders!H440:H2868,MATCH(B440,Raw_Orders!A440:A2868,0)),0)</f>
        <v>26</v>
      </c>
      <c r="J440" s="2" t="str">
        <f t="shared" si="24"/>
        <v>No</v>
      </c>
      <c r="K440" s="2" t="str">
        <f t="shared" si="25"/>
        <v>Yes</v>
      </c>
      <c r="L440" s="2" t="str">
        <f t="shared" si="27"/>
        <v>No</v>
      </c>
      <c r="M440" s="2">
        <f t="shared" si="26"/>
        <v>0</v>
      </c>
    </row>
    <row r="441" spans="1:13" x14ac:dyDescent="0.3">
      <c r="A441" s="5" t="s">
        <v>3070</v>
      </c>
      <c r="B441" s="5" t="s">
        <v>589</v>
      </c>
      <c r="C441" s="5" t="s">
        <v>2608</v>
      </c>
      <c r="D441" s="6">
        <v>45728</v>
      </c>
      <c r="E441" s="6">
        <v>45734</v>
      </c>
      <c r="F441" s="6">
        <v>45741</v>
      </c>
      <c r="G441" s="5" t="s">
        <v>2641</v>
      </c>
      <c r="H441" s="5">
        <v>7</v>
      </c>
      <c r="I441" s="5">
        <f>IFERROR(INDEX(Raw_Orders!H441:H2869,MATCH(B441,Raw_Orders!A441:A2869,0)),0)</f>
        <v>7</v>
      </c>
      <c r="J441" s="5" t="str">
        <f t="shared" si="24"/>
        <v>No</v>
      </c>
      <c r="K441" s="5" t="str">
        <f t="shared" si="25"/>
        <v>Yes</v>
      </c>
      <c r="L441" s="5" t="str">
        <f t="shared" si="27"/>
        <v>No</v>
      </c>
      <c r="M441" s="5">
        <f t="shared" si="26"/>
        <v>0</v>
      </c>
    </row>
    <row r="442" spans="1:13" x14ac:dyDescent="0.3">
      <c r="A442" s="2" t="s">
        <v>3071</v>
      </c>
      <c r="B442" s="2" t="s">
        <v>590</v>
      </c>
      <c r="C442" s="2" t="s">
        <v>2601</v>
      </c>
      <c r="D442" s="3">
        <v>45727</v>
      </c>
      <c r="E442" s="3">
        <v>45730</v>
      </c>
      <c r="F442" s="3">
        <v>45732</v>
      </c>
      <c r="G442" s="2" t="s">
        <v>2627</v>
      </c>
      <c r="H442" s="2">
        <v>15</v>
      </c>
      <c r="I442" s="2">
        <f>IFERROR(INDEX(Raw_Orders!H442:H2870,MATCH(B442,Raw_Orders!A442:A2870,0)),0)</f>
        <v>15</v>
      </c>
      <c r="J442" s="2" t="str">
        <f t="shared" si="24"/>
        <v>No</v>
      </c>
      <c r="K442" s="2" t="str">
        <f t="shared" si="25"/>
        <v>Yes</v>
      </c>
      <c r="L442" s="2" t="str">
        <f t="shared" si="27"/>
        <v>No</v>
      </c>
      <c r="M442" s="2">
        <f t="shared" si="26"/>
        <v>0</v>
      </c>
    </row>
    <row r="443" spans="1:13" x14ac:dyDescent="0.3">
      <c r="A443" s="5" t="s">
        <v>3072</v>
      </c>
      <c r="B443" s="5" t="s">
        <v>591</v>
      </c>
      <c r="C443" s="5" t="s">
        <v>2614</v>
      </c>
      <c r="D443" s="6">
        <v>45727</v>
      </c>
      <c r="E443" s="6">
        <v>45733</v>
      </c>
      <c r="F443" s="6">
        <v>45745</v>
      </c>
      <c r="G443" s="5" t="s">
        <v>2641</v>
      </c>
      <c r="H443" s="5">
        <v>19</v>
      </c>
      <c r="I443" s="5">
        <f>IFERROR(INDEX(Raw_Orders!H443:H2871,MATCH(B443,Raw_Orders!A443:A2871,0)),0)</f>
        <v>19</v>
      </c>
      <c r="J443" s="5" t="str">
        <f t="shared" si="24"/>
        <v>No</v>
      </c>
      <c r="K443" s="5" t="str">
        <f t="shared" si="25"/>
        <v>Yes</v>
      </c>
      <c r="L443" s="5" t="str">
        <f t="shared" si="27"/>
        <v>No</v>
      </c>
      <c r="M443" s="5">
        <f t="shared" si="26"/>
        <v>0</v>
      </c>
    </row>
    <row r="444" spans="1:13" x14ac:dyDescent="0.3">
      <c r="A444" s="2" t="s">
        <v>3073</v>
      </c>
      <c r="B444" s="2" t="s">
        <v>592</v>
      </c>
      <c r="C444" s="2" t="s">
        <v>2616</v>
      </c>
      <c r="D444" s="3">
        <v>45728</v>
      </c>
      <c r="E444" s="3">
        <v>45736</v>
      </c>
      <c r="F444" s="3">
        <v>45747</v>
      </c>
      <c r="G444" s="2" t="s">
        <v>2633</v>
      </c>
      <c r="H444" s="2">
        <v>36</v>
      </c>
      <c r="I444" s="2">
        <f>IFERROR(INDEX(Raw_Orders!H444:H2872,MATCH(B444,Raw_Orders!A444:A2872,0)),0)</f>
        <v>43</v>
      </c>
      <c r="J444" s="2" t="str">
        <f t="shared" si="24"/>
        <v>No</v>
      </c>
      <c r="K444" s="2" t="str">
        <f t="shared" si="25"/>
        <v>N0</v>
      </c>
      <c r="L444" s="2" t="str">
        <f t="shared" si="27"/>
        <v>No</v>
      </c>
      <c r="M444" s="2">
        <f t="shared" si="26"/>
        <v>0</v>
      </c>
    </row>
    <row r="445" spans="1:13" x14ac:dyDescent="0.3">
      <c r="A445" s="5" t="s">
        <v>3074</v>
      </c>
      <c r="B445" s="5" t="s">
        <v>593</v>
      </c>
      <c r="C445" s="5" t="s">
        <v>2604</v>
      </c>
      <c r="D445" s="6">
        <v>45729</v>
      </c>
      <c r="E445" s="6">
        <v>45731</v>
      </c>
      <c r="F445" s="6">
        <v>45732</v>
      </c>
      <c r="G445" s="5" t="s">
        <v>2633</v>
      </c>
      <c r="H445" s="5">
        <v>19</v>
      </c>
      <c r="I445" s="5">
        <f>IFERROR(INDEX(Raw_Orders!H445:H2873,MATCH(B445,Raw_Orders!A445:A2873,0)),0)</f>
        <v>19</v>
      </c>
      <c r="J445" s="5" t="str">
        <f t="shared" si="24"/>
        <v>No</v>
      </c>
      <c r="K445" s="5" t="str">
        <f t="shared" si="25"/>
        <v>Yes</v>
      </c>
      <c r="L445" s="5" t="str">
        <f t="shared" si="27"/>
        <v>No</v>
      </c>
      <c r="M445" s="5">
        <f t="shared" si="26"/>
        <v>0</v>
      </c>
    </row>
    <row r="446" spans="1:13" x14ac:dyDescent="0.3">
      <c r="A446" s="2" t="s">
        <v>3075</v>
      </c>
      <c r="B446" s="2" t="s">
        <v>594</v>
      </c>
      <c r="C446" s="2" t="s">
        <v>2606</v>
      </c>
      <c r="D446" s="3">
        <v>45729</v>
      </c>
      <c r="E446" s="3">
        <v>45732</v>
      </c>
      <c r="F446" s="3">
        <v>45735</v>
      </c>
      <c r="G446" s="2" t="s">
        <v>2629</v>
      </c>
      <c r="H446" s="2">
        <v>56</v>
      </c>
      <c r="I446" s="2">
        <f>IFERROR(INDEX(Raw_Orders!H446:H2874,MATCH(B446,Raw_Orders!A446:A2874,0)),0)</f>
        <v>56</v>
      </c>
      <c r="J446" s="2" t="str">
        <f t="shared" si="24"/>
        <v>No</v>
      </c>
      <c r="K446" s="2" t="str">
        <f t="shared" si="25"/>
        <v>Yes</v>
      </c>
      <c r="L446" s="2" t="str">
        <f t="shared" si="27"/>
        <v>No</v>
      </c>
      <c r="M446" s="2">
        <f t="shared" si="26"/>
        <v>0</v>
      </c>
    </row>
    <row r="447" spans="1:13" x14ac:dyDescent="0.3">
      <c r="A447" s="5" t="s">
        <v>3076</v>
      </c>
      <c r="B447" s="5" t="s">
        <v>596</v>
      </c>
      <c r="C447" s="5" t="s">
        <v>2606</v>
      </c>
      <c r="D447" s="6">
        <v>45727</v>
      </c>
      <c r="E447" s="6">
        <v>45731</v>
      </c>
      <c r="F447" s="6">
        <v>45733</v>
      </c>
      <c r="G447" s="5" t="s">
        <v>2631</v>
      </c>
      <c r="H447" s="5">
        <v>5</v>
      </c>
      <c r="I447" s="5">
        <f>IFERROR(INDEX(Raw_Orders!H447:H2875,MATCH(B447,Raw_Orders!A447:A2875,0)),0)</f>
        <v>5</v>
      </c>
      <c r="J447" s="5" t="str">
        <f t="shared" si="24"/>
        <v>No</v>
      </c>
      <c r="K447" s="5" t="str">
        <f t="shared" si="25"/>
        <v>Yes</v>
      </c>
      <c r="L447" s="5" t="str">
        <f t="shared" si="27"/>
        <v>No</v>
      </c>
      <c r="M447" s="5">
        <f t="shared" si="26"/>
        <v>0</v>
      </c>
    </row>
    <row r="448" spans="1:13" x14ac:dyDescent="0.3">
      <c r="A448" s="2" t="s">
        <v>3077</v>
      </c>
      <c r="B448" s="2" t="s">
        <v>597</v>
      </c>
      <c r="C448" s="2" t="s">
        <v>2608</v>
      </c>
      <c r="D448" s="3">
        <v>45729</v>
      </c>
      <c r="E448" s="3">
        <v>45737</v>
      </c>
      <c r="F448" s="3">
        <v>45741</v>
      </c>
      <c r="G448" s="2" t="s">
        <v>2627</v>
      </c>
      <c r="H448" s="2">
        <v>32</v>
      </c>
      <c r="I448" s="2">
        <f>IFERROR(INDEX(Raw_Orders!H448:H2876,MATCH(B448,Raw_Orders!A448:A2876,0)),0)</f>
        <v>32</v>
      </c>
      <c r="J448" s="2" t="str">
        <f t="shared" si="24"/>
        <v>No</v>
      </c>
      <c r="K448" s="2" t="str">
        <f t="shared" si="25"/>
        <v>Yes</v>
      </c>
      <c r="L448" s="2" t="str">
        <f t="shared" si="27"/>
        <v>No</v>
      </c>
      <c r="M448" s="2">
        <f t="shared" si="26"/>
        <v>0</v>
      </c>
    </row>
    <row r="449" spans="1:13" x14ac:dyDescent="0.3">
      <c r="A449" s="5" t="s">
        <v>3078</v>
      </c>
      <c r="B449" s="5" t="s">
        <v>598</v>
      </c>
      <c r="C449" s="5" t="s">
        <v>2598</v>
      </c>
      <c r="D449" s="6">
        <v>45729</v>
      </c>
      <c r="E449" s="6">
        <v>45731</v>
      </c>
      <c r="F449" s="6">
        <v>45742</v>
      </c>
      <c r="G449" s="5" t="s">
        <v>2641</v>
      </c>
      <c r="H449" s="5">
        <v>33</v>
      </c>
      <c r="I449" s="5">
        <f>IFERROR(INDEX(Raw_Orders!H449:H2877,MATCH(B449,Raw_Orders!A449:A2877,0)),0)</f>
        <v>33</v>
      </c>
      <c r="J449" s="5" t="str">
        <f t="shared" si="24"/>
        <v>No</v>
      </c>
      <c r="K449" s="5" t="str">
        <f t="shared" si="25"/>
        <v>Yes</v>
      </c>
      <c r="L449" s="5" t="str">
        <f t="shared" si="27"/>
        <v>No</v>
      </c>
      <c r="M449" s="5">
        <f t="shared" si="26"/>
        <v>0</v>
      </c>
    </row>
    <row r="450" spans="1:13" x14ac:dyDescent="0.3">
      <c r="A450" s="2" t="s">
        <v>3079</v>
      </c>
      <c r="B450" s="2" t="s">
        <v>599</v>
      </c>
      <c r="C450" s="2" t="s">
        <v>2611</v>
      </c>
      <c r="D450" s="3">
        <v>45728</v>
      </c>
      <c r="E450" s="3">
        <v>45737</v>
      </c>
      <c r="F450" s="3">
        <v>45734</v>
      </c>
      <c r="G450" s="2" t="s">
        <v>2641</v>
      </c>
      <c r="H450" s="2">
        <v>7</v>
      </c>
      <c r="I450" s="2">
        <f>IFERROR(INDEX(Raw_Orders!H450:H2878,MATCH(B450,Raw_Orders!A450:A2878,0)),0)</f>
        <v>7</v>
      </c>
      <c r="J450" s="2" t="str">
        <f t="shared" si="24"/>
        <v>Yes</v>
      </c>
      <c r="K450" s="2" t="str">
        <f t="shared" si="25"/>
        <v>Yes</v>
      </c>
      <c r="L450" s="2" t="str">
        <f t="shared" si="27"/>
        <v>Yes</v>
      </c>
      <c r="M450" s="2">
        <f t="shared" si="26"/>
        <v>1</v>
      </c>
    </row>
    <row r="451" spans="1:13" x14ac:dyDescent="0.3">
      <c r="A451" s="5" t="s">
        <v>3080</v>
      </c>
      <c r="B451" s="5" t="s">
        <v>600</v>
      </c>
      <c r="C451" s="5" t="s">
        <v>2611</v>
      </c>
      <c r="D451" s="6">
        <v>45729</v>
      </c>
      <c r="E451" s="6">
        <v>45737</v>
      </c>
      <c r="F451" s="6">
        <v>45736</v>
      </c>
      <c r="G451" s="5" t="s">
        <v>2627</v>
      </c>
      <c r="H451" s="5">
        <v>25</v>
      </c>
      <c r="I451" s="5">
        <f>IFERROR(INDEX(Raw_Orders!H451:H2879,MATCH(B451,Raw_Orders!A451:A2879,0)),0)</f>
        <v>25</v>
      </c>
      <c r="J451" s="5" t="str">
        <f t="shared" ref="J451:J514" si="28">IF(E451&gt;=F451,"Yes","No")</f>
        <v>Yes</v>
      </c>
      <c r="K451" s="5" t="str">
        <f t="shared" ref="K451:K514" si="29">IF(H451&gt;=I451,"Yes","N0")</f>
        <v>Yes</v>
      </c>
      <c r="L451" s="5" t="str">
        <f t="shared" si="27"/>
        <v>Yes</v>
      </c>
      <c r="M451" s="5">
        <f t="shared" ref="M451:M514" si="30">IF(L451="Yes",1,0)</f>
        <v>1</v>
      </c>
    </row>
    <row r="452" spans="1:13" x14ac:dyDescent="0.3">
      <c r="A452" s="2" t="s">
        <v>3081</v>
      </c>
      <c r="B452" s="2" t="s">
        <v>601</v>
      </c>
      <c r="C452" s="2" t="s">
        <v>2601</v>
      </c>
      <c r="D452" s="3">
        <v>45728</v>
      </c>
      <c r="E452" s="3">
        <v>45733</v>
      </c>
      <c r="F452" s="3">
        <v>45735</v>
      </c>
      <c r="G452" s="2" t="s">
        <v>2627</v>
      </c>
      <c r="H452" s="2">
        <v>15</v>
      </c>
      <c r="I452" s="2">
        <f>IFERROR(INDEX(Raw_Orders!H452:H2880,MATCH(B452,Raw_Orders!A452:A2880,0)),0)</f>
        <v>15</v>
      </c>
      <c r="J452" s="2" t="str">
        <f t="shared" si="28"/>
        <v>No</v>
      </c>
      <c r="K452" s="2" t="str">
        <f t="shared" si="29"/>
        <v>Yes</v>
      </c>
      <c r="L452" s="2" t="str">
        <f t="shared" ref="L452:L515" si="31">IF(AND(J452="Yes",K452="Yes"),"Yes","No")</f>
        <v>No</v>
      </c>
      <c r="M452" s="2">
        <f t="shared" si="30"/>
        <v>0</v>
      </c>
    </row>
    <row r="453" spans="1:13" x14ac:dyDescent="0.3">
      <c r="A453" s="5" t="s">
        <v>3082</v>
      </c>
      <c r="B453" s="5" t="s">
        <v>602</v>
      </c>
      <c r="C453" s="5" t="s">
        <v>2616</v>
      </c>
      <c r="D453" s="6">
        <v>45730</v>
      </c>
      <c r="E453" s="6">
        <v>45737</v>
      </c>
      <c r="F453" s="6">
        <v>45745</v>
      </c>
      <c r="G453" s="5" t="s">
        <v>2629</v>
      </c>
      <c r="H453" s="5">
        <v>24</v>
      </c>
      <c r="I453" s="5">
        <f>IFERROR(INDEX(Raw_Orders!H453:H2881,MATCH(B453,Raw_Orders!A453:A2881,0)),0)</f>
        <v>24</v>
      </c>
      <c r="J453" s="5" t="str">
        <f t="shared" si="28"/>
        <v>No</v>
      </c>
      <c r="K453" s="5" t="str">
        <f t="shared" si="29"/>
        <v>Yes</v>
      </c>
      <c r="L453" s="5" t="str">
        <f t="shared" si="31"/>
        <v>No</v>
      </c>
      <c r="M453" s="5">
        <f t="shared" si="30"/>
        <v>0</v>
      </c>
    </row>
    <row r="454" spans="1:13" x14ac:dyDescent="0.3">
      <c r="A454" s="2" t="s">
        <v>3083</v>
      </c>
      <c r="B454" s="2" t="s">
        <v>603</v>
      </c>
      <c r="C454" s="2" t="s">
        <v>2606</v>
      </c>
      <c r="D454" s="3">
        <v>45730</v>
      </c>
      <c r="E454" s="3">
        <v>45731</v>
      </c>
      <c r="F454" s="3">
        <v>45736</v>
      </c>
      <c r="G454" s="2" t="s">
        <v>2633</v>
      </c>
      <c r="H454" s="2">
        <v>50</v>
      </c>
      <c r="I454" s="2">
        <f>IFERROR(INDEX(Raw_Orders!H454:H2882,MATCH(B454,Raw_Orders!A454:A2882,0)),0)</f>
        <v>50</v>
      </c>
      <c r="J454" s="2" t="str">
        <f t="shared" si="28"/>
        <v>No</v>
      </c>
      <c r="K454" s="2" t="str">
        <f t="shared" si="29"/>
        <v>Yes</v>
      </c>
      <c r="L454" s="2" t="str">
        <f t="shared" si="31"/>
        <v>No</v>
      </c>
      <c r="M454" s="2">
        <f t="shared" si="30"/>
        <v>0</v>
      </c>
    </row>
    <row r="455" spans="1:13" x14ac:dyDescent="0.3">
      <c r="A455" s="5" t="s">
        <v>3084</v>
      </c>
      <c r="B455" s="5" t="s">
        <v>604</v>
      </c>
      <c r="C455" s="5" t="s">
        <v>2608</v>
      </c>
      <c r="D455" s="6">
        <v>45728</v>
      </c>
      <c r="E455" s="6">
        <v>45736</v>
      </c>
      <c r="F455" s="6">
        <v>45741</v>
      </c>
      <c r="G455" s="5" t="s">
        <v>2627</v>
      </c>
      <c r="H455" s="5">
        <v>10</v>
      </c>
      <c r="I455" s="5">
        <f>IFERROR(INDEX(Raw_Orders!H455:H2883,MATCH(B455,Raw_Orders!A455:A2883,0)),0)</f>
        <v>18</v>
      </c>
      <c r="J455" s="5" t="str">
        <f t="shared" si="28"/>
        <v>No</v>
      </c>
      <c r="K455" s="5" t="str">
        <f t="shared" si="29"/>
        <v>N0</v>
      </c>
      <c r="L455" s="5" t="str">
        <f t="shared" si="31"/>
        <v>No</v>
      </c>
      <c r="M455" s="5">
        <f t="shared" si="30"/>
        <v>0</v>
      </c>
    </row>
    <row r="456" spans="1:13" x14ac:dyDescent="0.3">
      <c r="A456" s="2" t="s">
        <v>3085</v>
      </c>
      <c r="B456" s="2" t="s">
        <v>605</v>
      </c>
      <c r="C456" s="2" t="s">
        <v>2608</v>
      </c>
      <c r="D456" s="3">
        <v>45730</v>
      </c>
      <c r="E456" s="3">
        <v>45735</v>
      </c>
      <c r="F456" s="3">
        <v>45744</v>
      </c>
      <c r="G456" s="2" t="s">
        <v>2633</v>
      </c>
      <c r="H456" s="2">
        <v>5</v>
      </c>
      <c r="I456" s="2">
        <f>IFERROR(INDEX(Raw_Orders!H456:H2884,MATCH(B456,Raw_Orders!A456:A2884,0)),0)</f>
        <v>5</v>
      </c>
      <c r="J456" s="2" t="str">
        <f t="shared" si="28"/>
        <v>No</v>
      </c>
      <c r="K456" s="2" t="str">
        <f t="shared" si="29"/>
        <v>Yes</v>
      </c>
      <c r="L456" s="2" t="str">
        <f t="shared" si="31"/>
        <v>No</v>
      </c>
      <c r="M456" s="2">
        <f t="shared" si="30"/>
        <v>0</v>
      </c>
    </row>
    <row r="457" spans="1:13" x14ac:dyDescent="0.3">
      <c r="A457" s="5" t="s">
        <v>3086</v>
      </c>
      <c r="B457" s="5" t="s">
        <v>606</v>
      </c>
      <c r="C457" s="5" t="s">
        <v>2614</v>
      </c>
      <c r="D457" s="6">
        <v>45730</v>
      </c>
      <c r="E457" s="6">
        <v>45735</v>
      </c>
      <c r="F457" s="6">
        <v>45748</v>
      </c>
      <c r="G457" s="5" t="s">
        <v>2641</v>
      </c>
      <c r="H457" s="5">
        <v>17</v>
      </c>
      <c r="I457" s="5">
        <f>IFERROR(INDEX(Raw_Orders!H457:H2885,MATCH(B457,Raw_Orders!A457:A2885,0)),0)</f>
        <v>17</v>
      </c>
      <c r="J457" s="5" t="str">
        <f t="shared" si="28"/>
        <v>No</v>
      </c>
      <c r="K457" s="5" t="str">
        <f t="shared" si="29"/>
        <v>Yes</v>
      </c>
      <c r="L457" s="5" t="str">
        <f t="shared" si="31"/>
        <v>No</v>
      </c>
      <c r="M457" s="5">
        <f t="shared" si="30"/>
        <v>0</v>
      </c>
    </row>
    <row r="458" spans="1:13" x14ac:dyDescent="0.3">
      <c r="A458" s="2" t="s">
        <v>3087</v>
      </c>
      <c r="B458" s="2" t="s">
        <v>607</v>
      </c>
      <c r="C458" s="2" t="s">
        <v>2604</v>
      </c>
      <c r="D458" s="3">
        <v>45731</v>
      </c>
      <c r="E458" s="3">
        <v>45734</v>
      </c>
      <c r="F458" s="3">
        <v>45735</v>
      </c>
      <c r="G458" s="2" t="s">
        <v>2641</v>
      </c>
      <c r="H458" s="2">
        <v>38</v>
      </c>
      <c r="I458" s="2">
        <f>IFERROR(INDEX(Raw_Orders!H458:H2886,MATCH(B458,Raw_Orders!A458:A2886,0)),0)</f>
        <v>38</v>
      </c>
      <c r="J458" s="2" t="str">
        <f t="shared" si="28"/>
        <v>No</v>
      </c>
      <c r="K458" s="2" t="str">
        <f t="shared" si="29"/>
        <v>Yes</v>
      </c>
      <c r="L458" s="2" t="str">
        <f t="shared" si="31"/>
        <v>No</v>
      </c>
      <c r="M458" s="2">
        <f t="shared" si="30"/>
        <v>0</v>
      </c>
    </row>
    <row r="459" spans="1:13" x14ac:dyDescent="0.3">
      <c r="A459" s="5" t="s">
        <v>3088</v>
      </c>
      <c r="B459" s="5" t="s">
        <v>608</v>
      </c>
      <c r="C459" s="5" t="s">
        <v>2608</v>
      </c>
      <c r="D459" s="6">
        <v>45729</v>
      </c>
      <c r="E459" s="6">
        <v>45737</v>
      </c>
      <c r="F459" s="6">
        <v>45741</v>
      </c>
      <c r="G459" s="5" t="s">
        <v>2631</v>
      </c>
      <c r="H459" s="5">
        <v>3</v>
      </c>
      <c r="I459" s="5">
        <f>IFERROR(INDEX(Raw_Orders!H459:H2887,MATCH(B459,Raw_Orders!A459:A2887,0)),0)</f>
        <v>3</v>
      </c>
      <c r="J459" s="5" t="str">
        <f t="shared" si="28"/>
        <v>No</v>
      </c>
      <c r="K459" s="5" t="str">
        <f t="shared" si="29"/>
        <v>Yes</v>
      </c>
      <c r="L459" s="5" t="str">
        <f t="shared" si="31"/>
        <v>No</v>
      </c>
      <c r="M459" s="5">
        <f t="shared" si="30"/>
        <v>0</v>
      </c>
    </row>
    <row r="460" spans="1:13" x14ac:dyDescent="0.3">
      <c r="A460" s="2" t="s">
        <v>3089</v>
      </c>
      <c r="B460" s="2" t="s">
        <v>609</v>
      </c>
      <c r="C460" s="2" t="s">
        <v>2611</v>
      </c>
      <c r="D460" s="3">
        <v>45732</v>
      </c>
      <c r="E460" s="3">
        <v>45740</v>
      </c>
      <c r="F460" s="3">
        <v>45739</v>
      </c>
      <c r="G460" s="2" t="s">
        <v>2629</v>
      </c>
      <c r="H460" s="2">
        <v>57</v>
      </c>
      <c r="I460" s="2">
        <f>IFERROR(INDEX(Raw_Orders!H460:H2888,MATCH(B460,Raw_Orders!A460:A2888,0)),0)</f>
        <v>57</v>
      </c>
      <c r="J460" s="2" t="str">
        <f t="shared" si="28"/>
        <v>Yes</v>
      </c>
      <c r="K460" s="2" t="str">
        <f t="shared" si="29"/>
        <v>Yes</v>
      </c>
      <c r="L460" s="2" t="str">
        <f t="shared" si="31"/>
        <v>Yes</v>
      </c>
      <c r="M460" s="2">
        <f t="shared" si="30"/>
        <v>1</v>
      </c>
    </row>
    <row r="461" spans="1:13" x14ac:dyDescent="0.3">
      <c r="A461" s="5" t="s">
        <v>3090</v>
      </c>
      <c r="B461" s="5" t="s">
        <v>610</v>
      </c>
      <c r="C461" s="5" t="s">
        <v>2611</v>
      </c>
      <c r="D461" s="6">
        <v>45732</v>
      </c>
      <c r="E461" s="6">
        <v>45733</v>
      </c>
      <c r="F461" s="6">
        <v>45738</v>
      </c>
      <c r="G461" s="5" t="s">
        <v>2633</v>
      </c>
      <c r="H461" s="5">
        <v>16</v>
      </c>
      <c r="I461" s="5">
        <f>IFERROR(INDEX(Raw_Orders!H461:H2889,MATCH(B461,Raw_Orders!A461:A2889,0)),0)</f>
        <v>16</v>
      </c>
      <c r="J461" s="5" t="str">
        <f t="shared" si="28"/>
        <v>No</v>
      </c>
      <c r="K461" s="5" t="str">
        <f t="shared" si="29"/>
        <v>Yes</v>
      </c>
      <c r="L461" s="5" t="str">
        <f t="shared" si="31"/>
        <v>No</v>
      </c>
      <c r="M461" s="5">
        <f t="shared" si="30"/>
        <v>0</v>
      </c>
    </row>
    <row r="462" spans="1:13" x14ac:dyDescent="0.3">
      <c r="A462" s="2" t="s">
        <v>3091</v>
      </c>
      <c r="B462" s="2" t="s">
        <v>611</v>
      </c>
      <c r="C462" s="2" t="s">
        <v>2598</v>
      </c>
      <c r="D462" s="3">
        <v>45732</v>
      </c>
      <c r="E462" s="3">
        <v>45733</v>
      </c>
      <c r="F462" s="3">
        <v>45749</v>
      </c>
      <c r="G462" s="2" t="s">
        <v>2641</v>
      </c>
      <c r="H462" s="2">
        <v>38</v>
      </c>
      <c r="I462" s="2">
        <f>IFERROR(INDEX(Raw_Orders!H462:H2890,MATCH(B462,Raw_Orders!A462:A2890,0)),0)</f>
        <v>38</v>
      </c>
      <c r="J462" s="2" t="str">
        <f t="shared" si="28"/>
        <v>No</v>
      </c>
      <c r="K462" s="2" t="str">
        <f t="shared" si="29"/>
        <v>Yes</v>
      </c>
      <c r="L462" s="2" t="str">
        <f t="shared" si="31"/>
        <v>No</v>
      </c>
      <c r="M462" s="2">
        <f t="shared" si="30"/>
        <v>0</v>
      </c>
    </row>
    <row r="463" spans="1:13" x14ac:dyDescent="0.3">
      <c r="A463" s="5" t="s">
        <v>3092</v>
      </c>
      <c r="B463" s="5" t="s">
        <v>612</v>
      </c>
      <c r="C463" s="5" t="s">
        <v>2601</v>
      </c>
      <c r="D463" s="6">
        <v>45731</v>
      </c>
      <c r="E463" s="6">
        <v>45735</v>
      </c>
      <c r="F463" s="6">
        <v>45736</v>
      </c>
      <c r="G463" s="5" t="s">
        <v>2641</v>
      </c>
      <c r="H463" s="5">
        <v>38</v>
      </c>
      <c r="I463" s="5">
        <f>IFERROR(INDEX(Raw_Orders!H463:H2891,MATCH(B463,Raw_Orders!A463:A2891,0)),0)</f>
        <v>38</v>
      </c>
      <c r="J463" s="5" t="str">
        <f t="shared" si="28"/>
        <v>No</v>
      </c>
      <c r="K463" s="5" t="str">
        <f t="shared" si="29"/>
        <v>Yes</v>
      </c>
      <c r="L463" s="5" t="str">
        <f t="shared" si="31"/>
        <v>No</v>
      </c>
      <c r="M463" s="5">
        <f t="shared" si="30"/>
        <v>0</v>
      </c>
    </row>
    <row r="464" spans="1:13" x14ac:dyDescent="0.3">
      <c r="A464" s="2" t="s">
        <v>3093</v>
      </c>
      <c r="B464" s="2" t="s">
        <v>613</v>
      </c>
      <c r="C464" s="2" t="s">
        <v>2601</v>
      </c>
      <c r="D464" s="3">
        <v>45731</v>
      </c>
      <c r="E464" s="3">
        <v>45734</v>
      </c>
      <c r="F464" s="3">
        <v>45737</v>
      </c>
      <c r="G464" s="2" t="s">
        <v>2641</v>
      </c>
      <c r="H464" s="2">
        <v>5</v>
      </c>
      <c r="I464" s="2">
        <f>IFERROR(INDEX(Raw_Orders!H464:H2892,MATCH(B464,Raw_Orders!A464:A2892,0)),0)</f>
        <v>5</v>
      </c>
      <c r="J464" s="2" t="str">
        <f t="shared" si="28"/>
        <v>No</v>
      </c>
      <c r="K464" s="2" t="str">
        <f t="shared" si="29"/>
        <v>Yes</v>
      </c>
      <c r="L464" s="2" t="str">
        <f t="shared" si="31"/>
        <v>No</v>
      </c>
      <c r="M464" s="2">
        <f t="shared" si="30"/>
        <v>0</v>
      </c>
    </row>
    <row r="465" spans="1:13" x14ac:dyDescent="0.3">
      <c r="A465" s="5" t="s">
        <v>3094</v>
      </c>
      <c r="B465" s="5" t="s">
        <v>614</v>
      </c>
      <c r="C465" s="5" t="s">
        <v>2616</v>
      </c>
      <c r="D465" s="6">
        <v>45732</v>
      </c>
      <c r="E465" s="6">
        <v>45739</v>
      </c>
      <c r="F465" s="6">
        <v>45748</v>
      </c>
      <c r="G465" s="5" t="s">
        <v>2641</v>
      </c>
      <c r="H465" s="5">
        <v>24</v>
      </c>
      <c r="I465" s="5">
        <f>IFERROR(INDEX(Raw_Orders!H465:H2893,MATCH(B465,Raw_Orders!A465:A2893,0)),0)</f>
        <v>24</v>
      </c>
      <c r="J465" s="5" t="str">
        <f t="shared" si="28"/>
        <v>No</v>
      </c>
      <c r="K465" s="5" t="str">
        <f t="shared" si="29"/>
        <v>Yes</v>
      </c>
      <c r="L465" s="5" t="str">
        <f t="shared" si="31"/>
        <v>No</v>
      </c>
      <c r="M465" s="5">
        <f t="shared" si="30"/>
        <v>0</v>
      </c>
    </row>
    <row r="466" spans="1:13" x14ac:dyDescent="0.3">
      <c r="A466" s="2" t="s">
        <v>3095</v>
      </c>
      <c r="B466" s="2" t="s">
        <v>615</v>
      </c>
      <c r="C466" s="2" t="s">
        <v>2616</v>
      </c>
      <c r="D466" s="3">
        <v>45732</v>
      </c>
      <c r="E466" s="3">
        <v>45739</v>
      </c>
      <c r="F466" s="3">
        <v>45747</v>
      </c>
      <c r="G466" s="2" t="s">
        <v>2641</v>
      </c>
      <c r="H466" s="2">
        <v>11</v>
      </c>
      <c r="I466" s="2">
        <f>IFERROR(INDEX(Raw_Orders!H466:H2894,MATCH(B466,Raw_Orders!A466:A2894,0)),0)</f>
        <v>11</v>
      </c>
      <c r="J466" s="2" t="str">
        <f t="shared" si="28"/>
        <v>No</v>
      </c>
      <c r="K466" s="2" t="str">
        <f t="shared" si="29"/>
        <v>Yes</v>
      </c>
      <c r="L466" s="2" t="str">
        <f t="shared" si="31"/>
        <v>No</v>
      </c>
      <c r="M466" s="2">
        <f t="shared" si="30"/>
        <v>0</v>
      </c>
    </row>
    <row r="467" spans="1:13" x14ac:dyDescent="0.3">
      <c r="A467" s="5" t="s">
        <v>3096</v>
      </c>
      <c r="B467" s="5" t="s">
        <v>616</v>
      </c>
      <c r="C467" s="5" t="s">
        <v>2606</v>
      </c>
      <c r="D467" s="6">
        <v>45730</v>
      </c>
      <c r="E467" s="6">
        <v>45738</v>
      </c>
      <c r="F467" s="6">
        <v>45735</v>
      </c>
      <c r="G467" s="5" t="s">
        <v>2633</v>
      </c>
      <c r="H467" s="5">
        <v>71</v>
      </c>
      <c r="I467" s="5">
        <f>IFERROR(INDEX(Raw_Orders!H467:H2895,MATCH(B467,Raw_Orders!A467:A2895,0)),0)</f>
        <v>71</v>
      </c>
      <c r="J467" s="5" t="str">
        <f t="shared" si="28"/>
        <v>Yes</v>
      </c>
      <c r="K467" s="5" t="str">
        <f t="shared" si="29"/>
        <v>Yes</v>
      </c>
      <c r="L467" s="5" t="str">
        <f t="shared" si="31"/>
        <v>Yes</v>
      </c>
      <c r="M467" s="5">
        <f t="shared" si="30"/>
        <v>1</v>
      </c>
    </row>
    <row r="468" spans="1:13" x14ac:dyDescent="0.3">
      <c r="A468" s="2" t="s">
        <v>3097</v>
      </c>
      <c r="B468" s="2" t="s">
        <v>617</v>
      </c>
      <c r="C468" s="2" t="s">
        <v>2606</v>
      </c>
      <c r="D468" s="3">
        <v>45732</v>
      </c>
      <c r="E468" s="3">
        <v>45735</v>
      </c>
      <c r="F468" s="3">
        <v>45742</v>
      </c>
      <c r="G468" s="2" t="s">
        <v>2629</v>
      </c>
      <c r="H468" s="2">
        <v>25</v>
      </c>
      <c r="I468" s="2">
        <f>IFERROR(INDEX(Raw_Orders!H468:H2896,MATCH(B468,Raw_Orders!A468:A2896,0)),0)</f>
        <v>25</v>
      </c>
      <c r="J468" s="2" t="str">
        <f t="shared" si="28"/>
        <v>No</v>
      </c>
      <c r="K468" s="2" t="str">
        <f t="shared" si="29"/>
        <v>Yes</v>
      </c>
      <c r="L468" s="2" t="str">
        <f t="shared" si="31"/>
        <v>No</v>
      </c>
      <c r="M468" s="2">
        <f t="shared" si="30"/>
        <v>0</v>
      </c>
    </row>
    <row r="469" spans="1:13" x14ac:dyDescent="0.3">
      <c r="A469" s="5" t="s">
        <v>3098</v>
      </c>
      <c r="B469" s="5" t="s">
        <v>618</v>
      </c>
      <c r="C469" s="5" t="s">
        <v>2608</v>
      </c>
      <c r="D469" s="6">
        <v>45732</v>
      </c>
      <c r="E469" s="6">
        <v>45733</v>
      </c>
      <c r="F469" s="6">
        <v>45744</v>
      </c>
      <c r="G469" s="5" t="s">
        <v>2627</v>
      </c>
      <c r="H469" s="5">
        <v>6</v>
      </c>
      <c r="I469" s="5">
        <f>IFERROR(INDEX(Raw_Orders!H469:H2897,MATCH(B469,Raw_Orders!A469:A2897,0)),0)</f>
        <v>6</v>
      </c>
      <c r="J469" s="5" t="str">
        <f t="shared" si="28"/>
        <v>No</v>
      </c>
      <c r="K469" s="5" t="str">
        <f t="shared" si="29"/>
        <v>Yes</v>
      </c>
      <c r="L469" s="5" t="str">
        <f t="shared" si="31"/>
        <v>No</v>
      </c>
      <c r="M469" s="5">
        <f t="shared" si="30"/>
        <v>0</v>
      </c>
    </row>
    <row r="470" spans="1:13" x14ac:dyDescent="0.3">
      <c r="A470" s="2" t="s">
        <v>3099</v>
      </c>
      <c r="B470" s="2" t="s">
        <v>619</v>
      </c>
      <c r="C470" s="2" t="s">
        <v>2598</v>
      </c>
      <c r="D470" s="3">
        <v>45732</v>
      </c>
      <c r="E470" s="3">
        <v>45736</v>
      </c>
      <c r="F470" s="3">
        <v>45745</v>
      </c>
      <c r="G470" s="2" t="s">
        <v>2627</v>
      </c>
      <c r="H470" s="2">
        <v>9</v>
      </c>
      <c r="I470" s="2">
        <f>IFERROR(INDEX(Raw_Orders!H470:H2898,MATCH(B470,Raw_Orders!A470:A2898,0)),0)</f>
        <v>9</v>
      </c>
      <c r="J470" s="2" t="str">
        <f t="shared" si="28"/>
        <v>No</v>
      </c>
      <c r="K470" s="2" t="str">
        <f t="shared" si="29"/>
        <v>Yes</v>
      </c>
      <c r="L470" s="2" t="str">
        <f t="shared" si="31"/>
        <v>No</v>
      </c>
      <c r="M470" s="2">
        <f t="shared" si="30"/>
        <v>0</v>
      </c>
    </row>
    <row r="471" spans="1:13" x14ac:dyDescent="0.3">
      <c r="A471" s="5" t="s">
        <v>3100</v>
      </c>
      <c r="B471" s="5" t="s">
        <v>620</v>
      </c>
      <c r="C471" s="5" t="s">
        <v>2614</v>
      </c>
      <c r="D471" s="6">
        <v>45732</v>
      </c>
      <c r="E471" s="6">
        <v>45739</v>
      </c>
      <c r="F471" s="6">
        <v>45746</v>
      </c>
      <c r="G471" s="5" t="s">
        <v>2631</v>
      </c>
      <c r="H471" s="5">
        <v>5</v>
      </c>
      <c r="I471" s="5">
        <f>IFERROR(INDEX(Raw_Orders!H471:H2899,MATCH(B471,Raw_Orders!A471:A2899,0)),0)</f>
        <v>9</v>
      </c>
      <c r="J471" s="5" t="str">
        <f t="shared" si="28"/>
        <v>No</v>
      </c>
      <c r="K471" s="5" t="str">
        <f t="shared" si="29"/>
        <v>N0</v>
      </c>
      <c r="L471" s="5" t="str">
        <f t="shared" si="31"/>
        <v>No</v>
      </c>
      <c r="M471" s="5">
        <f t="shared" si="30"/>
        <v>0</v>
      </c>
    </row>
    <row r="472" spans="1:13" x14ac:dyDescent="0.3">
      <c r="A472" s="2" t="s">
        <v>3101</v>
      </c>
      <c r="B472" s="2" t="s">
        <v>621</v>
      </c>
      <c r="C472" s="2" t="s">
        <v>2616</v>
      </c>
      <c r="D472" s="3">
        <v>45733</v>
      </c>
      <c r="E472" s="3">
        <v>45735</v>
      </c>
      <c r="F472" s="3">
        <v>45747</v>
      </c>
      <c r="G472" s="2" t="s">
        <v>2631</v>
      </c>
      <c r="H472" s="2">
        <v>49</v>
      </c>
      <c r="I472" s="2">
        <f>IFERROR(INDEX(Raw_Orders!H472:H2900,MATCH(B472,Raw_Orders!A472:A2900,0)),0)</f>
        <v>49</v>
      </c>
      <c r="J472" s="2" t="str">
        <f t="shared" si="28"/>
        <v>No</v>
      </c>
      <c r="K472" s="2" t="str">
        <f t="shared" si="29"/>
        <v>Yes</v>
      </c>
      <c r="L472" s="2" t="str">
        <f t="shared" si="31"/>
        <v>No</v>
      </c>
      <c r="M472" s="2">
        <f t="shared" si="30"/>
        <v>0</v>
      </c>
    </row>
    <row r="473" spans="1:13" x14ac:dyDescent="0.3">
      <c r="A473" s="5" t="s">
        <v>3102</v>
      </c>
      <c r="B473" s="5" t="s">
        <v>622</v>
      </c>
      <c r="C473" s="5" t="s">
        <v>2606</v>
      </c>
      <c r="D473" s="6">
        <v>45732</v>
      </c>
      <c r="E473" s="6">
        <v>45741</v>
      </c>
      <c r="F473" s="6">
        <v>45740</v>
      </c>
      <c r="G473" s="5" t="s">
        <v>2633</v>
      </c>
      <c r="H473" s="5">
        <v>39</v>
      </c>
      <c r="I473" s="5">
        <f>IFERROR(INDEX(Raw_Orders!H473:H2901,MATCH(B473,Raw_Orders!A473:A2901,0)),0)</f>
        <v>39</v>
      </c>
      <c r="J473" s="5" t="str">
        <f t="shared" si="28"/>
        <v>Yes</v>
      </c>
      <c r="K473" s="5" t="str">
        <f t="shared" si="29"/>
        <v>Yes</v>
      </c>
      <c r="L473" s="5" t="str">
        <f t="shared" si="31"/>
        <v>Yes</v>
      </c>
      <c r="M473" s="5">
        <f t="shared" si="30"/>
        <v>1</v>
      </c>
    </row>
    <row r="474" spans="1:13" x14ac:dyDescent="0.3">
      <c r="A474" s="2" t="s">
        <v>3103</v>
      </c>
      <c r="B474" s="2" t="s">
        <v>623</v>
      </c>
      <c r="C474" s="2" t="s">
        <v>2608</v>
      </c>
      <c r="D474" s="3">
        <v>45733</v>
      </c>
      <c r="E474" s="3">
        <v>45741</v>
      </c>
      <c r="F474" s="3">
        <v>45748</v>
      </c>
      <c r="G474" s="2" t="s">
        <v>2627</v>
      </c>
      <c r="H474" s="2">
        <v>7</v>
      </c>
      <c r="I474" s="2">
        <f>IFERROR(INDEX(Raw_Orders!H474:H2902,MATCH(B474,Raw_Orders!A474:A2902,0)),0)</f>
        <v>7</v>
      </c>
      <c r="J474" s="2" t="str">
        <f t="shared" si="28"/>
        <v>No</v>
      </c>
      <c r="K474" s="2" t="str">
        <f t="shared" si="29"/>
        <v>Yes</v>
      </c>
      <c r="L474" s="2" t="str">
        <f t="shared" si="31"/>
        <v>No</v>
      </c>
      <c r="M474" s="2">
        <f t="shared" si="30"/>
        <v>0</v>
      </c>
    </row>
    <row r="475" spans="1:13" x14ac:dyDescent="0.3">
      <c r="A475" s="5" t="s">
        <v>3104</v>
      </c>
      <c r="B475" s="5" t="s">
        <v>624</v>
      </c>
      <c r="C475" s="5" t="s">
        <v>2598</v>
      </c>
      <c r="D475" s="6">
        <v>45734</v>
      </c>
      <c r="E475" s="6">
        <v>45736</v>
      </c>
      <c r="F475" s="6">
        <v>45748</v>
      </c>
      <c r="G475" s="5" t="s">
        <v>2631</v>
      </c>
      <c r="H475" s="5">
        <v>24</v>
      </c>
      <c r="I475" s="5">
        <f>IFERROR(INDEX(Raw_Orders!H475:H2903,MATCH(B475,Raw_Orders!A475:A2903,0)),0)</f>
        <v>32</v>
      </c>
      <c r="J475" s="5" t="str">
        <f t="shared" si="28"/>
        <v>No</v>
      </c>
      <c r="K475" s="5" t="str">
        <f t="shared" si="29"/>
        <v>N0</v>
      </c>
      <c r="L475" s="5" t="str">
        <f t="shared" si="31"/>
        <v>No</v>
      </c>
      <c r="M475" s="5">
        <f t="shared" si="30"/>
        <v>0</v>
      </c>
    </row>
    <row r="476" spans="1:13" x14ac:dyDescent="0.3">
      <c r="A476" s="2" t="s">
        <v>3105</v>
      </c>
      <c r="B476" s="2" t="s">
        <v>625</v>
      </c>
      <c r="C476" s="2" t="s">
        <v>2611</v>
      </c>
      <c r="D476" s="3">
        <v>45734</v>
      </c>
      <c r="E476" s="3">
        <v>45740</v>
      </c>
      <c r="F476" s="3">
        <v>45743</v>
      </c>
      <c r="G476" s="2" t="s">
        <v>2631</v>
      </c>
      <c r="H476" s="2">
        <v>17</v>
      </c>
      <c r="I476" s="2">
        <f>IFERROR(INDEX(Raw_Orders!H476:H2904,MATCH(B476,Raw_Orders!A476:A2904,0)),0)</f>
        <v>17</v>
      </c>
      <c r="J476" s="2" t="str">
        <f t="shared" si="28"/>
        <v>No</v>
      </c>
      <c r="K476" s="2" t="str">
        <f t="shared" si="29"/>
        <v>Yes</v>
      </c>
      <c r="L476" s="2" t="str">
        <f t="shared" si="31"/>
        <v>No</v>
      </c>
      <c r="M476" s="2">
        <f t="shared" si="30"/>
        <v>0</v>
      </c>
    </row>
    <row r="477" spans="1:13" x14ac:dyDescent="0.3">
      <c r="A477" s="5" t="s">
        <v>3106</v>
      </c>
      <c r="B477" s="5" t="s">
        <v>626</v>
      </c>
      <c r="C477" s="5" t="s">
        <v>2611</v>
      </c>
      <c r="D477" s="6">
        <v>45734</v>
      </c>
      <c r="E477" s="6">
        <v>45736</v>
      </c>
      <c r="F477" s="6">
        <v>45742</v>
      </c>
      <c r="G477" s="5" t="s">
        <v>2641</v>
      </c>
      <c r="H477" s="5">
        <v>41</v>
      </c>
      <c r="I477" s="5">
        <f>IFERROR(INDEX(Raw_Orders!H477:H2905,MATCH(B477,Raw_Orders!A477:A2905,0)),0)</f>
        <v>41</v>
      </c>
      <c r="J477" s="5" t="str">
        <f t="shared" si="28"/>
        <v>No</v>
      </c>
      <c r="K477" s="5" t="str">
        <f t="shared" si="29"/>
        <v>Yes</v>
      </c>
      <c r="L477" s="5" t="str">
        <f t="shared" si="31"/>
        <v>No</v>
      </c>
      <c r="M477" s="5">
        <f t="shared" si="30"/>
        <v>0</v>
      </c>
    </row>
    <row r="478" spans="1:13" x14ac:dyDescent="0.3">
      <c r="A478" s="2" t="s">
        <v>3107</v>
      </c>
      <c r="B478" s="2" t="s">
        <v>627</v>
      </c>
      <c r="C478" s="2" t="s">
        <v>2601</v>
      </c>
      <c r="D478" s="3">
        <v>45733</v>
      </c>
      <c r="E478" s="3">
        <v>45735</v>
      </c>
      <c r="F478" s="3">
        <v>45738</v>
      </c>
      <c r="G478" s="2" t="s">
        <v>2641</v>
      </c>
      <c r="H478" s="2">
        <v>24</v>
      </c>
      <c r="I478" s="2">
        <f>IFERROR(INDEX(Raw_Orders!H478:H2906,MATCH(B478,Raw_Orders!A478:A2906,0)),0)</f>
        <v>24</v>
      </c>
      <c r="J478" s="2" t="str">
        <f t="shared" si="28"/>
        <v>No</v>
      </c>
      <c r="K478" s="2" t="str">
        <f t="shared" si="29"/>
        <v>Yes</v>
      </c>
      <c r="L478" s="2" t="str">
        <f t="shared" si="31"/>
        <v>No</v>
      </c>
      <c r="M478" s="2">
        <f t="shared" si="30"/>
        <v>0</v>
      </c>
    </row>
    <row r="479" spans="1:13" x14ac:dyDescent="0.3">
      <c r="A479" s="5" t="s">
        <v>3108</v>
      </c>
      <c r="B479" s="5" t="s">
        <v>628</v>
      </c>
      <c r="C479" s="5" t="s">
        <v>2614</v>
      </c>
      <c r="D479" s="6">
        <v>45732</v>
      </c>
      <c r="E479" s="6">
        <v>45735</v>
      </c>
      <c r="F479" s="6">
        <v>45746</v>
      </c>
      <c r="G479" s="5" t="s">
        <v>2641</v>
      </c>
      <c r="H479" s="5">
        <v>13</v>
      </c>
      <c r="I479" s="5">
        <f>IFERROR(INDEX(Raw_Orders!H479:H2907,MATCH(B479,Raw_Orders!A479:A2907,0)),0)</f>
        <v>13</v>
      </c>
      <c r="J479" s="5" t="str">
        <f t="shared" si="28"/>
        <v>No</v>
      </c>
      <c r="K479" s="5" t="str">
        <f t="shared" si="29"/>
        <v>Yes</v>
      </c>
      <c r="L479" s="5" t="str">
        <f t="shared" si="31"/>
        <v>No</v>
      </c>
      <c r="M479" s="5">
        <f t="shared" si="30"/>
        <v>0</v>
      </c>
    </row>
    <row r="480" spans="1:13" x14ac:dyDescent="0.3">
      <c r="A480" s="2" t="s">
        <v>3109</v>
      </c>
      <c r="B480" s="2" t="s">
        <v>629</v>
      </c>
      <c r="C480" s="2" t="s">
        <v>2616</v>
      </c>
      <c r="D480" s="3">
        <v>45733</v>
      </c>
      <c r="E480" s="3">
        <v>45739</v>
      </c>
      <c r="F480" s="3">
        <v>45748</v>
      </c>
      <c r="G480" s="2" t="s">
        <v>2631</v>
      </c>
      <c r="H480" s="2">
        <v>14</v>
      </c>
      <c r="I480" s="2">
        <f>IFERROR(INDEX(Raw_Orders!H480:H2908,MATCH(B480,Raw_Orders!A480:A2908,0)),0)</f>
        <v>16</v>
      </c>
      <c r="J480" s="2" t="str">
        <f t="shared" si="28"/>
        <v>No</v>
      </c>
      <c r="K480" s="2" t="str">
        <f t="shared" si="29"/>
        <v>N0</v>
      </c>
      <c r="L480" s="2" t="str">
        <f t="shared" si="31"/>
        <v>No</v>
      </c>
      <c r="M480" s="2">
        <f t="shared" si="30"/>
        <v>0</v>
      </c>
    </row>
    <row r="481" spans="1:13" x14ac:dyDescent="0.3">
      <c r="A481" s="5" t="s">
        <v>3110</v>
      </c>
      <c r="B481" s="5" t="s">
        <v>630</v>
      </c>
      <c r="C481" s="5" t="s">
        <v>2616</v>
      </c>
      <c r="D481" s="6">
        <v>45734</v>
      </c>
      <c r="E481" s="6">
        <v>45736</v>
      </c>
      <c r="F481" s="6">
        <v>45749</v>
      </c>
      <c r="G481" s="5" t="s">
        <v>2641</v>
      </c>
      <c r="H481" s="5">
        <v>57</v>
      </c>
      <c r="I481" s="5">
        <f>IFERROR(INDEX(Raw_Orders!H481:H2909,MATCH(B481,Raw_Orders!A481:A2909,0)),0)</f>
        <v>60</v>
      </c>
      <c r="J481" s="5" t="str">
        <f t="shared" si="28"/>
        <v>No</v>
      </c>
      <c r="K481" s="5" t="str">
        <f t="shared" si="29"/>
        <v>N0</v>
      </c>
      <c r="L481" s="5" t="str">
        <f t="shared" si="31"/>
        <v>No</v>
      </c>
      <c r="M481" s="5">
        <f t="shared" si="30"/>
        <v>0</v>
      </c>
    </row>
    <row r="482" spans="1:13" x14ac:dyDescent="0.3">
      <c r="A482" s="2" t="s">
        <v>3111</v>
      </c>
      <c r="B482" s="2" t="s">
        <v>631</v>
      </c>
      <c r="C482" s="2" t="s">
        <v>2606</v>
      </c>
      <c r="D482" s="3">
        <v>45734</v>
      </c>
      <c r="E482" s="3">
        <v>45739</v>
      </c>
      <c r="F482" s="3">
        <v>45740</v>
      </c>
      <c r="G482" s="2" t="s">
        <v>2641</v>
      </c>
      <c r="H482" s="2">
        <v>25</v>
      </c>
      <c r="I482" s="2">
        <f>IFERROR(INDEX(Raw_Orders!H482:H2910,MATCH(B482,Raw_Orders!A482:A2910,0)),0)</f>
        <v>29</v>
      </c>
      <c r="J482" s="2" t="str">
        <f t="shared" si="28"/>
        <v>No</v>
      </c>
      <c r="K482" s="2" t="str">
        <f t="shared" si="29"/>
        <v>N0</v>
      </c>
      <c r="L482" s="2" t="str">
        <f t="shared" si="31"/>
        <v>No</v>
      </c>
      <c r="M482" s="2">
        <f t="shared" si="30"/>
        <v>0</v>
      </c>
    </row>
    <row r="483" spans="1:13" x14ac:dyDescent="0.3">
      <c r="A483" s="5" t="s">
        <v>3112</v>
      </c>
      <c r="B483" s="5" t="s">
        <v>632</v>
      </c>
      <c r="C483" s="5" t="s">
        <v>2606</v>
      </c>
      <c r="D483" s="6">
        <v>45732</v>
      </c>
      <c r="E483" s="6">
        <v>45735</v>
      </c>
      <c r="F483" s="6">
        <v>45737</v>
      </c>
      <c r="G483" s="5" t="s">
        <v>2631</v>
      </c>
      <c r="H483" s="5">
        <v>33</v>
      </c>
      <c r="I483" s="5">
        <f>IFERROR(INDEX(Raw_Orders!H483:H2911,MATCH(B483,Raw_Orders!A483:A2911,0)),0)</f>
        <v>33</v>
      </c>
      <c r="J483" s="5" t="str">
        <f t="shared" si="28"/>
        <v>No</v>
      </c>
      <c r="K483" s="5" t="str">
        <f t="shared" si="29"/>
        <v>Yes</v>
      </c>
      <c r="L483" s="5" t="str">
        <f t="shared" si="31"/>
        <v>No</v>
      </c>
      <c r="M483" s="5">
        <f t="shared" si="30"/>
        <v>0</v>
      </c>
    </row>
    <row r="484" spans="1:13" x14ac:dyDescent="0.3">
      <c r="A484" s="2" t="s">
        <v>3113</v>
      </c>
      <c r="B484" s="2" t="s">
        <v>633</v>
      </c>
      <c r="C484" s="2" t="s">
        <v>2611</v>
      </c>
      <c r="D484" s="3">
        <v>45733</v>
      </c>
      <c r="E484" s="3">
        <v>45740</v>
      </c>
      <c r="F484" s="3">
        <v>45740</v>
      </c>
      <c r="G484" s="2" t="s">
        <v>2641</v>
      </c>
      <c r="H484" s="2">
        <v>36</v>
      </c>
      <c r="I484" s="2">
        <f>IFERROR(INDEX(Raw_Orders!H484:H2912,MATCH(B484,Raw_Orders!A484:A2912,0)),0)</f>
        <v>36</v>
      </c>
      <c r="J484" s="2" t="str">
        <f t="shared" si="28"/>
        <v>Yes</v>
      </c>
      <c r="K484" s="2" t="str">
        <f t="shared" si="29"/>
        <v>Yes</v>
      </c>
      <c r="L484" s="2" t="str">
        <f t="shared" si="31"/>
        <v>Yes</v>
      </c>
      <c r="M484" s="2">
        <f t="shared" si="30"/>
        <v>1</v>
      </c>
    </row>
    <row r="485" spans="1:13" x14ac:dyDescent="0.3">
      <c r="A485" s="5" t="s">
        <v>3114</v>
      </c>
      <c r="B485" s="5" t="s">
        <v>634</v>
      </c>
      <c r="C485" s="5" t="s">
        <v>2598</v>
      </c>
      <c r="D485" s="6">
        <v>45733</v>
      </c>
      <c r="E485" s="6">
        <v>45742</v>
      </c>
      <c r="F485" s="6">
        <v>45747</v>
      </c>
      <c r="G485" s="5" t="s">
        <v>2633</v>
      </c>
      <c r="H485" s="5">
        <v>10</v>
      </c>
      <c r="I485" s="5">
        <f>IFERROR(INDEX(Raw_Orders!H485:H2913,MATCH(B485,Raw_Orders!A485:A2913,0)),0)</f>
        <v>10</v>
      </c>
      <c r="J485" s="5" t="str">
        <f t="shared" si="28"/>
        <v>No</v>
      </c>
      <c r="K485" s="5" t="str">
        <f t="shared" si="29"/>
        <v>Yes</v>
      </c>
      <c r="L485" s="5" t="str">
        <f t="shared" si="31"/>
        <v>No</v>
      </c>
      <c r="M485" s="5">
        <f t="shared" si="30"/>
        <v>0</v>
      </c>
    </row>
    <row r="486" spans="1:13" x14ac:dyDescent="0.3">
      <c r="A486" s="2" t="s">
        <v>3115</v>
      </c>
      <c r="B486" s="2" t="s">
        <v>635</v>
      </c>
      <c r="C486" s="2" t="s">
        <v>2598</v>
      </c>
      <c r="D486" s="3">
        <v>45733</v>
      </c>
      <c r="E486" s="3">
        <v>45739</v>
      </c>
      <c r="F486" s="3">
        <v>45746</v>
      </c>
      <c r="G486" s="2" t="s">
        <v>2633</v>
      </c>
      <c r="H486" s="2">
        <v>32</v>
      </c>
      <c r="I486" s="2">
        <f>IFERROR(INDEX(Raw_Orders!H486:H2914,MATCH(B486,Raw_Orders!A486:A2914,0)),0)</f>
        <v>34</v>
      </c>
      <c r="J486" s="2" t="str">
        <f t="shared" si="28"/>
        <v>No</v>
      </c>
      <c r="K486" s="2" t="str">
        <f t="shared" si="29"/>
        <v>N0</v>
      </c>
      <c r="L486" s="2" t="str">
        <f t="shared" si="31"/>
        <v>No</v>
      </c>
      <c r="M486" s="2">
        <f t="shared" si="30"/>
        <v>0</v>
      </c>
    </row>
    <row r="487" spans="1:13" x14ac:dyDescent="0.3">
      <c r="A487" s="5" t="s">
        <v>3116</v>
      </c>
      <c r="B487" s="5" t="s">
        <v>636</v>
      </c>
      <c r="C487" s="5" t="s">
        <v>2601</v>
      </c>
      <c r="D487" s="6">
        <v>45733</v>
      </c>
      <c r="E487" s="6">
        <v>45737</v>
      </c>
      <c r="F487" s="6">
        <v>45738</v>
      </c>
      <c r="G487" s="5" t="s">
        <v>2633</v>
      </c>
      <c r="H487" s="5">
        <v>19</v>
      </c>
      <c r="I487" s="5">
        <f>IFERROR(INDEX(Raw_Orders!H487:H2915,MATCH(B487,Raw_Orders!A487:A2915,0)),0)</f>
        <v>19</v>
      </c>
      <c r="J487" s="5" t="str">
        <f t="shared" si="28"/>
        <v>No</v>
      </c>
      <c r="K487" s="5" t="str">
        <f t="shared" si="29"/>
        <v>Yes</v>
      </c>
      <c r="L487" s="5" t="str">
        <f t="shared" si="31"/>
        <v>No</v>
      </c>
      <c r="M487" s="5">
        <f t="shared" si="30"/>
        <v>0</v>
      </c>
    </row>
    <row r="488" spans="1:13" x14ac:dyDescent="0.3">
      <c r="A488" s="2" t="s">
        <v>3117</v>
      </c>
      <c r="B488" s="2" t="s">
        <v>637</v>
      </c>
      <c r="C488" s="2" t="s">
        <v>2601</v>
      </c>
      <c r="D488" s="3">
        <v>45735</v>
      </c>
      <c r="E488" s="3">
        <v>45736</v>
      </c>
      <c r="F488" s="3">
        <v>45741</v>
      </c>
      <c r="G488" s="2" t="s">
        <v>2629</v>
      </c>
      <c r="H488" s="2">
        <v>14</v>
      </c>
      <c r="I488" s="2">
        <f>IFERROR(INDEX(Raw_Orders!H488:H2916,MATCH(B488,Raw_Orders!A488:A2916,0)),0)</f>
        <v>14</v>
      </c>
      <c r="J488" s="2" t="str">
        <f t="shared" si="28"/>
        <v>No</v>
      </c>
      <c r="K488" s="2" t="str">
        <f t="shared" si="29"/>
        <v>Yes</v>
      </c>
      <c r="L488" s="2" t="str">
        <f t="shared" si="31"/>
        <v>No</v>
      </c>
      <c r="M488" s="2">
        <f t="shared" si="30"/>
        <v>0</v>
      </c>
    </row>
    <row r="489" spans="1:13" x14ac:dyDescent="0.3">
      <c r="A489" s="5" t="s">
        <v>3118</v>
      </c>
      <c r="B489" s="5" t="s">
        <v>638</v>
      </c>
      <c r="C489" s="5" t="s">
        <v>2606</v>
      </c>
      <c r="D489" s="6">
        <v>45733</v>
      </c>
      <c r="E489" s="6">
        <v>45740</v>
      </c>
      <c r="F489" s="6">
        <v>45738</v>
      </c>
      <c r="G489" s="5" t="s">
        <v>2631</v>
      </c>
      <c r="H489" s="5">
        <v>29</v>
      </c>
      <c r="I489" s="5">
        <f>IFERROR(INDEX(Raw_Orders!H489:H2917,MATCH(B489,Raw_Orders!A489:A2917,0)),0)</f>
        <v>29</v>
      </c>
      <c r="J489" s="5" t="str">
        <f t="shared" si="28"/>
        <v>Yes</v>
      </c>
      <c r="K489" s="5" t="str">
        <f t="shared" si="29"/>
        <v>Yes</v>
      </c>
      <c r="L489" s="5" t="str">
        <f t="shared" si="31"/>
        <v>Yes</v>
      </c>
      <c r="M489" s="5">
        <f t="shared" si="30"/>
        <v>1</v>
      </c>
    </row>
    <row r="490" spans="1:13" x14ac:dyDescent="0.3">
      <c r="A490" s="2" t="s">
        <v>3119</v>
      </c>
      <c r="B490" s="2" t="s">
        <v>639</v>
      </c>
      <c r="C490" s="2" t="s">
        <v>2614</v>
      </c>
      <c r="D490" s="3">
        <v>45736</v>
      </c>
      <c r="E490" s="3">
        <v>45739</v>
      </c>
      <c r="F490" s="3">
        <v>45750</v>
      </c>
      <c r="G490" s="2" t="s">
        <v>2627</v>
      </c>
      <c r="H490" s="2">
        <v>12</v>
      </c>
      <c r="I490" s="2">
        <f>IFERROR(INDEX(Raw_Orders!H490:H2918,MATCH(B490,Raw_Orders!A490:A2918,0)),0)</f>
        <v>14</v>
      </c>
      <c r="J490" s="2" t="str">
        <f t="shared" si="28"/>
        <v>No</v>
      </c>
      <c r="K490" s="2" t="str">
        <f t="shared" si="29"/>
        <v>N0</v>
      </c>
      <c r="L490" s="2" t="str">
        <f t="shared" si="31"/>
        <v>No</v>
      </c>
      <c r="M490" s="2">
        <f t="shared" si="30"/>
        <v>0</v>
      </c>
    </row>
    <row r="491" spans="1:13" x14ac:dyDescent="0.3">
      <c r="A491" s="5" t="s">
        <v>3120</v>
      </c>
      <c r="B491" s="5" t="s">
        <v>640</v>
      </c>
      <c r="C491" s="5" t="s">
        <v>2601</v>
      </c>
      <c r="D491" s="6">
        <v>45735</v>
      </c>
      <c r="E491" s="6">
        <v>45743</v>
      </c>
      <c r="F491" s="6">
        <v>45740</v>
      </c>
      <c r="G491" s="5" t="s">
        <v>2627</v>
      </c>
      <c r="H491" s="5">
        <v>21</v>
      </c>
      <c r="I491" s="5">
        <f>IFERROR(INDEX(Raw_Orders!H491:H2919,MATCH(B491,Raw_Orders!A491:A2919,0)),0)</f>
        <v>21</v>
      </c>
      <c r="J491" s="5" t="str">
        <f t="shared" si="28"/>
        <v>Yes</v>
      </c>
      <c r="K491" s="5" t="str">
        <f t="shared" si="29"/>
        <v>Yes</v>
      </c>
      <c r="L491" s="5" t="str">
        <f t="shared" si="31"/>
        <v>Yes</v>
      </c>
      <c r="M491" s="5">
        <f t="shared" si="30"/>
        <v>1</v>
      </c>
    </row>
    <row r="492" spans="1:13" x14ac:dyDescent="0.3">
      <c r="A492" s="2" t="s">
        <v>3121</v>
      </c>
      <c r="B492" s="2" t="s">
        <v>641</v>
      </c>
      <c r="C492" s="2" t="s">
        <v>2601</v>
      </c>
      <c r="D492" s="3">
        <v>45736</v>
      </c>
      <c r="E492" s="3">
        <v>45741</v>
      </c>
      <c r="F492" s="3">
        <v>45741</v>
      </c>
      <c r="G492" s="2" t="s">
        <v>2627</v>
      </c>
      <c r="H492" s="2">
        <v>15</v>
      </c>
      <c r="I492" s="2">
        <f>IFERROR(INDEX(Raw_Orders!H492:H2920,MATCH(B492,Raw_Orders!A492:A2920,0)),0)</f>
        <v>15</v>
      </c>
      <c r="J492" s="2" t="str">
        <f t="shared" si="28"/>
        <v>Yes</v>
      </c>
      <c r="K492" s="2" t="str">
        <f t="shared" si="29"/>
        <v>Yes</v>
      </c>
      <c r="L492" s="2" t="str">
        <f t="shared" si="31"/>
        <v>Yes</v>
      </c>
      <c r="M492" s="2">
        <f t="shared" si="30"/>
        <v>1</v>
      </c>
    </row>
    <row r="493" spans="1:13" x14ac:dyDescent="0.3">
      <c r="A493" s="5" t="s">
        <v>3122</v>
      </c>
      <c r="B493" s="5" t="s">
        <v>642</v>
      </c>
      <c r="C493" s="5" t="s">
        <v>2616</v>
      </c>
      <c r="D493" s="6">
        <v>45736</v>
      </c>
      <c r="E493" s="6">
        <v>45743</v>
      </c>
      <c r="F493" s="6">
        <v>45751</v>
      </c>
      <c r="G493" s="5" t="s">
        <v>2633</v>
      </c>
      <c r="H493" s="5">
        <v>11</v>
      </c>
      <c r="I493" s="5">
        <f>IFERROR(INDEX(Raw_Orders!H493:H2921,MATCH(B493,Raw_Orders!A493:A2921,0)),0)</f>
        <v>11</v>
      </c>
      <c r="J493" s="5" t="str">
        <f t="shared" si="28"/>
        <v>No</v>
      </c>
      <c r="K493" s="5" t="str">
        <f t="shared" si="29"/>
        <v>Yes</v>
      </c>
      <c r="L493" s="5" t="str">
        <f t="shared" si="31"/>
        <v>No</v>
      </c>
      <c r="M493" s="5">
        <f t="shared" si="30"/>
        <v>0</v>
      </c>
    </row>
    <row r="494" spans="1:13" x14ac:dyDescent="0.3">
      <c r="A494" s="2" t="s">
        <v>3123</v>
      </c>
      <c r="B494" s="2" t="s">
        <v>643</v>
      </c>
      <c r="C494" s="2" t="s">
        <v>2606</v>
      </c>
      <c r="D494" s="3">
        <v>45735</v>
      </c>
      <c r="E494" s="3">
        <v>45743</v>
      </c>
      <c r="F494" s="3">
        <v>45741</v>
      </c>
      <c r="G494" s="2" t="s">
        <v>2631</v>
      </c>
      <c r="H494" s="2">
        <v>33</v>
      </c>
      <c r="I494" s="2">
        <f>IFERROR(INDEX(Raw_Orders!H494:H2922,MATCH(B494,Raw_Orders!A494:A2922,0)),0)</f>
        <v>33</v>
      </c>
      <c r="J494" s="2" t="str">
        <f t="shared" si="28"/>
        <v>Yes</v>
      </c>
      <c r="K494" s="2" t="str">
        <f t="shared" si="29"/>
        <v>Yes</v>
      </c>
      <c r="L494" s="2" t="str">
        <f t="shared" si="31"/>
        <v>Yes</v>
      </c>
      <c r="M494" s="2">
        <f t="shared" si="30"/>
        <v>1</v>
      </c>
    </row>
    <row r="495" spans="1:13" x14ac:dyDescent="0.3">
      <c r="A495" s="5" t="s">
        <v>3124</v>
      </c>
      <c r="B495" s="5" t="s">
        <v>644</v>
      </c>
      <c r="C495" s="5" t="s">
        <v>2606</v>
      </c>
      <c r="D495" s="6">
        <v>45734</v>
      </c>
      <c r="E495" s="6">
        <v>45738</v>
      </c>
      <c r="F495" s="6">
        <v>45740</v>
      </c>
      <c r="G495" s="5" t="s">
        <v>2631</v>
      </c>
      <c r="H495" s="5">
        <v>14</v>
      </c>
      <c r="I495" s="5">
        <f>IFERROR(INDEX(Raw_Orders!H495:H2923,MATCH(B495,Raw_Orders!A495:A2923,0)),0)</f>
        <v>14</v>
      </c>
      <c r="J495" s="5" t="str">
        <f t="shared" si="28"/>
        <v>No</v>
      </c>
      <c r="K495" s="5" t="str">
        <f t="shared" si="29"/>
        <v>Yes</v>
      </c>
      <c r="L495" s="5" t="str">
        <f t="shared" si="31"/>
        <v>No</v>
      </c>
      <c r="M495" s="5">
        <f t="shared" si="30"/>
        <v>0</v>
      </c>
    </row>
    <row r="496" spans="1:13" x14ac:dyDescent="0.3">
      <c r="A496" s="2" t="s">
        <v>3125</v>
      </c>
      <c r="B496" s="2" t="s">
        <v>645</v>
      </c>
      <c r="C496" s="2" t="s">
        <v>2611</v>
      </c>
      <c r="D496" s="3">
        <v>45737</v>
      </c>
      <c r="E496" s="3">
        <v>45745</v>
      </c>
      <c r="F496" s="3">
        <v>45748</v>
      </c>
      <c r="G496" s="2" t="s">
        <v>2641</v>
      </c>
      <c r="H496" s="2">
        <v>12</v>
      </c>
      <c r="I496" s="2">
        <f>IFERROR(INDEX(Raw_Orders!H496:H2924,MATCH(B496,Raw_Orders!A496:A2924,0)),0)</f>
        <v>13</v>
      </c>
      <c r="J496" s="2" t="str">
        <f t="shared" si="28"/>
        <v>No</v>
      </c>
      <c r="K496" s="2" t="str">
        <f t="shared" si="29"/>
        <v>N0</v>
      </c>
      <c r="L496" s="2" t="str">
        <f t="shared" si="31"/>
        <v>No</v>
      </c>
      <c r="M496" s="2">
        <f t="shared" si="30"/>
        <v>0</v>
      </c>
    </row>
    <row r="497" spans="1:13" x14ac:dyDescent="0.3">
      <c r="A497" s="5" t="s">
        <v>3126</v>
      </c>
      <c r="B497" s="5" t="s">
        <v>646</v>
      </c>
      <c r="C497" s="5" t="s">
        <v>2598</v>
      </c>
      <c r="D497" s="6">
        <v>45736</v>
      </c>
      <c r="E497" s="6">
        <v>45740</v>
      </c>
      <c r="F497" s="6">
        <v>45753</v>
      </c>
      <c r="G497" s="5" t="s">
        <v>2641</v>
      </c>
      <c r="H497" s="5">
        <v>22</v>
      </c>
      <c r="I497" s="5">
        <f>IFERROR(INDEX(Raw_Orders!H497:H2925,MATCH(B497,Raw_Orders!A497:A2925,0)),0)</f>
        <v>22</v>
      </c>
      <c r="J497" s="5" t="str">
        <f t="shared" si="28"/>
        <v>No</v>
      </c>
      <c r="K497" s="5" t="str">
        <f t="shared" si="29"/>
        <v>Yes</v>
      </c>
      <c r="L497" s="5" t="str">
        <f t="shared" si="31"/>
        <v>No</v>
      </c>
      <c r="M497" s="5">
        <f t="shared" si="30"/>
        <v>0</v>
      </c>
    </row>
    <row r="498" spans="1:13" x14ac:dyDescent="0.3">
      <c r="A498" s="2" t="s">
        <v>3127</v>
      </c>
      <c r="B498" s="2" t="s">
        <v>647</v>
      </c>
      <c r="C498" s="2" t="s">
        <v>2601</v>
      </c>
      <c r="D498" s="3">
        <v>45736</v>
      </c>
      <c r="E498" s="3">
        <v>45741</v>
      </c>
      <c r="F498" s="3">
        <v>45745</v>
      </c>
      <c r="G498" s="2" t="s">
        <v>2627</v>
      </c>
      <c r="H498" s="2">
        <v>17</v>
      </c>
      <c r="I498" s="2">
        <f>IFERROR(INDEX(Raw_Orders!H498:H2926,MATCH(B498,Raw_Orders!A498:A2926,0)),0)</f>
        <v>17</v>
      </c>
      <c r="J498" s="2" t="str">
        <f t="shared" si="28"/>
        <v>No</v>
      </c>
      <c r="K498" s="2" t="str">
        <f t="shared" si="29"/>
        <v>Yes</v>
      </c>
      <c r="L498" s="2" t="str">
        <f t="shared" si="31"/>
        <v>No</v>
      </c>
      <c r="M498" s="2">
        <f t="shared" si="30"/>
        <v>0</v>
      </c>
    </row>
    <row r="499" spans="1:13" x14ac:dyDescent="0.3">
      <c r="A499" s="5" t="s">
        <v>3128</v>
      </c>
      <c r="B499" s="5" t="s">
        <v>648</v>
      </c>
      <c r="C499" s="5" t="s">
        <v>2616</v>
      </c>
      <c r="D499" s="6">
        <v>45736</v>
      </c>
      <c r="E499" s="6">
        <v>45742</v>
      </c>
      <c r="F499" s="6">
        <v>45755</v>
      </c>
      <c r="G499" s="5" t="s">
        <v>2633</v>
      </c>
      <c r="H499" s="5">
        <v>10</v>
      </c>
      <c r="I499" s="5">
        <f>IFERROR(INDEX(Raw_Orders!H499:H2927,MATCH(B499,Raw_Orders!A499:A2927,0)),0)</f>
        <v>11</v>
      </c>
      <c r="J499" s="5" t="str">
        <f t="shared" si="28"/>
        <v>No</v>
      </c>
      <c r="K499" s="5" t="str">
        <f t="shared" si="29"/>
        <v>N0</v>
      </c>
      <c r="L499" s="5" t="str">
        <f t="shared" si="31"/>
        <v>No</v>
      </c>
      <c r="M499" s="5">
        <f t="shared" si="30"/>
        <v>0</v>
      </c>
    </row>
    <row r="500" spans="1:13" x14ac:dyDescent="0.3">
      <c r="A500" s="2" t="s">
        <v>3129</v>
      </c>
      <c r="B500" s="2" t="s">
        <v>649</v>
      </c>
      <c r="C500" s="2" t="s">
        <v>2606</v>
      </c>
      <c r="D500" s="3">
        <v>45736</v>
      </c>
      <c r="E500" s="3">
        <v>45743</v>
      </c>
      <c r="F500" s="3">
        <v>45744</v>
      </c>
      <c r="G500" s="2" t="s">
        <v>2627</v>
      </c>
      <c r="H500" s="2">
        <v>21</v>
      </c>
      <c r="I500" s="2">
        <f>IFERROR(INDEX(Raw_Orders!H500:H2928,MATCH(B500,Raw_Orders!A500:A2928,0)),0)</f>
        <v>21</v>
      </c>
      <c r="J500" s="2" t="str">
        <f t="shared" si="28"/>
        <v>No</v>
      </c>
      <c r="K500" s="2" t="str">
        <f t="shared" si="29"/>
        <v>Yes</v>
      </c>
      <c r="L500" s="2" t="str">
        <f t="shared" si="31"/>
        <v>No</v>
      </c>
      <c r="M500" s="2">
        <f t="shared" si="30"/>
        <v>0</v>
      </c>
    </row>
    <row r="501" spans="1:13" x14ac:dyDescent="0.3">
      <c r="A501" s="5" t="s">
        <v>3130</v>
      </c>
      <c r="B501" s="5" t="s">
        <v>650</v>
      </c>
      <c r="C501" s="5" t="s">
        <v>2608</v>
      </c>
      <c r="D501" s="6">
        <v>45735</v>
      </c>
      <c r="E501" s="6">
        <v>45745</v>
      </c>
      <c r="F501" s="6">
        <v>45747</v>
      </c>
      <c r="G501" s="5" t="s">
        <v>2629</v>
      </c>
      <c r="H501" s="5">
        <v>9</v>
      </c>
      <c r="I501" s="5">
        <f>IFERROR(INDEX(Raw_Orders!H501:H2929,MATCH(B501,Raw_Orders!A501:A2929,0)),0)</f>
        <v>9</v>
      </c>
      <c r="J501" s="5" t="str">
        <f t="shared" si="28"/>
        <v>No</v>
      </c>
      <c r="K501" s="5" t="str">
        <f t="shared" si="29"/>
        <v>Yes</v>
      </c>
      <c r="L501" s="5" t="str">
        <f t="shared" si="31"/>
        <v>No</v>
      </c>
      <c r="M501" s="5">
        <f t="shared" si="30"/>
        <v>0</v>
      </c>
    </row>
    <row r="502" spans="1:13" x14ac:dyDescent="0.3">
      <c r="A502" s="2" t="s">
        <v>3131</v>
      </c>
      <c r="B502" s="2" t="s">
        <v>651</v>
      </c>
      <c r="C502" s="2" t="s">
        <v>2614</v>
      </c>
      <c r="D502" s="3">
        <v>45737</v>
      </c>
      <c r="E502" s="3">
        <v>45741</v>
      </c>
      <c r="F502" s="3">
        <v>45755</v>
      </c>
      <c r="G502" s="2" t="s">
        <v>2641</v>
      </c>
      <c r="H502" s="2">
        <v>21</v>
      </c>
      <c r="I502" s="2">
        <f>IFERROR(INDEX(Raw_Orders!H502:H2930,MATCH(B502,Raw_Orders!A502:A2930,0)),0)</f>
        <v>23</v>
      </c>
      <c r="J502" s="2" t="str">
        <f t="shared" si="28"/>
        <v>No</v>
      </c>
      <c r="K502" s="2" t="str">
        <f t="shared" si="29"/>
        <v>N0</v>
      </c>
      <c r="L502" s="2" t="str">
        <f t="shared" si="31"/>
        <v>No</v>
      </c>
      <c r="M502" s="2">
        <f t="shared" si="30"/>
        <v>0</v>
      </c>
    </row>
    <row r="503" spans="1:13" x14ac:dyDescent="0.3">
      <c r="A503" s="5" t="s">
        <v>3132</v>
      </c>
      <c r="B503" s="5" t="s">
        <v>652</v>
      </c>
      <c r="C503" s="5" t="s">
        <v>2614</v>
      </c>
      <c r="D503" s="6">
        <v>45736</v>
      </c>
      <c r="E503" s="6">
        <v>45742</v>
      </c>
      <c r="F503" s="6">
        <v>45754</v>
      </c>
      <c r="G503" s="5" t="s">
        <v>2627</v>
      </c>
      <c r="H503" s="5">
        <v>19</v>
      </c>
      <c r="I503" s="5">
        <f>IFERROR(INDEX(Raw_Orders!H503:H2931,MATCH(B503,Raw_Orders!A503:A2931,0)),0)</f>
        <v>19</v>
      </c>
      <c r="J503" s="5" t="str">
        <f t="shared" si="28"/>
        <v>No</v>
      </c>
      <c r="K503" s="5" t="str">
        <f t="shared" si="29"/>
        <v>Yes</v>
      </c>
      <c r="L503" s="5" t="str">
        <f t="shared" si="31"/>
        <v>No</v>
      </c>
      <c r="M503" s="5">
        <f t="shared" si="30"/>
        <v>0</v>
      </c>
    </row>
    <row r="504" spans="1:13" x14ac:dyDescent="0.3">
      <c r="A504" s="2" t="s">
        <v>3133</v>
      </c>
      <c r="B504" s="2" t="s">
        <v>653</v>
      </c>
      <c r="C504" s="2" t="s">
        <v>2604</v>
      </c>
      <c r="D504" s="3">
        <v>45737</v>
      </c>
      <c r="E504" s="3">
        <v>45742</v>
      </c>
      <c r="F504" s="3">
        <v>45742</v>
      </c>
      <c r="G504" s="2" t="s">
        <v>2631</v>
      </c>
      <c r="H504" s="2">
        <v>18</v>
      </c>
      <c r="I504" s="2">
        <f>IFERROR(INDEX(Raw_Orders!H504:H2932,MATCH(B504,Raw_Orders!A504:A2932,0)),0)</f>
        <v>18</v>
      </c>
      <c r="J504" s="2" t="str">
        <f t="shared" si="28"/>
        <v>Yes</v>
      </c>
      <c r="K504" s="2" t="str">
        <f t="shared" si="29"/>
        <v>Yes</v>
      </c>
      <c r="L504" s="2" t="str">
        <f t="shared" si="31"/>
        <v>Yes</v>
      </c>
      <c r="M504" s="2">
        <f t="shared" si="30"/>
        <v>1</v>
      </c>
    </row>
    <row r="505" spans="1:13" x14ac:dyDescent="0.3">
      <c r="A505" s="5" t="s">
        <v>3134</v>
      </c>
      <c r="B505" s="5" t="s">
        <v>654</v>
      </c>
      <c r="C505" s="5" t="s">
        <v>2606</v>
      </c>
      <c r="D505" s="6">
        <v>45738</v>
      </c>
      <c r="E505" s="6">
        <v>45739</v>
      </c>
      <c r="F505" s="6">
        <v>45744</v>
      </c>
      <c r="G505" s="5" t="s">
        <v>2627</v>
      </c>
      <c r="H505" s="5">
        <v>41</v>
      </c>
      <c r="I505" s="5">
        <f>IFERROR(INDEX(Raw_Orders!H505:H2933,MATCH(B505,Raw_Orders!A505:A2933,0)),0)</f>
        <v>42</v>
      </c>
      <c r="J505" s="5" t="str">
        <f t="shared" si="28"/>
        <v>No</v>
      </c>
      <c r="K505" s="5" t="str">
        <f t="shared" si="29"/>
        <v>N0</v>
      </c>
      <c r="L505" s="5" t="str">
        <f t="shared" si="31"/>
        <v>No</v>
      </c>
      <c r="M505" s="5">
        <f t="shared" si="30"/>
        <v>0</v>
      </c>
    </row>
    <row r="506" spans="1:13" x14ac:dyDescent="0.3">
      <c r="A506" s="2" t="s">
        <v>3135</v>
      </c>
      <c r="B506" s="2" t="s">
        <v>655</v>
      </c>
      <c r="C506" s="2" t="s">
        <v>2608</v>
      </c>
      <c r="D506" s="3">
        <v>45737</v>
      </c>
      <c r="E506" s="3">
        <v>45744</v>
      </c>
      <c r="F506" s="3">
        <v>45750</v>
      </c>
      <c r="G506" s="2" t="s">
        <v>2627</v>
      </c>
      <c r="H506" s="2">
        <v>35</v>
      </c>
      <c r="I506" s="2">
        <f>IFERROR(INDEX(Raw_Orders!H506:H2934,MATCH(B506,Raw_Orders!A506:A2934,0)),0)</f>
        <v>35</v>
      </c>
      <c r="J506" s="2" t="str">
        <f t="shared" si="28"/>
        <v>No</v>
      </c>
      <c r="K506" s="2" t="str">
        <f t="shared" si="29"/>
        <v>Yes</v>
      </c>
      <c r="L506" s="2" t="str">
        <f t="shared" si="31"/>
        <v>No</v>
      </c>
      <c r="M506" s="2">
        <f t="shared" si="30"/>
        <v>0</v>
      </c>
    </row>
    <row r="507" spans="1:13" x14ac:dyDescent="0.3">
      <c r="A507" s="5" t="s">
        <v>3136</v>
      </c>
      <c r="B507" s="5" t="s">
        <v>656</v>
      </c>
      <c r="C507" s="5" t="s">
        <v>2608</v>
      </c>
      <c r="D507" s="6">
        <v>45737</v>
      </c>
      <c r="E507" s="6">
        <v>45740</v>
      </c>
      <c r="F507" s="6">
        <v>45751</v>
      </c>
      <c r="G507" s="5" t="s">
        <v>2631</v>
      </c>
      <c r="H507" s="5">
        <v>8</v>
      </c>
      <c r="I507" s="5">
        <f>IFERROR(INDEX(Raw_Orders!H507:H2935,MATCH(B507,Raw_Orders!A507:A2935,0)),0)</f>
        <v>8</v>
      </c>
      <c r="J507" s="5" t="str">
        <f t="shared" si="28"/>
        <v>No</v>
      </c>
      <c r="K507" s="5" t="str">
        <f t="shared" si="29"/>
        <v>Yes</v>
      </c>
      <c r="L507" s="5" t="str">
        <f t="shared" si="31"/>
        <v>No</v>
      </c>
      <c r="M507" s="5">
        <f t="shared" si="30"/>
        <v>0</v>
      </c>
    </row>
    <row r="508" spans="1:13" x14ac:dyDescent="0.3">
      <c r="A508" s="2" t="s">
        <v>3137</v>
      </c>
      <c r="B508" s="2" t="s">
        <v>657</v>
      </c>
      <c r="C508" s="2" t="s">
        <v>2611</v>
      </c>
      <c r="D508" s="3">
        <v>45737</v>
      </c>
      <c r="E508" s="3">
        <v>45743</v>
      </c>
      <c r="F508" s="3">
        <v>45744</v>
      </c>
      <c r="G508" s="2" t="s">
        <v>2633</v>
      </c>
      <c r="H508" s="2">
        <v>41</v>
      </c>
      <c r="I508" s="2">
        <f>IFERROR(INDEX(Raw_Orders!H508:H2936,MATCH(B508,Raw_Orders!A508:A2936,0)),0)</f>
        <v>41</v>
      </c>
      <c r="J508" s="2" t="str">
        <f t="shared" si="28"/>
        <v>No</v>
      </c>
      <c r="K508" s="2" t="str">
        <f t="shared" si="29"/>
        <v>Yes</v>
      </c>
      <c r="L508" s="2" t="str">
        <f t="shared" si="31"/>
        <v>No</v>
      </c>
      <c r="M508" s="2">
        <f t="shared" si="30"/>
        <v>0</v>
      </c>
    </row>
    <row r="509" spans="1:13" x14ac:dyDescent="0.3">
      <c r="A509" s="5" t="s">
        <v>3138</v>
      </c>
      <c r="B509" s="5" t="s">
        <v>658</v>
      </c>
      <c r="C509" s="5" t="s">
        <v>2598</v>
      </c>
      <c r="D509" s="6">
        <v>45739</v>
      </c>
      <c r="E509" s="6">
        <v>45746</v>
      </c>
      <c r="F509" s="6">
        <v>45752</v>
      </c>
      <c r="G509" s="5" t="s">
        <v>2631</v>
      </c>
      <c r="H509" s="5">
        <v>49</v>
      </c>
      <c r="I509" s="5">
        <f>IFERROR(INDEX(Raw_Orders!H509:H2937,MATCH(B509,Raw_Orders!A509:A2937,0)),0)</f>
        <v>49</v>
      </c>
      <c r="J509" s="5" t="str">
        <f t="shared" si="28"/>
        <v>No</v>
      </c>
      <c r="K509" s="5" t="str">
        <f t="shared" si="29"/>
        <v>Yes</v>
      </c>
      <c r="L509" s="5" t="str">
        <f t="shared" si="31"/>
        <v>No</v>
      </c>
      <c r="M509" s="5">
        <f t="shared" si="30"/>
        <v>0</v>
      </c>
    </row>
    <row r="510" spans="1:13" x14ac:dyDescent="0.3">
      <c r="A510" s="2" t="s">
        <v>3139</v>
      </c>
      <c r="B510" s="2" t="s">
        <v>659</v>
      </c>
      <c r="C510" s="2" t="s">
        <v>2604</v>
      </c>
      <c r="D510" s="3">
        <v>45738</v>
      </c>
      <c r="E510" s="3">
        <v>45743</v>
      </c>
      <c r="F510" s="3">
        <v>45743</v>
      </c>
      <c r="G510" s="2" t="s">
        <v>2629</v>
      </c>
      <c r="H510" s="2">
        <v>52</v>
      </c>
      <c r="I510" s="2">
        <f>IFERROR(INDEX(Raw_Orders!H510:H2938,MATCH(B510,Raw_Orders!A510:A2938,0)),0)</f>
        <v>52</v>
      </c>
      <c r="J510" s="2" t="str">
        <f t="shared" si="28"/>
        <v>Yes</v>
      </c>
      <c r="K510" s="2" t="str">
        <f t="shared" si="29"/>
        <v>Yes</v>
      </c>
      <c r="L510" s="2" t="str">
        <f t="shared" si="31"/>
        <v>Yes</v>
      </c>
      <c r="M510" s="2">
        <f t="shared" si="30"/>
        <v>1</v>
      </c>
    </row>
    <row r="511" spans="1:13" x14ac:dyDescent="0.3">
      <c r="A511" s="5" t="s">
        <v>3140</v>
      </c>
      <c r="B511" s="5" t="s">
        <v>660</v>
      </c>
      <c r="C511" s="5" t="s">
        <v>2606</v>
      </c>
      <c r="D511" s="6">
        <v>45738</v>
      </c>
      <c r="E511" s="6">
        <v>45746</v>
      </c>
      <c r="F511" s="6">
        <v>45743</v>
      </c>
      <c r="G511" s="5" t="s">
        <v>2631</v>
      </c>
      <c r="H511" s="5">
        <v>60</v>
      </c>
      <c r="I511" s="5">
        <f>IFERROR(INDEX(Raw_Orders!H511:H2939,MATCH(B511,Raw_Orders!A511:A2939,0)),0)</f>
        <v>60</v>
      </c>
      <c r="J511" s="5" t="str">
        <f t="shared" si="28"/>
        <v>Yes</v>
      </c>
      <c r="K511" s="5" t="str">
        <f t="shared" si="29"/>
        <v>Yes</v>
      </c>
      <c r="L511" s="5" t="str">
        <f t="shared" si="31"/>
        <v>Yes</v>
      </c>
      <c r="M511" s="5">
        <f t="shared" si="30"/>
        <v>1</v>
      </c>
    </row>
    <row r="512" spans="1:13" x14ac:dyDescent="0.3">
      <c r="A512" s="2" t="s">
        <v>3141</v>
      </c>
      <c r="B512" s="2" t="s">
        <v>661</v>
      </c>
      <c r="C512" s="2" t="s">
        <v>2606</v>
      </c>
      <c r="D512" s="3">
        <v>45737</v>
      </c>
      <c r="E512" s="3">
        <v>45746</v>
      </c>
      <c r="F512" s="3">
        <v>45743</v>
      </c>
      <c r="G512" s="2" t="s">
        <v>2633</v>
      </c>
      <c r="H512" s="2">
        <v>13</v>
      </c>
      <c r="I512" s="2">
        <f>IFERROR(INDEX(Raw_Orders!H512:H2940,MATCH(B512,Raw_Orders!A512:A2940,0)),0)</f>
        <v>13</v>
      </c>
      <c r="J512" s="2" t="str">
        <f t="shared" si="28"/>
        <v>Yes</v>
      </c>
      <c r="K512" s="2" t="str">
        <f t="shared" si="29"/>
        <v>Yes</v>
      </c>
      <c r="L512" s="2" t="str">
        <f t="shared" si="31"/>
        <v>Yes</v>
      </c>
      <c r="M512" s="2">
        <f t="shared" si="30"/>
        <v>1</v>
      </c>
    </row>
    <row r="513" spans="1:13" x14ac:dyDescent="0.3">
      <c r="A513" s="5" t="s">
        <v>3142</v>
      </c>
      <c r="B513" s="5" t="s">
        <v>662</v>
      </c>
      <c r="C513" s="5" t="s">
        <v>2608</v>
      </c>
      <c r="D513" s="6">
        <v>45738</v>
      </c>
      <c r="E513" s="6">
        <v>45745</v>
      </c>
      <c r="F513" s="6">
        <v>45750</v>
      </c>
      <c r="G513" s="5" t="s">
        <v>2641</v>
      </c>
      <c r="H513" s="5">
        <v>28</v>
      </c>
      <c r="I513" s="5">
        <f>IFERROR(INDEX(Raw_Orders!H513:H2941,MATCH(B513,Raw_Orders!A513:A2941,0)),0)</f>
        <v>28</v>
      </c>
      <c r="J513" s="5" t="str">
        <f t="shared" si="28"/>
        <v>No</v>
      </c>
      <c r="K513" s="5" t="str">
        <f t="shared" si="29"/>
        <v>Yes</v>
      </c>
      <c r="L513" s="5" t="str">
        <f t="shared" si="31"/>
        <v>No</v>
      </c>
      <c r="M513" s="5">
        <f t="shared" si="30"/>
        <v>0</v>
      </c>
    </row>
    <row r="514" spans="1:13" x14ac:dyDescent="0.3">
      <c r="A514" s="2" t="s">
        <v>3143</v>
      </c>
      <c r="B514" s="2" t="s">
        <v>663</v>
      </c>
      <c r="C514" s="2" t="s">
        <v>2608</v>
      </c>
      <c r="D514" s="3">
        <v>45737</v>
      </c>
      <c r="E514" s="3">
        <v>45744</v>
      </c>
      <c r="F514" s="3">
        <v>45749</v>
      </c>
      <c r="G514" s="2" t="s">
        <v>2629</v>
      </c>
      <c r="H514" s="2">
        <v>1</v>
      </c>
      <c r="I514" s="2">
        <f>IFERROR(INDEX(Raw_Orders!H514:H2942,MATCH(B514,Raw_Orders!A514:A2942,0)),0)</f>
        <v>7</v>
      </c>
      <c r="J514" s="2" t="str">
        <f t="shared" si="28"/>
        <v>No</v>
      </c>
      <c r="K514" s="2" t="str">
        <f t="shared" si="29"/>
        <v>N0</v>
      </c>
      <c r="L514" s="2" t="str">
        <f t="shared" si="31"/>
        <v>No</v>
      </c>
      <c r="M514" s="2">
        <f t="shared" si="30"/>
        <v>0</v>
      </c>
    </row>
    <row r="515" spans="1:13" x14ac:dyDescent="0.3">
      <c r="A515" s="5" t="s">
        <v>3144</v>
      </c>
      <c r="B515" s="5" t="s">
        <v>664</v>
      </c>
      <c r="C515" s="5" t="s">
        <v>2598</v>
      </c>
      <c r="D515" s="6">
        <v>45739</v>
      </c>
      <c r="E515" s="6">
        <v>45745</v>
      </c>
      <c r="F515" s="6">
        <v>45751</v>
      </c>
      <c r="G515" s="5" t="s">
        <v>2633</v>
      </c>
      <c r="H515" s="5">
        <v>36</v>
      </c>
      <c r="I515" s="5">
        <f>IFERROR(INDEX(Raw_Orders!H515:H2943,MATCH(B515,Raw_Orders!A515:A2943,0)),0)</f>
        <v>36</v>
      </c>
      <c r="J515" s="5" t="str">
        <f t="shared" ref="J515:J578" si="32">IF(E515&gt;=F515,"Yes","No")</f>
        <v>No</v>
      </c>
      <c r="K515" s="5" t="str">
        <f t="shared" ref="K515:K578" si="33">IF(H515&gt;=I515,"Yes","N0")</f>
        <v>Yes</v>
      </c>
      <c r="L515" s="5" t="str">
        <f t="shared" si="31"/>
        <v>No</v>
      </c>
      <c r="M515" s="5">
        <f t="shared" ref="M515:M578" si="34">IF(L515="Yes",1,0)</f>
        <v>0</v>
      </c>
    </row>
    <row r="516" spans="1:13" x14ac:dyDescent="0.3">
      <c r="A516" s="2" t="s">
        <v>3145</v>
      </c>
      <c r="B516" s="2" t="s">
        <v>665</v>
      </c>
      <c r="C516" s="2" t="s">
        <v>2598</v>
      </c>
      <c r="D516" s="3">
        <v>45740</v>
      </c>
      <c r="E516" s="3">
        <v>45747</v>
      </c>
      <c r="F516" s="3">
        <v>45753</v>
      </c>
      <c r="G516" s="2" t="s">
        <v>2633</v>
      </c>
      <c r="H516" s="2">
        <v>58</v>
      </c>
      <c r="I516" s="2">
        <f>IFERROR(INDEX(Raw_Orders!H516:H2944,MATCH(B516,Raw_Orders!A516:A2944,0)),0)</f>
        <v>58</v>
      </c>
      <c r="J516" s="2" t="str">
        <f t="shared" si="32"/>
        <v>No</v>
      </c>
      <c r="K516" s="2" t="str">
        <f t="shared" si="33"/>
        <v>Yes</v>
      </c>
      <c r="L516" s="2" t="str">
        <f t="shared" ref="L516:L579" si="35">IF(AND(J516="Yes",K516="Yes"),"Yes","No")</f>
        <v>No</v>
      </c>
      <c r="M516" s="2">
        <f t="shared" si="34"/>
        <v>0</v>
      </c>
    </row>
    <row r="517" spans="1:13" x14ac:dyDescent="0.3">
      <c r="A517" s="5" t="s">
        <v>3146</v>
      </c>
      <c r="B517" s="5" t="s">
        <v>666</v>
      </c>
      <c r="C517" s="5" t="s">
        <v>2616</v>
      </c>
      <c r="D517" s="6">
        <v>45739</v>
      </c>
      <c r="E517" s="6">
        <v>45747</v>
      </c>
      <c r="F517" s="6">
        <v>45754</v>
      </c>
      <c r="G517" s="5" t="s">
        <v>2633</v>
      </c>
      <c r="H517" s="5">
        <v>50</v>
      </c>
      <c r="I517" s="5">
        <f>IFERROR(INDEX(Raw_Orders!H517:H2945,MATCH(B517,Raw_Orders!A517:A2945,0)),0)</f>
        <v>50</v>
      </c>
      <c r="J517" s="5" t="str">
        <f t="shared" si="32"/>
        <v>No</v>
      </c>
      <c r="K517" s="5" t="str">
        <f t="shared" si="33"/>
        <v>Yes</v>
      </c>
      <c r="L517" s="5" t="str">
        <f t="shared" si="35"/>
        <v>No</v>
      </c>
      <c r="M517" s="5">
        <f t="shared" si="34"/>
        <v>0</v>
      </c>
    </row>
    <row r="518" spans="1:13" x14ac:dyDescent="0.3">
      <c r="A518" s="2" t="s">
        <v>3147</v>
      </c>
      <c r="B518" s="2" t="s">
        <v>667</v>
      </c>
      <c r="C518" s="2" t="s">
        <v>2608</v>
      </c>
      <c r="D518" s="3">
        <v>45739</v>
      </c>
      <c r="E518" s="3">
        <v>45748</v>
      </c>
      <c r="F518" s="3">
        <v>45752</v>
      </c>
      <c r="G518" s="2" t="s">
        <v>2633</v>
      </c>
      <c r="H518" s="2">
        <v>22</v>
      </c>
      <c r="I518" s="2">
        <f>IFERROR(INDEX(Raw_Orders!H518:H2946,MATCH(B518,Raw_Orders!A518:A2946,0)),0)</f>
        <v>22</v>
      </c>
      <c r="J518" s="2" t="str">
        <f t="shared" si="32"/>
        <v>No</v>
      </c>
      <c r="K518" s="2" t="str">
        <f t="shared" si="33"/>
        <v>Yes</v>
      </c>
      <c r="L518" s="2" t="str">
        <f t="shared" si="35"/>
        <v>No</v>
      </c>
      <c r="M518" s="2">
        <f t="shared" si="34"/>
        <v>0</v>
      </c>
    </row>
    <row r="519" spans="1:13" x14ac:dyDescent="0.3">
      <c r="A519" s="5" t="s">
        <v>3148</v>
      </c>
      <c r="B519" s="5" t="s">
        <v>668</v>
      </c>
      <c r="C519" s="5" t="s">
        <v>2598</v>
      </c>
      <c r="D519" s="6">
        <v>45740</v>
      </c>
      <c r="E519" s="6">
        <v>45743</v>
      </c>
      <c r="F519" s="6">
        <v>45753</v>
      </c>
      <c r="G519" s="5" t="s">
        <v>2641</v>
      </c>
      <c r="H519" s="5">
        <v>17</v>
      </c>
      <c r="I519" s="5">
        <f>IFERROR(INDEX(Raw_Orders!H519:H2947,MATCH(B519,Raw_Orders!A519:A2947,0)),0)</f>
        <v>17</v>
      </c>
      <c r="J519" s="5" t="str">
        <f t="shared" si="32"/>
        <v>No</v>
      </c>
      <c r="K519" s="5" t="str">
        <f t="shared" si="33"/>
        <v>Yes</v>
      </c>
      <c r="L519" s="5" t="str">
        <f t="shared" si="35"/>
        <v>No</v>
      </c>
      <c r="M519" s="5">
        <f t="shared" si="34"/>
        <v>0</v>
      </c>
    </row>
    <row r="520" spans="1:13" x14ac:dyDescent="0.3">
      <c r="A520" s="2" t="s">
        <v>3149</v>
      </c>
      <c r="B520" s="2" t="s">
        <v>669</v>
      </c>
      <c r="C520" s="2" t="s">
        <v>2606</v>
      </c>
      <c r="D520" s="3">
        <v>45739</v>
      </c>
      <c r="E520" s="3">
        <v>45748</v>
      </c>
      <c r="F520" s="3">
        <v>45746</v>
      </c>
      <c r="G520" s="2" t="s">
        <v>2631</v>
      </c>
      <c r="H520" s="2">
        <v>43</v>
      </c>
      <c r="I520" s="2">
        <f>IFERROR(INDEX(Raw_Orders!H520:H2948,MATCH(B520,Raw_Orders!A520:A2948,0)),0)</f>
        <v>43</v>
      </c>
      <c r="J520" s="2" t="str">
        <f t="shared" si="32"/>
        <v>Yes</v>
      </c>
      <c r="K520" s="2" t="str">
        <f t="shared" si="33"/>
        <v>Yes</v>
      </c>
      <c r="L520" s="2" t="str">
        <f t="shared" si="35"/>
        <v>Yes</v>
      </c>
      <c r="M520" s="2">
        <f t="shared" si="34"/>
        <v>1</v>
      </c>
    </row>
    <row r="521" spans="1:13" x14ac:dyDescent="0.3">
      <c r="A521" s="5" t="s">
        <v>3150</v>
      </c>
      <c r="B521" s="5" t="s">
        <v>670</v>
      </c>
      <c r="C521" s="5" t="s">
        <v>2606</v>
      </c>
      <c r="D521" s="6">
        <v>45740</v>
      </c>
      <c r="E521" s="6">
        <v>45746</v>
      </c>
      <c r="F521" s="6">
        <v>45745</v>
      </c>
      <c r="G521" s="5" t="s">
        <v>2631</v>
      </c>
      <c r="H521" s="5">
        <v>44</v>
      </c>
      <c r="I521" s="5">
        <f>IFERROR(INDEX(Raw_Orders!H521:H2949,MATCH(B521,Raw_Orders!A521:A2949,0)),0)</f>
        <v>44</v>
      </c>
      <c r="J521" s="5" t="str">
        <f t="shared" si="32"/>
        <v>Yes</v>
      </c>
      <c r="K521" s="5" t="str">
        <f t="shared" si="33"/>
        <v>Yes</v>
      </c>
      <c r="L521" s="5" t="str">
        <f t="shared" si="35"/>
        <v>Yes</v>
      </c>
      <c r="M521" s="5">
        <f t="shared" si="34"/>
        <v>1</v>
      </c>
    </row>
    <row r="522" spans="1:13" x14ac:dyDescent="0.3">
      <c r="A522" s="2" t="s">
        <v>3151</v>
      </c>
      <c r="B522" s="2" t="s">
        <v>671</v>
      </c>
      <c r="C522" s="2" t="s">
        <v>2611</v>
      </c>
      <c r="D522" s="3">
        <v>45740</v>
      </c>
      <c r="E522" s="3">
        <v>45749</v>
      </c>
      <c r="F522" s="3">
        <v>45747</v>
      </c>
      <c r="G522" s="2" t="s">
        <v>2641</v>
      </c>
      <c r="H522" s="2">
        <v>22</v>
      </c>
      <c r="I522" s="2">
        <f>IFERROR(INDEX(Raw_Orders!H522:H2950,MATCH(B522,Raw_Orders!A522:A2950,0)),0)</f>
        <v>22</v>
      </c>
      <c r="J522" s="2" t="str">
        <f t="shared" si="32"/>
        <v>Yes</v>
      </c>
      <c r="K522" s="2" t="str">
        <f t="shared" si="33"/>
        <v>Yes</v>
      </c>
      <c r="L522" s="2" t="str">
        <f t="shared" si="35"/>
        <v>Yes</v>
      </c>
      <c r="M522" s="2">
        <f t="shared" si="34"/>
        <v>1</v>
      </c>
    </row>
    <row r="523" spans="1:13" x14ac:dyDescent="0.3">
      <c r="A523" s="5" t="s">
        <v>3152</v>
      </c>
      <c r="B523" s="5" t="s">
        <v>672</v>
      </c>
      <c r="C523" s="5" t="s">
        <v>2598</v>
      </c>
      <c r="D523" s="6">
        <v>45742</v>
      </c>
      <c r="E523" s="6">
        <v>45745</v>
      </c>
      <c r="F523" s="6">
        <v>45755</v>
      </c>
      <c r="G523" s="5" t="s">
        <v>2631</v>
      </c>
      <c r="H523" s="5">
        <v>26</v>
      </c>
      <c r="I523" s="5">
        <f>IFERROR(INDEX(Raw_Orders!H523:H2951,MATCH(B523,Raw_Orders!A523:A2951,0)),0)</f>
        <v>26</v>
      </c>
      <c r="J523" s="5" t="str">
        <f t="shared" si="32"/>
        <v>No</v>
      </c>
      <c r="K523" s="5" t="str">
        <f t="shared" si="33"/>
        <v>Yes</v>
      </c>
      <c r="L523" s="5" t="str">
        <f t="shared" si="35"/>
        <v>No</v>
      </c>
      <c r="M523" s="5">
        <f t="shared" si="34"/>
        <v>0</v>
      </c>
    </row>
    <row r="524" spans="1:13" x14ac:dyDescent="0.3">
      <c r="A524" s="2" t="s">
        <v>3153</v>
      </c>
      <c r="B524" s="2" t="s">
        <v>673</v>
      </c>
      <c r="C524" s="2" t="s">
        <v>2601</v>
      </c>
      <c r="D524" s="3">
        <v>45741</v>
      </c>
      <c r="E524" s="3">
        <v>45750</v>
      </c>
      <c r="F524" s="3">
        <v>45745</v>
      </c>
      <c r="G524" s="2" t="s">
        <v>2627</v>
      </c>
      <c r="H524" s="2">
        <v>24</v>
      </c>
      <c r="I524" s="2">
        <f>IFERROR(INDEX(Raw_Orders!H524:H2952,MATCH(B524,Raw_Orders!A524:A2952,0)),0)</f>
        <v>24</v>
      </c>
      <c r="J524" s="2" t="str">
        <f t="shared" si="32"/>
        <v>Yes</v>
      </c>
      <c r="K524" s="2" t="str">
        <f t="shared" si="33"/>
        <v>Yes</v>
      </c>
      <c r="L524" s="2" t="str">
        <f t="shared" si="35"/>
        <v>Yes</v>
      </c>
      <c r="M524" s="2">
        <f t="shared" si="34"/>
        <v>1</v>
      </c>
    </row>
    <row r="525" spans="1:13" x14ac:dyDescent="0.3">
      <c r="A525" s="5" t="s">
        <v>3154</v>
      </c>
      <c r="B525" s="5" t="s">
        <v>674</v>
      </c>
      <c r="C525" s="5" t="s">
        <v>2614</v>
      </c>
      <c r="D525" s="6">
        <v>45741</v>
      </c>
      <c r="E525" s="6">
        <v>45744</v>
      </c>
      <c r="F525" s="6">
        <v>45755</v>
      </c>
      <c r="G525" s="5" t="s">
        <v>2627</v>
      </c>
      <c r="H525" s="5">
        <v>7</v>
      </c>
      <c r="I525" s="5">
        <f>IFERROR(INDEX(Raw_Orders!H525:H2953,MATCH(B525,Raw_Orders!A525:A2953,0)),0)</f>
        <v>13</v>
      </c>
      <c r="J525" s="5" t="str">
        <f t="shared" si="32"/>
        <v>No</v>
      </c>
      <c r="K525" s="5" t="str">
        <f t="shared" si="33"/>
        <v>N0</v>
      </c>
      <c r="L525" s="5" t="str">
        <f t="shared" si="35"/>
        <v>No</v>
      </c>
      <c r="M525" s="5">
        <f t="shared" si="34"/>
        <v>0</v>
      </c>
    </row>
    <row r="526" spans="1:13" x14ac:dyDescent="0.3">
      <c r="A526" s="2" t="s">
        <v>3155</v>
      </c>
      <c r="B526" s="2" t="s">
        <v>675</v>
      </c>
      <c r="C526" s="2" t="s">
        <v>2616</v>
      </c>
      <c r="D526" s="3">
        <v>45741</v>
      </c>
      <c r="E526" s="3">
        <v>45747</v>
      </c>
      <c r="F526" s="3">
        <v>45760</v>
      </c>
      <c r="G526" s="2" t="s">
        <v>2627</v>
      </c>
      <c r="H526" s="2">
        <v>39</v>
      </c>
      <c r="I526" s="2">
        <f>IFERROR(INDEX(Raw_Orders!H526:H2954,MATCH(B526,Raw_Orders!A526:A2954,0)),0)</f>
        <v>39</v>
      </c>
      <c r="J526" s="2" t="str">
        <f t="shared" si="32"/>
        <v>No</v>
      </c>
      <c r="K526" s="2" t="str">
        <f t="shared" si="33"/>
        <v>Yes</v>
      </c>
      <c r="L526" s="2" t="str">
        <f t="shared" si="35"/>
        <v>No</v>
      </c>
      <c r="M526" s="2">
        <f t="shared" si="34"/>
        <v>0</v>
      </c>
    </row>
    <row r="527" spans="1:13" x14ac:dyDescent="0.3">
      <c r="A527" s="5" t="s">
        <v>3156</v>
      </c>
      <c r="B527" s="5" t="s">
        <v>676</v>
      </c>
      <c r="C527" s="5" t="s">
        <v>2606</v>
      </c>
      <c r="D527" s="6">
        <v>45742</v>
      </c>
      <c r="E527" s="6">
        <v>45744</v>
      </c>
      <c r="F527" s="6">
        <v>45748</v>
      </c>
      <c r="G527" s="5" t="s">
        <v>2641</v>
      </c>
      <c r="H527" s="5">
        <v>34</v>
      </c>
      <c r="I527" s="5">
        <f>IFERROR(INDEX(Raw_Orders!H527:H2955,MATCH(B527,Raw_Orders!A527:A2955,0)),0)</f>
        <v>37</v>
      </c>
      <c r="J527" s="5" t="str">
        <f t="shared" si="32"/>
        <v>No</v>
      </c>
      <c r="K527" s="5" t="str">
        <f t="shared" si="33"/>
        <v>N0</v>
      </c>
      <c r="L527" s="5" t="str">
        <f t="shared" si="35"/>
        <v>No</v>
      </c>
      <c r="M527" s="5">
        <f t="shared" si="34"/>
        <v>0</v>
      </c>
    </row>
    <row r="528" spans="1:13" x14ac:dyDescent="0.3">
      <c r="A528" s="2" t="s">
        <v>3157</v>
      </c>
      <c r="B528" s="2" t="s">
        <v>677</v>
      </c>
      <c r="C528" s="2" t="s">
        <v>2606</v>
      </c>
      <c r="D528" s="3">
        <v>45741</v>
      </c>
      <c r="E528" s="3">
        <v>45743</v>
      </c>
      <c r="F528" s="3">
        <v>45751</v>
      </c>
      <c r="G528" s="2" t="s">
        <v>2633</v>
      </c>
      <c r="H528" s="2">
        <v>34</v>
      </c>
      <c r="I528" s="2">
        <f>IFERROR(INDEX(Raw_Orders!H528:H2956,MATCH(B528,Raw_Orders!A528:A2956,0)),0)</f>
        <v>35</v>
      </c>
      <c r="J528" s="2" t="str">
        <f t="shared" si="32"/>
        <v>No</v>
      </c>
      <c r="K528" s="2" t="str">
        <f t="shared" si="33"/>
        <v>N0</v>
      </c>
      <c r="L528" s="2" t="str">
        <f t="shared" si="35"/>
        <v>No</v>
      </c>
      <c r="M528" s="2">
        <f t="shared" si="34"/>
        <v>0</v>
      </c>
    </row>
    <row r="529" spans="1:13" x14ac:dyDescent="0.3">
      <c r="A529" s="5" t="s">
        <v>3158</v>
      </c>
      <c r="B529" s="5" t="s">
        <v>678</v>
      </c>
      <c r="C529" s="5" t="s">
        <v>2598</v>
      </c>
      <c r="D529" s="6">
        <v>45743</v>
      </c>
      <c r="E529" s="6">
        <v>45744</v>
      </c>
      <c r="F529" s="6">
        <v>45756</v>
      </c>
      <c r="G529" s="5" t="s">
        <v>2627</v>
      </c>
      <c r="H529" s="5">
        <v>33</v>
      </c>
      <c r="I529" s="5">
        <f>IFERROR(INDEX(Raw_Orders!H529:H2957,MATCH(B529,Raw_Orders!A529:A2957,0)),0)</f>
        <v>33</v>
      </c>
      <c r="J529" s="5" t="str">
        <f t="shared" si="32"/>
        <v>No</v>
      </c>
      <c r="K529" s="5" t="str">
        <f t="shared" si="33"/>
        <v>Yes</v>
      </c>
      <c r="L529" s="5" t="str">
        <f t="shared" si="35"/>
        <v>No</v>
      </c>
      <c r="M529" s="5">
        <f t="shared" si="34"/>
        <v>0</v>
      </c>
    </row>
    <row r="530" spans="1:13" x14ac:dyDescent="0.3">
      <c r="A530" s="2" t="s">
        <v>3159</v>
      </c>
      <c r="B530" s="2" t="s">
        <v>679</v>
      </c>
      <c r="C530" s="2" t="s">
        <v>2614</v>
      </c>
      <c r="D530" s="3">
        <v>45742</v>
      </c>
      <c r="E530" s="3">
        <v>45745</v>
      </c>
      <c r="F530" s="3">
        <v>45755</v>
      </c>
      <c r="G530" s="2" t="s">
        <v>2641</v>
      </c>
      <c r="H530" s="2">
        <v>17</v>
      </c>
      <c r="I530" s="2">
        <f>IFERROR(INDEX(Raw_Orders!H530:H2958,MATCH(B530,Raw_Orders!A530:A2958,0)),0)</f>
        <v>17</v>
      </c>
      <c r="J530" s="2" t="str">
        <f t="shared" si="32"/>
        <v>No</v>
      </c>
      <c r="K530" s="2" t="str">
        <f t="shared" si="33"/>
        <v>Yes</v>
      </c>
      <c r="L530" s="2" t="str">
        <f t="shared" si="35"/>
        <v>No</v>
      </c>
      <c r="M530" s="2">
        <f t="shared" si="34"/>
        <v>0</v>
      </c>
    </row>
    <row r="531" spans="1:13" x14ac:dyDescent="0.3">
      <c r="A531" s="5" t="s">
        <v>3160</v>
      </c>
      <c r="B531" s="5" t="s">
        <v>680</v>
      </c>
      <c r="C531" s="5" t="s">
        <v>2601</v>
      </c>
      <c r="D531" s="6">
        <v>45742</v>
      </c>
      <c r="E531" s="6">
        <v>45744</v>
      </c>
      <c r="F531" s="6">
        <v>45751</v>
      </c>
      <c r="G531" s="5" t="s">
        <v>2641</v>
      </c>
      <c r="H531" s="5">
        <v>21</v>
      </c>
      <c r="I531" s="5">
        <f>IFERROR(INDEX(Raw_Orders!H531:H2959,MATCH(B531,Raw_Orders!A531:A2959,0)),0)</f>
        <v>21</v>
      </c>
      <c r="J531" s="5" t="str">
        <f t="shared" si="32"/>
        <v>No</v>
      </c>
      <c r="K531" s="5" t="str">
        <f t="shared" si="33"/>
        <v>Yes</v>
      </c>
      <c r="L531" s="5" t="str">
        <f t="shared" si="35"/>
        <v>No</v>
      </c>
      <c r="M531" s="5">
        <f t="shared" si="34"/>
        <v>0</v>
      </c>
    </row>
    <row r="532" spans="1:13" x14ac:dyDescent="0.3">
      <c r="A532" s="2" t="s">
        <v>3161</v>
      </c>
      <c r="B532" s="2" t="s">
        <v>681</v>
      </c>
      <c r="C532" s="2" t="s">
        <v>2604</v>
      </c>
      <c r="D532" s="3">
        <v>45743</v>
      </c>
      <c r="E532" s="3">
        <v>45751</v>
      </c>
      <c r="F532" s="3">
        <v>45748</v>
      </c>
      <c r="G532" s="2" t="s">
        <v>2627</v>
      </c>
      <c r="H532" s="2">
        <v>18</v>
      </c>
      <c r="I532" s="2">
        <f>IFERROR(INDEX(Raw_Orders!H532:H2960,MATCH(B532,Raw_Orders!A532:A2960,0)),0)</f>
        <v>18</v>
      </c>
      <c r="J532" s="2" t="str">
        <f t="shared" si="32"/>
        <v>Yes</v>
      </c>
      <c r="K532" s="2" t="str">
        <f t="shared" si="33"/>
        <v>Yes</v>
      </c>
      <c r="L532" s="2" t="str">
        <f t="shared" si="35"/>
        <v>Yes</v>
      </c>
      <c r="M532" s="2">
        <f t="shared" si="34"/>
        <v>1</v>
      </c>
    </row>
    <row r="533" spans="1:13" x14ac:dyDescent="0.3">
      <c r="A533" s="5" t="s">
        <v>3162</v>
      </c>
      <c r="B533" s="5" t="s">
        <v>682</v>
      </c>
      <c r="C533" s="5" t="s">
        <v>2606</v>
      </c>
      <c r="D533" s="6">
        <v>45741</v>
      </c>
      <c r="E533" s="6">
        <v>45750</v>
      </c>
      <c r="F533" s="6">
        <v>45746</v>
      </c>
      <c r="G533" s="5" t="s">
        <v>2631</v>
      </c>
      <c r="H533" s="5">
        <v>31</v>
      </c>
      <c r="I533" s="5">
        <f>IFERROR(INDEX(Raw_Orders!H533:H2961,MATCH(B533,Raw_Orders!A533:A2961,0)),0)</f>
        <v>31</v>
      </c>
      <c r="J533" s="5" t="str">
        <f t="shared" si="32"/>
        <v>Yes</v>
      </c>
      <c r="K533" s="5" t="str">
        <f t="shared" si="33"/>
        <v>Yes</v>
      </c>
      <c r="L533" s="5" t="str">
        <f t="shared" si="35"/>
        <v>Yes</v>
      </c>
      <c r="M533" s="5">
        <f t="shared" si="34"/>
        <v>1</v>
      </c>
    </row>
    <row r="534" spans="1:13" x14ac:dyDescent="0.3">
      <c r="A534" s="2" t="s">
        <v>3163</v>
      </c>
      <c r="B534" s="2" t="s">
        <v>683</v>
      </c>
      <c r="C534" s="2" t="s">
        <v>2606</v>
      </c>
      <c r="D534" s="3">
        <v>45741</v>
      </c>
      <c r="E534" s="3">
        <v>45744</v>
      </c>
      <c r="F534" s="3">
        <v>45749</v>
      </c>
      <c r="G534" s="2" t="s">
        <v>2629</v>
      </c>
      <c r="H534" s="2">
        <v>47</v>
      </c>
      <c r="I534" s="2">
        <f>IFERROR(INDEX(Raw_Orders!H534:H2962,MATCH(B534,Raw_Orders!A534:A2962,0)),0)</f>
        <v>47</v>
      </c>
      <c r="J534" s="2" t="str">
        <f t="shared" si="32"/>
        <v>No</v>
      </c>
      <c r="K534" s="2" t="str">
        <f t="shared" si="33"/>
        <v>Yes</v>
      </c>
      <c r="L534" s="2" t="str">
        <f t="shared" si="35"/>
        <v>No</v>
      </c>
      <c r="M534" s="2">
        <f t="shared" si="34"/>
        <v>0</v>
      </c>
    </row>
    <row r="535" spans="1:13" x14ac:dyDescent="0.3">
      <c r="A535" s="5" t="s">
        <v>3164</v>
      </c>
      <c r="B535" s="5" t="s">
        <v>684</v>
      </c>
      <c r="C535" s="5" t="s">
        <v>2606</v>
      </c>
      <c r="D535" s="6">
        <v>45741</v>
      </c>
      <c r="E535" s="6">
        <v>45744</v>
      </c>
      <c r="F535" s="6">
        <v>45747</v>
      </c>
      <c r="G535" s="5" t="s">
        <v>2633</v>
      </c>
      <c r="H535" s="5">
        <v>25</v>
      </c>
      <c r="I535" s="5">
        <f>IFERROR(INDEX(Raw_Orders!H535:H2963,MATCH(B535,Raw_Orders!A535:A2963,0)),0)</f>
        <v>25</v>
      </c>
      <c r="J535" s="5" t="str">
        <f t="shared" si="32"/>
        <v>No</v>
      </c>
      <c r="K535" s="5" t="str">
        <f t="shared" si="33"/>
        <v>Yes</v>
      </c>
      <c r="L535" s="5" t="str">
        <f t="shared" si="35"/>
        <v>No</v>
      </c>
      <c r="M535" s="5">
        <f t="shared" si="34"/>
        <v>0</v>
      </c>
    </row>
    <row r="536" spans="1:13" x14ac:dyDescent="0.3">
      <c r="A536" s="2" t="s">
        <v>3165</v>
      </c>
      <c r="B536" s="2" t="s">
        <v>685</v>
      </c>
      <c r="C536" s="2" t="s">
        <v>2611</v>
      </c>
      <c r="D536" s="3">
        <v>45744</v>
      </c>
      <c r="E536" s="3">
        <v>45745</v>
      </c>
      <c r="F536" s="3">
        <v>45755</v>
      </c>
      <c r="G536" s="2" t="s">
        <v>2633</v>
      </c>
      <c r="H536" s="2">
        <v>50</v>
      </c>
      <c r="I536" s="2">
        <f>IFERROR(INDEX(Raw_Orders!H536:H2964,MATCH(B536,Raw_Orders!A536:A2964,0)),0)</f>
        <v>50</v>
      </c>
      <c r="J536" s="2" t="str">
        <f t="shared" si="32"/>
        <v>No</v>
      </c>
      <c r="K536" s="2" t="str">
        <f t="shared" si="33"/>
        <v>Yes</v>
      </c>
      <c r="L536" s="2" t="str">
        <f t="shared" si="35"/>
        <v>No</v>
      </c>
      <c r="M536" s="2">
        <f t="shared" si="34"/>
        <v>0</v>
      </c>
    </row>
    <row r="537" spans="1:13" x14ac:dyDescent="0.3">
      <c r="A537" s="5" t="s">
        <v>3166</v>
      </c>
      <c r="B537" s="5" t="s">
        <v>686</v>
      </c>
      <c r="C537" s="5" t="s">
        <v>2611</v>
      </c>
      <c r="D537" s="6">
        <v>45742</v>
      </c>
      <c r="E537" s="6">
        <v>45751</v>
      </c>
      <c r="F537" s="6">
        <v>45748</v>
      </c>
      <c r="G537" s="5" t="s">
        <v>2631</v>
      </c>
      <c r="H537" s="5">
        <v>24</v>
      </c>
      <c r="I537" s="5">
        <f>IFERROR(INDEX(Raw_Orders!H537:H2965,MATCH(B537,Raw_Orders!A537:A2965,0)),0)</f>
        <v>24</v>
      </c>
      <c r="J537" s="5" t="str">
        <f t="shared" si="32"/>
        <v>Yes</v>
      </c>
      <c r="K537" s="5" t="str">
        <f t="shared" si="33"/>
        <v>Yes</v>
      </c>
      <c r="L537" s="5" t="str">
        <f t="shared" si="35"/>
        <v>Yes</v>
      </c>
      <c r="M537" s="5">
        <f t="shared" si="34"/>
        <v>1</v>
      </c>
    </row>
    <row r="538" spans="1:13" x14ac:dyDescent="0.3">
      <c r="A538" s="2" t="s">
        <v>3167</v>
      </c>
      <c r="B538" s="2" t="s">
        <v>687</v>
      </c>
      <c r="C538" s="2" t="s">
        <v>2601</v>
      </c>
      <c r="D538" s="3">
        <v>45742</v>
      </c>
      <c r="E538" s="3">
        <v>45749</v>
      </c>
      <c r="F538" s="3">
        <v>45746</v>
      </c>
      <c r="G538" s="2" t="s">
        <v>2633</v>
      </c>
      <c r="H538" s="2">
        <v>11</v>
      </c>
      <c r="I538" s="2">
        <f>IFERROR(INDEX(Raw_Orders!H538:H2966,MATCH(B538,Raw_Orders!A538:A2966,0)),0)</f>
        <v>11</v>
      </c>
      <c r="J538" s="2" t="str">
        <f t="shared" si="32"/>
        <v>Yes</v>
      </c>
      <c r="K538" s="2" t="str">
        <f t="shared" si="33"/>
        <v>Yes</v>
      </c>
      <c r="L538" s="2" t="str">
        <f t="shared" si="35"/>
        <v>Yes</v>
      </c>
      <c r="M538" s="2">
        <f t="shared" si="34"/>
        <v>1</v>
      </c>
    </row>
    <row r="539" spans="1:13" x14ac:dyDescent="0.3">
      <c r="A539" s="5" t="s">
        <v>3168</v>
      </c>
      <c r="B539" s="5" t="s">
        <v>688</v>
      </c>
      <c r="C539" s="5" t="s">
        <v>2601</v>
      </c>
      <c r="D539" s="6">
        <v>45743</v>
      </c>
      <c r="E539" s="6">
        <v>45747</v>
      </c>
      <c r="F539" s="6">
        <v>45752</v>
      </c>
      <c r="G539" s="5" t="s">
        <v>2627</v>
      </c>
      <c r="H539" s="5">
        <v>5</v>
      </c>
      <c r="I539" s="5">
        <f>IFERROR(INDEX(Raw_Orders!H539:H2967,MATCH(B539,Raw_Orders!A539:A2967,0)),0)</f>
        <v>7</v>
      </c>
      <c r="J539" s="5" t="str">
        <f t="shared" si="32"/>
        <v>No</v>
      </c>
      <c r="K539" s="5" t="str">
        <f t="shared" si="33"/>
        <v>N0</v>
      </c>
      <c r="L539" s="5" t="str">
        <f t="shared" si="35"/>
        <v>No</v>
      </c>
      <c r="M539" s="5">
        <f t="shared" si="34"/>
        <v>0</v>
      </c>
    </row>
    <row r="540" spans="1:13" x14ac:dyDescent="0.3">
      <c r="A540" s="2" t="s">
        <v>3169</v>
      </c>
      <c r="B540" s="2" t="s">
        <v>689</v>
      </c>
      <c r="C540" s="2" t="s">
        <v>2604</v>
      </c>
      <c r="D540" s="3">
        <v>45743</v>
      </c>
      <c r="E540" s="3">
        <v>45748</v>
      </c>
      <c r="F540" s="3">
        <v>45746</v>
      </c>
      <c r="G540" s="2" t="s">
        <v>2633</v>
      </c>
      <c r="H540" s="2">
        <v>21</v>
      </c>
      <c r="I540" s="2">
        <f>IFERROR(INDEX(Raw_Orders!H540:H2968,MATCH(B540,Raw_Orders!A540:A2968,0)),0)</f>
        <v>21</v>
      </c>
      <c r="J540" s="2" t="str">
        <f t="shared" si="32"/>
        <v>Yes</v>
      </c>
      <c r="K540" s="2" t="str">
        <f t="shared" si="33"/>
        <v>Yes</v>
      </c>
      <c r="L540" s="2" t="str">
        <f t="shared" si="35"/>
        <v>Yes</v>
      </c>
      <c r="M540" s="2">
        <f t="shared" si="34"/>
        <v>1</v>
      </c>
    </row>
    <row r="541" spans="1:13" x14ac:dyDescent="0.3">
      <c r="A541" s="5" t="s">
        <v>3170</v>
      </c>
      <c r="B541" s="5" t="s">
        <v>690</v>
      </c>
      <c r="C541" s="5" t="s">
        <v>2606</v>
      </c>
      <c r="D541" s="6">
        <v>45742</v>
      </c>
      <c r="E541" s="6">
        <v>45751</v>
      </c>
      <c r="F541" s="6">
        <v>45752</v>
      </c>
      <c r="G541" s="5" t="s">
        <v>2629</v>
      </c>
      <c r="H541" s="5">
        <v>16</v>
      </c>
      <c r="I541" s="5">
        <f>IFERROR(INDEX(Raw_Orders!H541:H2969,MATCH(B541,Raw_Orders!A541:A2969,0)),0)</f>
        <v>16</v>
      </c>
      <c r="J541" s="5" t="str">
        <f t="shared" si="32"/>
        <v>No</v>
      </c>
      <c r="K541" s="5" t="str">
        <f t="shared" si="33"/>
        <v>Yes</v>
      </c>
      <c r="L541" s="5" t="str">
        <f t="shared" si="35"/>
        <v>No</v>
      </c>
      <c r="M541" s="5">
        <f t="shared" si="34"/>
        <v>0</v>
      </c>
    </row>
    <row r="542" spans="1:13" x14ac:dyDescent="0.3">
      <c r="A542" s="2" t="s">
        <v>3171</v>
      </c>
      <c r="B542" s="2" t="s">
        <v>691</v>
      </c>
      <c r="C542" s="2" t="s">
        <v>2608</v>
      </c>
      <c r="D542" s="3">
        <v>45744</v>
      </c>
      <c r="E542" s="3">
        <v>45752</v>
      </c>
      <c r="F542" s="3">
        <v>45757</v>
      </c>
      <c r="G542" s="2" t="s">
        <v>2633</v>
      </c>
      <c r="H542" s="2">
        <v>19</v>
      </c>
      <c r="I542" s="2">
        <f>IFERROR(INDEX(Raw_Orders!H542:H2970,MATCH(B542,Raw_Orders!A542:A2970,0)),0)</f>
        <v>19</v>
      </c>
      <c r="J542" s="2" t="str">
        <f t="shared" si="32"/>
        <v>No</v>
      </c>
      <c r="K542" s="2" t="str">
        <f t="shared" si="33"/>
        <v>Yes</v>
      </c>
      <c r="L542" s="2" t="str">
        <f t="shared" si="35"/>
        <v>No</v>
      </c>
      <c r="M542" s="2">
        <f t="shared" si="34"/>
        <v>0</v>
      </c>
    </row>
    <row r="543" spans="1:13" x14ac:dyDescent="0.3">
      <c r="A543" s="5" t="s">
        <v>3172</v>
      </c>
      <c r="B543" s="5" t="s">
        <v>692</v>
      </c>
      <c r="C543" s="5" t="s">
        <v>2608</v>
      </c>
      <c r="D543" s="6">
        <v>45742</v>
      </c>
      <c r="E543" s="6">
        <v>45746</v>
      </c>
      <c r="F543" s="6">
        <v>45759</v>
      </c>
      <c r="G543" s="5" t="s">
        <v>2627</v>
      </c>
      <c r="H543" s="5">
        <v>6</v>
      </c>
      <c r="I543" s="5">
        <f>IFERROR(INDEX(Raw_Orders!H543:H2971,MATCH(B543,Raw_Orders!A543:A2971,0)),0)</f>
        <v>6</v>
      </c>
      <c r="J543" s="5" t="str">
        <f t="shared" si="32"/>
        <v>No</v>
      </c>
      <c r="K543" s="5" t="str">
        <f t="shared" si="33"/>
        <v>Yes</v>
      </c>
      <c r="L543" s="5" t="str">
        <f t="shared" si="35"/>
        <v>No</v>
      </c>
      <c r="M543" s="5">
        <f t="shared" si="34"/>
        <v>0</v>
      </c>
    </row>
    <row r="544" spans="1:13" x14ac:dyDescent="0.3">
      <c r="A544" s="2" t="s">
        <v>3173</v>
      </c>
      <c r="B544" s="2" t="s">
        <v>693</v>
      </c>
      <c r="C544" s="2" t="s">
        <v>2608</v>
      </c>
      <c r="D544" s="3">
        <v>45742</v>
      </c>
      <c r="E544" s="3">
        <v>45746</v>
      </c>
      <c r="F544" s="3">
        <v>45755</v>
      </c>
      <c r="G544" s="2" t="s">
        <v>2633</v>
      </c>
      <c r="H544" s="2">
        <v>12</v>
      </c>
      <c r="I544" s="2">
        <f>IFERROR(INDEX(Raw_Orders!H544:H2972,MATCH(B544,Raw_Orders!A544:A2972,0)),0)</f>
        <v>12</v>
      </c>
      <c r="J544" s="2" t="str">
        <f t="shared" si="32"/>
        <v>No</v>
      </c>
      <c r="K544" s="2" t="str">
        <f t="shared" si="33"/>
        <v>Yes</v>
      </c>
      <c r="L544" s="2" t="str">
        <f t="shared" si="35"/>
        <v>No</v>
      </c>
      <c r="M544" s="2">
        <f t="shared" si="34"/>
        <v>0</v>
      </c>
    </row>
    <row r="545" spans="1:13" x14ac:dyDescent="0.3">
      <c r="A545" s="5" t="s">
        <v>3174</v>
      </c>
      <c r="B545" s="5" t="s">
        <v>694</v>
      </c>
      <c r="C545" s="5" t="s">
        <v>2611</v>
      </c>
      <c r="D545" s="6">
        <v>45745</v>
      </c>
      <c r="E545" s="6">
        <v>45746</v>
      </c>
      <c r="F545" s="6">
        <v>45754</v>
      </c>
      <c r="G545" s="5" t="s">
        <v>2627</v>
      </c>
      <c r="H545" s="5">
        <v>43</v>
      </c>
      <c r="I545" s="5">
        <f>IFERROR(INDEX(Raw_Orders!H545:H2973,MATCH(B545,Raw_Orders!A545:A2973,0)),0)</f>
        <v>43</v>
      </c>
      <c r="J545" s="5" t="str">
        <f t="shared" si="32"/>
        <v>No</v>
      </c>
      <c r="K545" s="5" t="str">
        <f t="shared" si="33"/>
        <v>Yes</v>
      </c>
      <c r="L545" s="5" t="str">
        <f t="shared" si="35"/>
        <v>No</v>
      </c>
      <c r="M545" s="5">
        <f t="shared" si="34"/>
        <v>0</v>
      </c>
    </row>
    <row r="546" spans="1:13" x14ac:dyDescent="0.3">
      <c r="A546" s="2" t="s">
        <v>3175</v>
      </c>
      <c r="B546" s="2" t="s">
        <v>695</v>
      </c>
      <c r="C546" s="2" t="s">
        <v>2601</v>
      </c>
      <c r="D546" s="3">
        <v>45745</v>
      </c>
      <c r="E546" s="3">
        <v>45747</v>
      </c>
      <c r="F546" s="3">
        <v>45750</v>
      </c>
      <c r="G546" s="2" t="s">
        <v>2631</v>
      </c>
      <c r="H546" s="2">
        <v>11</v>
      </c>
      <c r="I546" s="2">
        <f>IFERROR(INDEX(Raw_Orders!H546:H2974,MATCH(B546,Raw_Orders!A546:A2974,0)),0)</f>
        <v>11</v>
      </c>
      <c r="J546" s="2" t="str">
        <f t="shared" si="32"/>
        <v>No</v>
      </c>
      <c r="K546" s="2" t="str">
        <f t="shared" si="33"/>
        <v>Yes</v>
      </c>
      <c r="L546" s="2" t="str">
        <f t="shared" si="35"/>
        <v>No</v>
      </c>
      <c r="M546" s="2">
        <f t="shared" si="34"/>
        <v>0</v>
      </c>
    </row>
    <row r="547" spans="1:13" x14ac:dyDescent="0.3">
      <c r="A547" s="5" t="s">
        <v>3176</v>
      </c>
      <c r="B547" s="5" t="s">
        <v>696</v>
      </c>
      <c r="C547" s="5" t="s">
        <v>2616</v>
      </c>
      <c r="D547" s="6">
        <v>45744</v>
      </c>
      <c r="E547" s="6">
        <v>45748</v>
      </c>
      <c r="F547" s="6">
        <v>45760</v>
      </c>
      <c r="G547" s="5" t="s">
        <v>2641</v>
      </c>
      <c r="H547" s="5">
        <v>9</v>
      </c>
      <c r="I547" s="5">
        <f>IFERROR(INDEX(Raw_Orders!H547:H2975,MATCH(B547,Raw_Orders!A547:A2975,0)),0)</f>
        <v>9</v>
      </c>
      <c r="J547" s="5" t="str">
        <f t="shared" si="32"/>
        <v>No</v>
      </c>
      <c r="K547" s="5" t="str">
        <f t="shared" si="33"/>
        <v>Yes</v>
      </c>
      <c r="L547" s="5" t="str">
        <f t="shared" si="35"/>
        <v>No</v>
      </c>
      <c r="M547" s="5">
        <f t="shared" si="34"/>
        <v>0</v>
      </c>
    </row>
    <row r="548" spans="1:13" x14ac:dyDescent="0.3">
      <c r="A548" s="2" t="s">
        <v>3177</v>
      </c>
      <c r="B548" s="2" t="s">
        <v>697</v>
      </c>
      <c r="C548" s="2" t="s">
        <v>2616</v>
      </c>
      <c r="D548" s="3">
        <v>45744</v>
      </c>
      <c r="E548" s="3">
        <v>45750</v>
      </c>
      <c r="F548" s="3">
        <v>45759</v>
      </c>
      <c r="G548" s="2" t="s">
        <v>2627</v>
      </c>
      <c r="H548" s="2">
        <v>67</v>
      </c>
      <c r="I548" s="2">
        <f>IFERROR(INDEX(Raw_Orders!H548:H2976,MATCH(B548,Raw_Orders!A548:A2976,0)),0)</f>
        <v>67</v>
      </c>
      <c r="J548" s="2" t="str">
        <f t="shared" si="32"/>
        <v>No</v>
      </c>
      <c r="K548" s="2" t="str">
        <f t="shared" si="33"/>
        <v>Yes</v>
      </c>
      <c r="L548" s="2" t="str">
        <f t="shared" si="35"/>
        <v>No</v>
      </c>
      <c r="M548" s="2">
        <f t="shared" si="34"/>
        <v>0</v>
      </c>
    </row>
    <row r="549" spans="1:13" x14ac:dyDescent="0.3">
      <c r="A549" s="5" t="s">
        <v>3178</v>
      </c>
      <c r="B549" s="5" t="s">
        <v>698</v>
      </c>
      <c r="C549" s="5" t="s">
        <v>2616</v>
      </c>
      <c r="D549" s="6">
        <v>45743</v>
      </c>
      <c r="E549" s="6">
        <v>45751</v>
      </c>
      <c r="F549" s="6">
        <v>45758</v>
      </c>
      <c r="G549" s="5" t="s">
        <v>2633</v>
      </c>
      <c r="H549" s="5">
        <v>9</v>
      </c>
      <c r="I549" s="5">
        <f>IFERROR(INDEX(Raw_Orders!H549:H2977,MATCH(B549,Raw_Orders!A549:A2977,0)),0)</f>
        <v>9</v>
      </c>
      <c r="J549" s="5" t="str">
        <f t="shared" si="32"/>
        <v>No</v>
      </c>
      <c r="K549" s="5" t="str">
        <f t="shared" si="33"/>
        <v>Yes</v>
      </c>
      <c r="L549" s="5" t="str">
        <f t="shared" si="35"/>
        <v>No</v>
      </c>
      <c r="M549" s="5">
        <f t="shared" si="34"/>
        <v>0</v>
      </c>
    </row>
    <row r="550" spans="1:13" x14ac:dyDescent="0.3">
      <c r="A550" s="2" t="s">
        <v>3179</v>
      </c>
      <c r="B550" s="2" t="s">
        <v>699</v>
      </c>
      <c r="C550" s="2" t="s">
        <v>2606</v>
      </c>
      <c r="D550" s="3">
        <v>45744</v>
      </c>
      <c r="E550" s="3">
        <v>45752</v>
      </c>
      <c r="F550" s="3">
        <v>45750</v>
      </c>
      <c r="G550" s="2" t="s">
        <v>2631</v>
      </c>
      <c r="H550" s="2">
        <v>48</v>
      </c>
      <c r="I550" s="2">
        <f>IFERROR(INDEX(Raw_Orders!H550:H2978,MATCH(B550,Raw_Orders!A550:A2978,0)),0)</f>
        <v>48</v>
      </c>
      <c r="J550" s="2" t="str">
        <f t="shared" si="32"/>
        <v>Yes</v>
      </c>
      <c r="K550" s="2" t="str">
        <f t="shared" si="33"/>
        <v>Yes</v>
      </c>
      <c r="L550" s="2" t="str">
        <f t="shared" si="35"/>
        <v>Yes</v>
      </c>
      <c r="M550" s="2">
        <f t="shared" si="34"/>
        <v>1</v>
      </c>
    </row>
    <row r="551" spans="1:13" x14ac:dyDescent="0.3">
      <c r="A551" s="5" t="s">
        <v>3180</v>
      </c>
      <c r="B551" s="5" t="s">
        <v>700</v>
      </c>
      <c r="C551" s="5" t="s">
        <v>2608</v>
      </c>
      <c r="D551" s="6">
        <v>45743</v>
      </c>
      <c r="E551" s="6">
        <v>45746</v>
      </c>
      <c r="F551" s="6">
        <v>45760</v>
      </c>
      <c r="G551" s="5" t="s">
        <v>2633</v>
      </c>
      <c r="H551" s="5">
        <v>6</v>
      </c>
      <c r="I551" s="5">
        <f>IFERROR(INDEX(Raw_Orders!H551:H2979,MATCH(B551,Raw_Orders!A551:A2979,0)),0)</f>
        <v>6</v>
      </c>
      <c r="J551" s="5" t="str">
        <f t="shared" si="32"/>
        <v>No</v>
      </c>
      <c r="K551" s="5" t="str">
        <f t="shared" si="33"/>
        <v>Yes</v>
      </c>
      <c r="L551" s="5" t="str">
        <f t="shared" si="35"/>
        <v>No</v>
      </c>
      <c r="M551" s="5">
        <f t="shared" si="34"/>
        <v>0</v>
      </c>
    </row>
    <row r="552" spans="1:13" x14ac:dyDescent="0.3">
      <c r="A552" s="2" t="s">
        <v>3181</v>
      </c>
      <c r="B552" s="2" t="s">
        <v>701</v>
      </c>
      <c r="C552" s="2" t="s">
        <v>2608</v>
      </c>
      <c r="D552" s="3">
        <v>45744</v>
      </c>
      <c r="E552" s="3">
        <v>45753</v>
      </c>
      <c r="F552" s="3">
        <v>45757</v>
      </c>
      <c r="G552" s="2" t="s">
        <v>2631</v>
      </c>
      <c r="H552" s="2">
        <v>1</v>
      </c>
      <c r="I552" s="2">
        <f>IFERROR(INDEX(Raw_Orders!H552:H2980,MATCH(B552,Raw_Orders!A552:A2980,0)),0)</f>
        <v>4</v>
      </c>
      <c r="J552" s="2" t="str">
        <f t="shared" si="32"/>
        <v>No</v>
      </c>
      <c r="K552" s="2" t="str">
        <f t="shared" si="33"/>
        <v>N0</v>
      </c>
      <c r="L552" s="2" t="str">
        <f t="shared" si="35"/>
        <v>No</v>
      </c>
      <c r="M552" s="2">
        <f t="shared" si="34"/>
        <v>0</v>
      </c>
    </row>
    <row r="553" spans="1:13" x14ac:dyDescent="0.3">
      <c r="A553" s="5" t="s">
        <v>3182</v>
      </c>
      <c r="B553" s="5" t="s">
        <v>702</v>
      </c>
      <c r="C553" s="5" t="s">
        <v>2606</v>
      </c>
      <c r="D553" s="6">
        <v>45744</v>
      </c>
      <c r="E553" s="6">
        <v>45748</v>
      </c>
      <c r="F553" s="6">
        <v>45752</v>
      </c>
      <c r="G553" s="5" t="s">
        <v>2629</v>
      </c>
      <c r="H553" s="5">
        <v>25</v>
      </c>
      <c r="I553" s="5">
        <f>IFERROR(INDEX(Raw_Orders!H553:H2981,MATCH(B553,Raw_Orders!A553:A2981,0)),0)</f>
        <v>25</v>
      </c>
      <c r="J553" s="5" t="str">
        <f t="shared" si="32"/>
        <v>No</v>
      </c>
      <c r="K553" s="5" t="str">
        <f t="shared" si="33"/>
        <v>Yes</v>
      </c>
      <c r="L553" s="5" t="str">
        <f t="shared" si="35"/>
        <v>No</v>
      </c>
      <c r="M553" s="5">
        <f t="shared" si="34"/>
        <v>0</v>
      </c>
    </row>
    <row r="554" spans="1:13" x14ac:dyDescent="0.3">
      <c r="A554" s="2" t="s">
        <v>3183</v>
      </c>
      <c r="B554" s="2" t="s">
        <v>703</v>
      </c>
      <c r="C554" s="2" t="s">
        <v>2606</v>
      </c>
      <c r="D554" s="3">
        <v>45744</v>
      </c>
      <c r="E554" s="3">
        <v>45750</v>
      </c>
      <c r="F554" s="3">
        <v>45754</v>
      </c>
      <c r="G554" s="2" t="s">
        <v>2627</v>
      </c>
      <c r="H554" s="2">
        <v>49</v>
      </c>
      <c r="I554" s="2">
        <f>IFERROR(INDEX(Raw_Orders!H554:H2982,MATCH(B554,Raw_Orders!A554:A2982,0)),0)</f>
        <v>49</v>
      </c>
      <c r="J554" s="2" t="str">
        <f t="shared" si="32"/>
        <v>No</v>
      </c>
      <c r="K554" s="2" t="str">
        <f t="shared" si="33"/>
        <v>Yes</v>
      </c>
      <c r="L554" s="2" t="str">
        <f t="shared" si="35"/>
        <v>No</v>
      </c>
      <c r="M554" s="2">
        <f t="shared" si="34"/>
        <v>0</v>
      </c>
    </row>
    <row r="555" spans="1:13" x14ac:dyDescent="0.3">
      <c r="A555" s="5" t="s">
        <v>3184</v>
      </c>
      <c r="B555" s="5" t="s">
        <v>704</v>
      </c>
      <c r="C555" s="5" t="s">
        <v>2608</v>
      </c>
      <c r="D555" s="6">
        <v>45745</v>
      </c>
      <c r="E555" s="6">
        <v>45750</v>
      </c>
      <c r="F555" s="6">
        <v>45759</v>
      </c>
      <c r="G555" s="5" t="s">
        <v>2641</v>
      </c>
      <c r="H555" s="5">
        <v>6</v>
      </c>
      <c r="I555" s="5">
        <f>IFERROR(INDEX(Raw_Orders!H555:H2983,MATCH(B555,Raw_Orders!A555:A2983,0)),0)</f>
        <v>6</v>
      </c>
      <c r="J555" s="5" t="str">
        <f t="shared" si="32"/>
        <v>No</v>
      </c>
      <c r="K555" s="5" t="str">
        <f t="shared" si="33"/>
        <v>Yes</v>
      </c>
      <c r="L555" s="5" t="str">
        <f t="shared" si="35"/>
        <v>No</v>
      </c>
      <c r="M555" s="5">
        <f t="shared" si="34"/>
        <v>0</v>
      </c>
    </row>
    <row r="556" spans="1:13" x14ac:dyDescent="0.3">
      <c r="A556" s="2" t="s">
        <v>3185</v>
      </c>
      <c r="B556" s="2" t="s">
        <v>705</v>
      </c>
      <c r="C556" s="2" t="s">
        <v>2611</v>
      </c>
      <c r="D556" s="3">
        <v>45745</v>
      </c>
      <c r="E556" s="3">
        <v>45748</v>
      </c>
      <c r="F556" s="3">
        <v>45752</v>
      </c>
      <c r="G556" s="2" t="s">
        <v>2629</v>
      </c>
      <c r="H556" s="2">
        <v>47</v>
      </c>
      <c r="I556" s="2">
        <f>IFERROR(INDEX(Raw_Orders!H556:H2984,MATCH(B556,Raw_Orders!A556:A2984,0)),0)</f>
        <v>47</v>
      </c>
      <c r="J556" s="2" t="str">
        <f t="shared" si="32"/>
        <v>No</v>
      </c>
      <c r="K556" s="2" t="str">
        <f t="shared" si="33"/>
        <v>Yes</v>
      </c>
      <c r="L556" s="2" t="str">
        <f t="shared" si="35"/>
        <v>No</v>
      </c>
      <c r="M556" s="2">
        <f t="shared" si="34"/>
        <v>0</v>
      </c>
    </row>
    <row r="557" spans="1:13" x14ac:dyDescent="0.3">
      <c r="A557" s="5" t="s">
        <v>3186</v>
      </c>
      <c r="B557" s="5" t="s">
        <v>706</v>
      </c>
      <c r="C557" s="5" t="s">
        <v>2616</v>
      </c>
      <c r="D557" s="6">
        <v>45747</v>
      </c>
      <c r="E557" s="6">
        <v>45755</v>
      </c>
      <c r="F557" s="6">
        <v>45762</v>
      </c>
      <c r="G557" s="5" t="s">
        <v>2629</v>
      </c>
      <c r="H557" s="5">
        <v>1</v>
      </c>
      <c r="I557" s="5">
        <f>IFERROR(INDEX(Raw_Orders!H557:H2985,MATCH(B557,Raw_Orders!A557:A2985,0)),0)</f>
        <v>5</v>
      </c>
      <c r="J557" s="5" t="str">
        <f t="shared" si="32"/>
        <v>No</v>
      </c>
      <c r="K557" s="5" t="str">
        <f t="shared" si="33"/>
        <v>N0</v>
      </c>
      <c r="L557" s="5" t="str">
        <f t="shared" si="35"/>
        <v>No</v>
      </c>
      <c r="M557" s="5">
        <f t="shared" si="34"/>
        <v>0</v>
      </c>
    </row>
    <row r="558" spans="1:13" x14ac:dyDescent="0.3">
      <c r="A558" s="2" t="s">
        <v>3187</v>
      </c>
      <c r="B558" s="2" t="s">
        <v>707</v>
      </c>
      <c r="C558" s="2" t="s">
        <v>2604</v>
      </c>
      <c r="D558" s="3">
        <v>45747</v>
      </c>
      <c r="E558" s="3">
        <v>45754</v>
      </c>
      <c r="F558" s="3">
        <v>45752</v>
      </c>
      <c r="G558" s="2" t="s">
        <v>2627</v>
      </c>
      <c r="H558" s="2">
        <v>37</v>
      </c>
      <c r="I558" s="2">
        <f>IFERROR(INDEX(Raw_Orders!H558:H2986,MATCH(B558,Raw_Orders!A558:A2986,0)),0)</f>
        <v>37</v>
      </c>
      <c r="J558" s="2" t="str">
        <f t="shared" si="32"/>
        <v>Yes</v>
      </c>
      <c r="K558" s="2" t="str">
        <f t="shared" si="33"/>
        <v>Yes</v>
      </c>
      <c r="L558" s="2" t="str">
        <f t="shared" si="35"/>
        <v>Yes</v>
      </c>
      <c r="M558" s="2">
        <f t="shared" si="34"/>
        <v>1</v>
      </c>
    </row>
    <row r="559" spans="1:13" x14ac:dyDescent="0.3">
      <c r="A559" s="5" t="s">
        <v>3188</v>
      </c>
      <c r="B559" s="5" t="s">
        <v>708</v>
      </c>
      <c r="C559" s="5" t="s">
        <v>2616</v>
      </c>
      <c r="D559" s="6">
        <v>45747</v>
      </c>
      <c r="E559" s="6">
        <v>45755</v>
      </c>
      <c r="F559" s="6">
        <v>45763</v>
      </c>
      <c r="G559" s="5" t="s">
        <v>2627</v>
      </c>
      <c r="H559" s="5">
        <v>27</v>
      </c>
      <c r="I559" s="5">
        <f>IFERROR(INDEX(Raw_Orders!H559:H2987,MATCH(B559,Raw_Orders!A559:A2987,0)),0)</f>
        <v>27</v>
      </c>
      <c r="J559" s="5" t="str">
        <f t="shared" si="32"/>
        <v>No</v>
      </c>
      <c r="K559" s="5" t="str">
        <f t="shared" si="33"/>
        <v>Yes</v>
      </c>
      <c r="L559" s="5" t="str">
        <f t="shared" si="35"/>
        <v>No</v>
      </c>
      <c r="M559" s="5">
        <f t="shared" si="34"/>
        <v>0</v>
      </c>
    </row>
    <row r="560" spans="1:13" x14ac:dyDescent="0.3">
      <c r="A560" s="2" t="s">
        <v>3189</v>
      </c>
      <c r="B560" s="2" t="s">
        <v>709</v>
      </c>
      <c r="C560" s="2" t="s">
        <v>2606</v>
      </c>
      <c r="D560" s="3">
        <v>45746</v>
      </c>
      <c r="E560" s="3">
        <v>45755</v>
      </c>
      <c r="F560" s="3">
        <v>45756</v>
      </c>
      <c r="G560" s="2" t="s">
        <v>2627</v>
      </c>
      <c r="H560" s="2">
        <v>26</v>
      </c>
      <c r="I560" s="2">
        <f>IFERROR(INDEX(Raw_Orders!H560:H2988,MATCH(B560,Raw_Orders!A560:A2988,0)),0)</f>
        <v>26</v>
      </c>
      <c r="J560" s="2" t="str">
        <f t="shared" si="32"/>
        <v>No</v>
      </c>
      <c r="K560" s="2" t="str">
        <f t="shared" si="33"/>
        <v>Yes</v>
      </c>
      <c r="L560" s="2" t="str">
        <f t="shared" si="35"/>
        <v>No</v>
      </c>
      <c r="M560" s="2">
        <f t="shared" si="34"/>
        <v>0</v>
      </c>
    </row>
    <row r="561" spans="1:13" x14ac:dyDescent="0.3">
      <c r="A561" s="5" t="s">
        <v>3190</v>
      </c>
      <c r="B561" s="5" t="s">
        <v>710</v>
      </c>
      <c r="C561" s="5" t="s">
        <v>2606</v>
      </c>
      <c r="D561" s="6">
        <v>45745</v>
      </c>
      <c r="E561" s="6">
        <v>45754</v>
      </c>
      <c r="F561" s="6">
        <v>45752</v>
      </c>
      <c r="G561" s="5" t="s">
        <v>2633</v>
      </c>
      <c r="H561" s="5">
        <v>32</v>
      </c>
      <c r="I561" s="5">
        <f>IFERROR(INDEX(Raw_Orders!H561:H2989,MATCH(B561,Raw_Orders!A561:A2989,0)),0)</f>
        <v>38</v>
      </c>
      <c r="J561" s="5" t="str">
        <f t="shared" si="32"/>
        <v>Yes</v>
      </c>
      <c r="K561" s="5" t="str">
        <f t="shared" si="33"/>
        <v>N0</v>
      </c>
      <c r="L561" s="5" t="str">
        <f t="shared" si="35"/>
        <v>No</v>
      </c>
      <c r="M561" s="5">
        <f t="shared" si="34"/>
        <v>0</v>
      </c>
    </row>
    <row r="562" spans="1:13" x14ac:dyDescent="0.3">
      <c r="A562" s="2" t="s">
        <v>3191</v>
      </c>
      <c r="B562" s="2" t="s">
        <v>711</v>
      </c>
      <c r="C562" s="2" t="s">
        <v>2614</v>
      </c>
      <c r="D562" s="3">
        <v>45747</v>
      </c>
      <c r="E562" s="3">
        <v>45756</v>
      </c>
      <c r="F562" s="3">
        <v>45761</v>
      </c>
      <c r="G562" s="2" t="s">
        <v>2629</v>
      </c>
      <c r="H562" s="2">
        <v>35</v>
      </c>
      <c r="I562" s="2">
        <f>IFERROR(INDEX(Raw_Orders!H562:H2990,MATCH(B562,Raw_Orders!A562:A2990,0)),0)</f>
        <v>35</v>
      </c>
      <c r="J562" s="2" t="str">
        <f t="shared" si="32"/>
        <v>No</v>
      </c>
      <c r="K562" s="2" t="str">
        <f t="shared" si="33"/>
        <v>Yes</v>
      </c>
      <c r="L562" s="2" t="str">
        <f t="shared" si="35"/>
        <v>No</v>
      </c>
      <c r="M562" s="2">
        <f t="shared" si="34"/>
        <v>0</v>
      </c>
    </row>
    <row r="563" spans="1:13" x14ac:dyDescent="0.3">
      <c r="A563" s="5" t="s">
        <v>3192</v>
      </c>
      <c r="B563" s="5" t="s">
        <v>712</v>
      </c>
      <c r="C563" s="5" t="s">
        <v>2616</v>
      </c>
      <c r="D563" s="6">
        <v>45747</v>
      </c>
      <c r="E563" s="6">
        <v>45756</v>
      </c>
      <c r="F563" s="6">
        <v>45763</v>
      </c>
      <c r="G563" s="5" t="s">
        <v>2633</v>
      </c>
      <c r="H563" s="5">
        <v>6</v>
      </c>
      <c r="I563" s="5">
        <f>IFERROR(INDEX(Raw_Orders!H563:H2991,MATCH(B563,Raw_Orders!A563:A2991,0)),0)</f>
        <v>6</v>
      </c>
      <c r="J563" s="5" t="str">
        <f t="shared" si="32"/>
        <v>No</v>
      </c>
      <c r="K563" s="5" t="str">
        <f t="shared" si="33"/>
        <v>Yes</v>
      </c>
      <c r="L563" s="5" t="str">
        <f t="shared" si="35"/>
        <v>No</v>
      </c>
      <c r="M563" s="5">
        <f t="shared" si="34"/>
        <v>0</v>
      </c>
    </row>
    <row r="564" spans="1:13" x14ac:dyDescent="0.3">
      <c r="A564" s="2" t="s">
        <v>3193</v>
      </c>
      <c r="B564" s="2" t="s">
        <v>713</v>
      </c>
      <c r="C564" s="2" t="s">
        <v>2616</v>
      </c>
      <c r="D564" s="3">
        <v>45747</v>
      </c>
      <c r="E564" s="3">
        <v>45753</v>
      </c>
      <c r="F564" s="3">
        <v>45762</v>
      </c>
      <c r="G564" s="2" t="s">
        <v>2641</v>
      </c>
      <c r="H564" s="2">
        <v>12</v>
      </c>
      <c r="I564" s="2">
        <f>IFERROR(INDEX(Raw_Orders!H564:H2992,MATCH(B564,Raw_Orders!A564:A2992,0)),0)</f>
        <v>12</v>
      </c>
      <c r="J564" s="2" t="str">
        <f t="shared" si="32"/>
        <v>No</v>
      </c>
      <c r="K564" s="2" t="str">
        <f t="shared" si="33"/>
        <v>Yes</v>
      </c>
      <c r="L564" s="2" t="str">
        <f t="shared" si="35"/>
        <v>No</v>
      </c>
      <c r="M564" s="2">
        <f t="shared" si="34"/>
        <v>0</v>
      </c>
    </row>
    <row r="565" spans="1:13" x14ac:dyDescent="0.3">
      <c r="A565" s="5" t="s">
        <v>3194</v>
      </c>
      <c r="B565" s="5" t="s">
        <v>714</v>
      </c>
      <c r="C565" s="5" t="s">
        <v>2606</v>
      </c>
      <c r="D565" s="6">
        <v>45748</v>
      </c>
      <c r="E565" s="6">
        <v>45751</v>
      </c>
      <c r="F565" s="6">
        <v>45753</v>
      </c>
      <c r="G565" s="5" t="s">
        <v>2627</v>
      </c>
      <c r="H565" s="5">
        <v>59</v>
      </c>
      <c r="I565" s="5">
        <f>IFERROR(INDEX(Raw_Orders!H565:H2993,MATCH(B565,Raw_Orders!A565:A2993,0)),0)</f>
        <v>59</v>
      </c>
      <c r="J565" s="5" t="str">
        <f t="shared" si="32"/>
        <v>No</v>
      </c>
      <c r="K565" s="5" t="str">
        <f t="shared" si="33"/>
        <v>Yes</v>
      </c>
      <c r="L565" s="5" t="str">
        <f t="shared" si="35"/>
        <v>No</v>
      </c>
      <c r="M565" s="5">
        <f t="shared" si="34"/>
        <v>0</v>
      </c>
    </row>
    <row r="566" spans="1:13" x14ac:dyDescent="0.3">
      <c r="A566" s="2" t="s">
        <v>3195</v>
      </c>
      <c r="B566" s="2" t="s">
        <v>715</v>
      </c>
      <c r="C566" s="2" t="s">
        <v>2608</v>
      </c>
      <c r="D566" s="3">
        <v>45746</v>
      </c>
      <c r="E566" s="3">
        <v>45750</v>
      </c>
      <c r="F566" s="3">
        <v>45758</v>
      </c>
      <c r="G566" s="2" t="s">
        <v>2627</v>
      </c>
      <c r="H566" s="2">
        <v>6</v>
      </c>
      <c r="I566" s="2">
        <f>IFERROR(INDEX(Raw_Orders!H566:H2994,MATCH(B566,Raw_Orders!A566:A2994,0)),0)</f>
        <v>6</v>
      </c>
      <c r="J566" s="2" t="str">
        <f t="shared" si="32"/>
        <v>No</v>
      </c>
      <c r="K566" s="2" t="str">
        <f t="shared" si="33"/>
        <v>Yes</v>
      </c>
      <c r="L566" s="2" t="str">
        <f t="shared" si="35"/>
        <v>No</v>
      </c>
      <c r="M566" s="2">
        <f t="shared" si="34"/>
        <v>0</v>
      </c>
    </row>
    <row r="567" spans="1:13" x14ac:dyDescent="0.3">
      <c r="A567" s="5" t="s">
        <v>3196</v>
      </c>
      <c r="B567" s="5" t="s">
        <v>716</v>
      </c>
      <c r="C567" s="5" t="s">
        <v>2598</v>
      </c>
      <c r="D567" s="6">
        <v>45749</v>
      </c>
      <c r="E567" s="6">
        <v>45756</v>
      </c>
      <c r="F567" s="6">
        <v>45763</v>
      </c>
      <c r="G567" s="5" t="s">
        <v>2633</v>
      </c>
      <c r="H567" s="5">
        <v>39</v>
      </c>
      <c r="I567" s="5">
        <f>IFERROR(INDEX(Raw_Orders!H567:H2995,MATCH(B567,Raw_Orders!A567:A2995,0)),0)</f>
        <v>43</v>
      </c>
      <c r="J567" s="5" t="str">
        <f t="shared" si="32"/>
        <v>No</v>
      </c>
      <c r="K567" s="5" t="str">
        <f t="shared" si="33"/>
        <v>N0</v>
      </c>
      <c r="L567" s="5" t="str">
        <f t="shared" si="35"/>
        <v>No</v>
      </c>
      <c r="M567" s="5">
        <f t="shared" si="34"/>
        <v>0</v>
      </c>
    </row>
    <row r="568" spans="1:13" x14ac:dyDescent="0.3">
      <c r="A568" s="2" t="s">
        <v>3197</v>
      </c>
      <c r="B568" s="2" t="s">
        <v>717</v>
      </c>
      <c r="C568" s="2" t="s">
        <v>2604</v>
      </c>
      <c r="D568" s="3">
        <v>45747</v>
      </c>
      <c r="E568" s="3">
        <v>45750</v>
      </c>
      <c r="F568" s="3">
        <v>45751</v>
      </c>
      <c r="G568" s="2" t="s">
        <v>2629</v>
      </c>
      <c r="H568" s="2">
        <v>23</v>
      </c>
      <c r="I568" s="2">
        <f>IFERROR(INDEX(Raw_Orders!H568:H2996,MATCH(B568,Raw_Orders!A568:A2996,0)),0)</f>
        <v>23</v>
      </c>
      <c r="J568" s="2" t="str">
        <f t="shared" si="32"/>
        <v>No</v>
      </c>
      <c r="K568" s="2" t="str">
        <f t="shared" si="33"/>
        <v>Yes</v>
      </c>
      <c r="L568" s="2" t="str">
        <f t="shared" si="35"/>
        <v>No</v>
      </c>
      <c r="M568" s="2">
        <f t="shared" si="34"/>
        <v>0</v>
      </c>
    </row>
    <row r="569" spans="1:13" x14ac:dyDescent="0.3">
      <c r="A569" s="5" t="s">
        <v>3198</v>
      </c>
      <c r="B569" s="5" t="s">
        <v>718</v>
      </c>
      <c r="C569" s="5" t="s">
        <v>2608</v>
      </c>
      <c r="D569" s="6">
        <v>45749</v>
      </c>
      <c r="E569" s="6">
        <v>45752</v>
      </c>
      <c r="F569" s="6">
        <v>45764</v>
      </c>
      <c r="G569" s="5" t="s">
        <v>2627</v>
      </c>
      <c r="H569" s="5">
        <v>20</v>
      </c>
      <c r="I569" s="5">
        <f>IFERROR(INDEX(Raw_Orders!H569:H2997,MATCH(B569,Raw_Orders!A569:A2997,0)),0)</f>
        <v>26</v>
      </c>
      <c r="J569" s="5" t="str">
        <f t="shared" si="32"/>
        <v>No</v>
      </c>
      <c r="K569" s="5" t="str">
        <f t="shared" si="33"/>
        <v>N0</v>
      </c>
      <c r="L569" s="5" t="str">
        <f t="shared" si="35"/>
        <v>No</v>
      </c>
      <c r="M569" s="5">
        <f t="shared" si="34"/>
        <v>0</v>
      </c>
    </row>
    <row r="570" spans="1:13" x14ac:dyDescent="0.3">
      <c r="A570" s="2" t="s">
        <v>3199</v>
      </c>
      <c r="B570" s="2" t="s">
        <v>719</v>
      </c>
      <c r="C570" s="2" t="s">
        <v>2608</v>
      </c>
      <c r="D570" s="3">
        <v>45749</v>
      </c>
      <c r="E570" s="3">
        <v>45755</v>
      </c>
      <c r="F570" s="3">
        <v>45762</v>
      </c>
      <c r="G570" s="2" t="s">
        <v>2641</v>
      </c>
      <c r="H570" s="2">
        <v>2</v>
      </c>
      <c r="I570" s="2">
        <f>IFERROR(INDEX(Raw_Orders!H570:H2998,MATCH(B570,Raw_Orders!A570:A2998,0)),0)</f>
        <v>5</v>
      </c>
      <c r="J570" s="2" t="str">
        <f t="shared" si="32"/>
        <v>No</v>
      </c>
      <c r="K570" s="2" t="str">
        <f t="shared" si="33"/>
        <v>N0</v>
      </c>
      <c r="L570" s="2" t="str">
        <f t="shared" si="35"/>
        <v>No</v>
      </c>
      <c r="M570" s="2">
        <f t="shared" si="34"/>
        <v>0</v>
      </c>
    </row>
    <row r="571" spans="1:13" x14ac:dyDescent="0.3">
      <c r="A571" s="5" t="s">
        <v>3200</v>
      </c>
      <c r="B571" s="5" t="s">
        <v>720</v>
      </c>
      <c r="C571" s="5" t="s">
        <v>2608</v>
      </c>
      <c r="D571" s="6">
        <v>45748</v>
      </c>
      <c r="E571" s="6">
        <v>45753</v>
      </c>
      <c r="F571" s="6">
        <v>45763</v>
      </c>
      <c r="G571" s="5" t="s">
        <v>2641</v>
      </c>
      <c r="H571" s="5">
        <v>5</v>
      </c>
      <c r="I571" s="5">
        <f>IFERROR(INDEX(Raw_Orders!H571:H2999,MATCH(B571,Raw_Orders!A571:A2999,0)),0)</f>
        <v>5</v>
      </c>
      <c r="J571" s="5" t="str">
        <f t="shared" si="32"/>
        <v>No</v>
      </c>
      <c r="K571" s="5" t="str">
        <f t="shared" si="33"/>
        <v>Yes</v>
      </c>
      <c r="L571" s="5" t="str">
        <f t="shared" si="35"/>
        <v>No</v>
      </c>
      <c r="M571" s="5">
        <f t="shared" si="34"/>
        <v>0</v>
      </c>
    </row>
    <row r="572" spans="1:13" x14ac:dyDescent="0.3">
      <c r="A572" s="2" t="s">
        <v>3201</v>
      </c>
      <c r="B572" s="2" t="s">
        <v>721</v>
      </c>
      <c r="C572" s="2" t="s">
        <v>2614</v>
      </c>
      <c r="D572" s="3">
        <v>45749</v>
      </c>
      <c r="E572" s="3">
        <v>45755</v>
      </c>
      <c r="F572" s="3">
        <v>45765</v>
      </c>
      <c r="G572" s="2" t="s">
        <v>2641</v>
      </c>
      <c r="H572" s="2">
        <v>7</v>
      </c>
      <c r="I572" s="2">
        <f>IFERROR(INDEX(Raw_Orders!H572:H3000,MATCH(B572,Raw_Orders!A572:A3000,0)),0)</f>
        <v>7</v>
      </c>
      <c r="J572" s="2" t="str">
        <f t="shared" si="32"/>
        <v>No</v>
      </c>
      <c r="K572" s="2" t="str">
        <f t="shared" si="33"/>
        <v>Yes</v>
      </c>
      <c r="L572" s="2" t="str">
        <f t="shared" si="35"/>
        <v>No</v>
      </c>
      <c r="M572" s="2">
        <f t="shared" si="34"/>
        <v>0</v>
      </c>
    </row>
    <row r="573" spans="1:13" x14ac:dyDescent="0.3">
      <c r="A573" s="5" t="s">
        <v>3202</v>
      </c>
      <c r="B573" s="5" t="s">
        <v>722</v>
      </c>
      <c r="C573" s="5" t="s">
        <v>2604</v>
      </c>
      <c r="D573" s="6">
        <v>45748</v>
      </c>
      <c r="E573" s="6">
        <v>45755</v>
      </c>
      <c r="F573" s="6">
        <v>45754</v>
      </c>
      <c r="G573" s="5" t="s">
        <v>2627</v>
      </c>
      <c r="H573" s="5">
        <v>43</v>
      </c>
      <c r="I573" s="5">
        <f>IFERROR(INDEX(Raw_Orders!H573:H3001,MATCH(B573,Raw_Orders!A573:A3001,0)),0)</f>
        <v>51</v>
      </c>
      <c r="J573" s="5" t="str">
        <f t="shared" si="32"/>
        <v>Yes</v>
      </c>
      <c r="K573" s="5" t="str">
        <f t="shared" si="33"/>
        <v>N0</v>
      </c>
      <c r="L573" s="5" t="str">
        <f t="shared" si="35"/>
        <v>No</v>
      </c>
      <c r="M573" s="5">
        <f t="shared" si="34"/>
        <v>0</v>
      </c>
    </row>
    <row r="574" spans="1:13" x14ac:dyDescent="0.3">
      <c r="A574" s="2" t="s">
        <v>3203</v>
      </c>
      <c r="B574" s="2" t="s">
        <v>723</v>
      </c>
      <c r="C574" s="2" t="s">
        <v>2606</v>
      </c>
      <c r="D574" s="3">
        <v>45748</v>
      </c>
      <c r="E574" s="3">
        <v>45753</v>
      </c>
      <c r="F574" s="3">
        <v>45753</v>
      </c>
      <c r="G574" s="2" t="s">
        <v>2633</v>
      </c>
      <c r="H574" s="2">
        <v>22</v>
      </c>
      <c r="I574" s="2">
        <f>IFERROR(INDEX(Raw_Orders!H574:H3002,MATCH(B574,Raw_Orders!A574:A3002,0)),0)</f>
        <v>29</v>
      </c>
      <c r="J574" s="2" t="str">
        <f t="shared" si="32"/>
        <v>Yes</v>
      </c>
      <c r="K574" s="2" t="str">
        <f t="shared" si="33"/>
        <v>N0</v>
      </c>
      <c r="L574" s="2" t="str">
        <f t="shared" si="35"/>
        <v>No</v>
      </c>
      <c r="M574" s="2">
        <f t="shared" si="34"/>
        <v>0</v>
      </c>
    </row>
    <row r="575" spans="1:13" x14ac:dyDescent="0.3">
      <c r="A575" s="5" t="s">
        <v>3204</v>
      </c>
      <c r="B575" s="5" t="s">
        <v>724</v>
      </c>
      <c r="C575" s="5" t="s">
        <v>2601</v>
      </c>
      <c r="D575" s="6">
        <v>45750</v>
      </c>
      <c r="E575" s="6">
        <v>45752</v>
      </c>
      <c r="F575" s="6">
        <v>45754</v>
      </c>
      <c r="G575" s="5" t="s">
        <v>2641</v>
      </c>
      <c r="H575" s="5">
        <v>1</v>
      </c>
      <c r="I575" s="5">
        <f>IFERROR(INDEX(Raw_Orders!H575:H3003,MATCH(B575,Raw_Orders!A575:A3003,0)),0)</f>
        <v>1</v>
      </c>
      <c r="J575" s="5" t="str">
        <f t="shared" si="32"/>
        <v>No</v>
      </c>
      <c r="K575" s="5" t="str">
        <f t="shared" si="33"/>
        <v>Yes</v>
      </c>
      <c r="L575" s="5" t="str">
        <f t="shared" si="35"/>
        <v>No</v>
      </c>
      <c r="M575" s="5">
        <f t="shared" si="34"/>
        <v>0</v>
      </c>
    </row>
    <row r="576" spans="1:13" x14ac:dyDescent="0.3">
      <c r="A576" s="2" t="s">
        <v>3205</v>
      </c>
      <c r="B576" s="2" t="s">
        <v>725</v>
      </c>
      <c r="C576" s="2" t="s">
        <v>2616</v>
      </c>
      <c r="D576" s="3">
        <v>45751</v>
      </c>
      <c r="E576" s="3">
        <v>45755</v>
      </c>
      <c r="F576" s="3">
        <v>45768</v>
      </c>
      <c r="G576" s="2" t="s">
        <v>2627</v>
      </c>
      <c r="H576" s="2">
        <v>18</v>
      </c>
      <c r="I576" s="2">
        <f>IFERROR(INDEX(Raw_Orders!H576:H3004,MATCH(B576,Raw_Orders!A576:A3004,0)),0)</f>
        <v>18</v>
      </c>
      <c r="J576" s="2" t="str">
        <f t="shared" si="32"/>
        <v>No</v>
      </c>
      <c r="K576" s="2" t="str">
        <f t="shared" si="33"/>
        <v>Yes</v>
      </c>
      <c r="L576" s="2" t="str">
        <f t="shared" si="35"/>
        <v>No</v>
      </c>
      <c r="M576" s="2">
        <f t="shared" si="34"/>
        <v>0</v>
      </c>
    </row>
    <row r="577" spans="1:13" x14ac:dyDescent="0.3">
      <c r="A577" s="5" t="s">
        <v>3206</v>
      </c>
      <c r="B577" s="5" t="s">
        <v>726</v>
      </c>
      <c r="C577" s="5" t="s">
        <v>2606</v>
      </c>
      <c r="D577" s="6">
        <v>45751</v>
      </c>
      <c r="E577" s="6">
        <v>45752</v>
      </c>
      <c r="F577" s="6">
        <v>45758</v>
      </c>
      <c r="G577" s="5" t="s">
        <v>2629</v>
      </c>
      <c r="H577" s="5">
        <v>54</v>
      </c>
      <c r="I577" s="5">
        <f>IFERROR(INDEX(Raw_Orders!H577:H3005,MATCH(B577,Raw_Orders!A577:A3005,0)),0)</f>
        <v>54</v>
      </c>
      <c r="J577" s="5" t="str">
        <f t="shared" si="32"/>
        <v>No</v>
      </c>
      <c r="K577" s="5" t="str">
        <f t="shared" si="33"/>
        <v>Yes</v>
      </c>
      <c r="L577" s="5" t="str">
        <f t="shared" si="35"/>
        <v>No</v>
      </c>
      <c r="M577" s="5">
        <f t="shared" si="34"/>
        <v>0</v>
      </c>
    </row>
    <row r="578" spans="1:13" x14ac:dyDescent="0.3">
      <c r="A578" s="2" t="s">
        <v>3207</v>
      </c>
      <c r="B578" s="2" t="s">
        <v>727</v>
      </c>
      <c r="C578" s="2" t="s">
        <v>2606</v>
      </c>
      <c r="D578" s="3">
        <v>45749</v>
      </c>
      <c r="E578" s="3">
        <v>45759</v>
      </c>
      <c r="F578" s="3">
        <v>45759</v>
      </c>
      <c r="G578" s="2" t="s">
        <v>2629</v>
      </c>
      <c r="H578" s="2">
        <v>26</v>
      </c>
      <c r="I578" s="2">
        <f>IFERROR(INDEX(Raw_Orders!H578:H3006,MATCH(B578,Raw_Orders!A578:A3006,0)),0)</f>
        <v>26</v>
      </c>
      <c r="J578" s="2" t="str">
        <f t="shared" si="32"/>
        <v>Yes</v>
      </c>
      <c r="K578" s="2" t="str">
        <f t="shared" si="33"/>
        <v>Yes</v>
      </c>
      <c r="L578" s="2" t="str">
        <f t="shared" si="35"/>
        <v>Yes</v>
      </c>
      <c r="M578" s="2">
        <f t="shared" si="34"/>
        <v>1</v>
      </c>
    </row>
    <row r="579" spans="1:13" x14ac:dyDescent="0.3">
      <c r="A579" s="5" t="s">
        <v>3208</v>
      </c>
      <c r="B579" s="5" t="s">
        <v>728</v>
      </c>
      <c r="C579" s="5" t="s">
        <v>2608</v>
      </c>
      <c r="D579" s="6">
        <v>45749</v>
      </c>
      <c r="E579" s="6">
        <v>45756</v>
      </c>
      <c r="F579" s="6">
        <v>45762</v>
      </c>
      <c r="G579" s="5" t="s">
        <v>2633</v>
      </c>
      <c r="H579" s="5">
        <v>6</v>
      </c>
      <c r="I579" s="5">
        <f>IFERROR(INDEX(Raw_Orders!H579:H3007,MATCH(B579,Raw_Orders!A579:A3007,0)),0)</f>
        <v>6</v>
      </c>
      <c r="J579" s="5" t="str">
        <f t="shared" ref="J579:J642" si="36">IF(E579&gt;=F579,"Yes","No")</f>
        <v>No</v>
      </c>
      <c r="K579" s="5" t="str">
        <f t="shared" ref="K579:K642" si="37">IF(H579&gt;=I579,"Yes","N0")</f>
        <v>Yes</v>
      </c>
      <c r="L579" s="5" t="str">
        <f t="shared" si="35"/>
        <v>No</v>
      </c>
      <c r="M579" s="5">
        <f t="shared" ref="M579:M642" si="38">IF(L579="Yes",1,0)</f>
        <v>0</v>
      </c>
    </row>
    <row r="580" spans="1:13" x14ac:dyDescent="0.3">
      <c r="A580" s="2" t="s">
        <v>3209</v>
      </c>
      <c r="B580" s="2" t="s">
        <v>729</v>
      </c>
      <c r="C580" s="2" t="s">
        <v>2611</v>
      </c>
      <c r="D580" s="3">
        <v>45752</v>
      </c>
      <c r="E580" s="3">
        <v>45758</v>
      </c>
      <c r="F580" s="3">
        <v>45761</v>
      </c>
      <c r="G580" s="2" t="s">
        <v>2627</v>
      </c>
      <c r="H580" s="2">
        <v>64</v>
      </c>
      <c r="I580" s="2">
        <f>IFERROR(INDEX(Raw_Orders!H580:H3008,MATCH(B580,Raw_Orders!A580:A3008,0)),0)</f>
        <v>64</v>
      </c>
      <c r="J580" s="2" t="str">
        <f t="shared" si="36"/>
        <v>No</v>
      </c>
      <c r="K580" s="2" t="str">
        <f t="shared" si="37"/>
        <v>Yes</v>
      </c>
      <c r="L580" s="2" t="str">
        <f t="shared" ref="L580:L643" si="39">IF(AND(J580="Yes",K580="Yes"),"Yes","No")</f>
        <v>No</v>
      </c>
      <c r="M580" s="2">
        <f t="shared" si="38"/>
        <v>0</v>
      </c>
    </row>
    <row r="581" spans="1:13" x14ac:dyDescent="0.3">
      <c r="A581" s="5" t="s">
        <v>3210</v>
      </c>
      <c r="B581" s="5" t="s">
        <v>730</v>
      </c>
      <c r="C581" s="5" t="s">
        <v>2598</v>
      </c>
      <c r="D581" s="6">
        <v>45750</v>
      </c>
      <c r="E581" s="6">
        <v>45757</v>
      </c>
      <c r="F581" s="6">
        <v>45765</v>
      </c>
      <c r="G581" s="5" t="s">
        <v>2633</v>
      </c>
      <c r="H581" s="5">
        <v>13</v>
      </c>
      <c r="I581" s="5">
        <f>IFERROR(INDEX(Raw_Orders!H581:H3009,MATCH(B581,Raw_Orders!A581:A3009,0)),0)</f>
        <v>13</v>
      </c>
      <c r="J581" s="5" t="str">
        <f t="shared" si="36"/>
        <v>No</v>
      </c>
      <c r="K581" s="5" t="str">
        <f t="shared" si="37"/>
        <v>Yes</v>
      </c>
      <c r="L581" s="5" t="str">
        <f t="shared" si="39"/>
        <v>No</v>
      </c>
      <c r="M581" s="5">
        <f t="shared" si="38"/>
        <v>0</v>
      </c>
    </row>
    <row r="582" spans="1:13" x14ac:dyDescent="0.3">
      <c r="A582" s="2" t="s">
        <v>3211</v>
      </c>
      <c r="B582" s="2" t="s">
        <v>731</v>
      </c>
      <c r="C582" s="2" t="s">
        <v>2606</v>
      </c>
      <c r="D582" s="3">
        <v>45750</v>
      </c>
      <c r="E582" s="3">
        <v>45755</v>
      </c>
      <c r="F582" s="3">
        <v>45756</v>
      </c>
      <c r="G582" s="2" t="s">
        <v>2631</v>
      </c>
      <c r="H582" s="2">
        <v>32</v>
      </c>
      <c r="I582" s="2">
        <f>IFERROR(INDEX(Raw_Orders!H582:H3010,MATCH(B582,Raw_Orders!A582:A3010,0)),0)</f>
        <v>32</v>
      </c>
      <c r="J582" s="2" t="str">
        <f t="shared" si="36"/>
        <v>No</v>
      </c>
      <c r="K582" s="2" t="str">
        <f t="shared" si="37"/>
        <v>Yes</v>
      </c>
      <c r="L582" s="2" t="str">
        <f t="shared" si="39"/>
        <v>No</v>
      </c>
      <c r="M582" s="2">
        <f t="shared" si="38"/>
        <v>0</v>
      </c>
    </row>
    <row r="583" spans="1:13" x14ac:dyDescent="0.3">
      <c r="A583" s="5" t="s">
        <v>3212</v>
      </c>
      <c r="B583" s="5" t="s">
        <v>732</v>
      </c>
      <c r="C583" s="5" t="s">
        <v>2608</v>
      </c>
      <c r="D583" s="6">
        <v>45751</v>
      </c>
      <c r="E583" s="6">
        <v>45759</v>
      </c>
      <c r="F583" s="6">
        <v>45768</v>
      </c>
      <c r="G583" s="5" t="s">
        <v>2641</v>
      </c>
      <c r="H583" s="5">
        <v>38</v>
      </c>
      <c r="I583" s="5">
        <f>IFERROR(INDEX(Raw_Orders!H583:H3011,MATCH(B583,Raw_Orders!A583:A3011,0)),0)</f>
        <v>38</v>
      </c>
      <c r="J583" s="5" t="str">
        <f t="shared" si="36"/>
        <v>No</v>
      </c>
      <c r="K583" s="5" t="str">
        <f t="shared" si="37"/>
        <v>Yes</v>
      </c>
      <c r="L583" s="5" t="str">
        <f t="shared" si="39"/>
        <v>No</v>
      </c>
      <c r="M583" s="5">
        <f t="shared" si="38"/>
        <v>0</v>
      </c>
    </row>
    <row r="584" spans="1:13" x14ac:dyDescent="0.3">
      <c r="A584" s="2" t="s">
        <v>3213</v>
      </c>
      <c r="B584" s="2" t="s">
        <v>733</v>
      </c>
      <c r="C584" s="2" t="s">
        <v>2608</v>
      </c>
      <c r="D584" s="3">
        <v>45750</v>
      </c>
      <c r="E584" s="3">
        <v>45758</v>
      </c>
      <c r="F584" s="3">
        <v>45763</v>
      </c>
      <c r="G584" s="2" t="s">
        <v>2633</v>
      </c>
      <c r="H584" s="2">
        <v>5</v>
      </c>
      <c r="I584" s="2">
        <f>IFERROR(INDEX(Raw_Orders!H584:H3012,MATCH(B584,Raw_Orders!A584:A3012,0)),0)</f>
        <v>5</v>
      </c>
      <c r="J584" s="2" t="str">
        <f t="shared" si="36"/>
        <v>No</v>
      </c>
      <c r="K584" s="2" t="str">
        <f t="shared" si="37"/>
        <v>Yes</v>
      </c>
      <c r="L584" s="2" t="str">
        <f t="shared" si="39"/>
        <v>No</v>
      </c>
      <c r="M584" s="2">
        <f t="shared" si="38"/>
        <v>0</v>
      </c>
    </row>
    <row r="585" spans="1:13" x14ac:dyDescent="0.3">
      <c r="A585" s="5" t="s">
        <v>3214</v>
      </c>
      <c r="B585" s="5" t="s">
        <v>734</v>
      </c>
      <c r="C585" s="5" t="s">
        <v>2608</v>
      </c>
      <c r="D585" s="6">
        <v>45751</v>
      </c>
      <c r="E585" s="6">
        <v>45758</v>
      </c>
      <c r="F585" s="6">
        <v>45763</v>
      </c>
      <c r="G585" s="5" t="s">
        <v>2627</v>
      </c>
      <c r="H585" s="5">
        <v>7</v>
      </c>
      <c r="I585" s="5">
        <f>IFERROR(INDEX(Raw_Orders!H585:H3013,MATCH(B585,Raw_Orders!A585:A3013,0)),0)</f>
        <v>7</v>
      </c>
      <c r="J585" s="5" t="str">
        <f t="shared" si="36"/>
        <v>No</v>
      </c>
      <c r="K585" s="5" t="str">
        <f t="shared" si="37"/>
        <v>Yes</v>
      </c>
      <c r="L585" s="5" t="str">
        <f t="shared" si="39"/>
        <v>No</v>
      </c>
      <c r="M585" s="5">
        <f t="shared" si="38"/>
        <v>0</v>
      </c>
    </row>
    <row r="586" spans="1:13" x14ac:dyDescent="0.3">
      <c r="A586" s="2" t="s">
        <v>3215</v>
      </c>
      <c r="B586" s="2" t="s">
        <v>735</v>
      </c>
      <c r="C586" s="2" t="s">
        <v>2601</v>
      </c>
      <c r="D586" s="3">
        <v>45751</v>
      </c>
      <c r="E586" s="3">
        <v>45755</v>
      </c>
      <c r="F586" s="3">
        <v>45757</v>
      </c>
      <c r="G586" s="2" t="s">
        <v>2631</v>
      </c>
      <c r="H586" s="2">
        <v>15</v>
      </c>
      <c r="I586" s="2">
        <f>IFERROR(INDEX(Raw_Orders!H586:H3014,MATCH(B586,Raw_Orders!A586:A3014,0)),0)</f>
        <v>15</v>
      </c>
      <c r="J586" s="2" t="str">
        <f t="shared" si="36"/>
        <v>No</v>
      </c>
      <c r="K586" s="2" t="str">
        <f t="shared" si="37"/>
        <v>Yes</v>
      </c>
      <c r="L586" s="2" t="str">
        <f t="shared" si="39"/>
        <v>No</v>
      </c>
      <c r="M586" s="2">
        <f t="shared" si="38"/>
        <v>0</v>
      </c>
    </row>
    <row r="587" spans="1:13" x14ac:dyDescent="0.3">
      <c r="A587" s="5" t="s">
        <v>3216</v>
      </c>
      <c r="B587" s="5" t="s">
        <v>736</v>
      </c>
      <c r="C587" s="5" t="s">
        <v>2604</v>
      </c>
      <c r="D587" s="6">
        <v>45751</v>
      </c>
      <c r="E587" s="6">
        <v>45760</v>
      </c>
      <c r="F587" s="6">
        <v>45757</v>
      </c>
      <c r="G587" s="5" t="s">
        <v>2631</v>
      </c>
      <c r="H587" s="5">
        <v>11</v>
      </c>
      <c r="I587" s="5">
        <f>IFERROR(INDEX(Raw_Orders!H587:H3015,MATCH(B587,Raw_Orders!A587:A3015,0)),0)</f>
        <v>11</v>
      </c>
      <c r="J587" s="5" t="str">
        <f t="shared" si="36"/>
        <v>Yes</v>
      </c>
      <c r="K587" s="5" t="str">
        <f t="shared" si="37"/>
        <v>Yes</v>
      </c>
      <c r="L587" s="5" t="str">
        <f t="shared" si="39"/>
        <v>Yes</v>
      </c>
      <c r="M587" s="5">
        <f t="shared" si="38"/>
        <v>1</v>
      </c>
    </row>
    <row r="588" spans="1:13" x14ac:dyDescent="0.3">
      <c r="A588" s="2" t="s">
        <v>3217</v>
      </c>
      <c r="B588" s="2" t="s">
        <v>737</v>
      </c>
      <c r="C588" s="2" t="s">
        <v>2606</v>
      </c>
      <c r="D588" s="3">
        <v>45753</v>
      </c>
      <c r="E588" s="3">
        <v>45759</v>
      </c>
      <c r="F588" s="3">
        <v>45759</v>
      </c>
      <c r="G588" s="2" t="s">
        <v>2641</v>
      </c>
      <c r="H588" s="2">
        <v>41</v>
      </c>
      <c r="I588" s="2">
        <f>IFERROR(INDEX(Raw_Orders!H588:H3016,MATCH(B588,Raw_Orders!A588:A3016,0)),0)</f>
        <v>41</v>
      </c>
      <c r="J588" s="2" t="str">
        <f t="shared" si="36"/>
        <v>Yes</v>
      </c>
      <c r="K588" s="2" t="str">
        <f t="shared" si="37"/>
        <v>Yes</v>
      </c>
      <c r="L588" s="2" t="str">
        <f t="shared" si="39"/>
        <v>Yes</v>
      </c>
      <c r="M588" s="2">
        <f t="shared" si="38"/>
        <v>1</v>
      </c>
    </row>
    <row r="589" spans="1:13" x14ac:dyDescent="0.3">
      <c r="A589" s="5" t="s">
        <v>3218</v>
      </c>
      <c r="B589" s="5" t="s">
        <v>738</v>
      </c>
      <c r="C589" s="5" t="s">
        <v>2611</v>
      </c>
      <c r="D589" s="6">
        <v>45754</v>
      </c>
      <c r="E589" s="6">
        <v>45760</v>
      </c>
      <c r="F589" s="6">
        <v>45762</v>
      </c>
      <c r="G589" s="5" t="s">
        <v>2633</v>
      </c>
      <c r="H589" s="5">
        <v>22</v>
      </c>
      <c r="I589" s="5">
        <f>IFERROR(INDEX(Raw_Orders!H589:H3017,MATCH(B589,Raw_Orders!A589:A3017,0)),0)</f>
        <v>22</v>
      </c>
      <c r="J589" s="5" t="str">
        <f t="shared" si="36"/>
        <v>No</v>
      </c>
      <c r="K589" s="5" t="str">
        <f t="shared" si="37"/>
        <v>Yes</v>
      </c>
      <c r="L589" s="5" t="str">
        <f t="shared" si="39"/>
        <v>No</v>
      </c>
      <c r="M589" s="5">
        <f t="shared" si="38"/>
        <v>0</v>
      </c>
    </row>
    <row r="590" spans="1:13" x14ac:dyDescent="0.3">
      <c r="A590" s="2" t="s">
        <v>3219</v>
      </c>
      <c r="B590" s="2" t="s">
        <v>739</v>
      </c>
      <c r="C590" s="2" t="s">
        <v>2616</v>
      </c>
      <c r="D590" s="3">
        <v>45753</v>
      </c>
      <c r="E590" s="3">
        <v>45761</v>
      </c>
      <c r="F590" s="3">
        <v>45767</v>
      </c>
      <c r="G590" s="2" t="s">
        <v>2629</v>
      </c>
      <c r="H590" s="2">
        <v>62</v>
      </c>
      <c r="I590" s="2">
        <f>IFERROR(INDEX(Raw_Orders!H590:H3018,MATCH(B590,Raw_Orders!A590:A3018,0)),0)</f>
        <v>69</v>
      </c>
      <c r="J590" s="2" t="str">
        <f t="shared" si="36"/>
        <v>No</v>
      </c>
      <c r="K590" s="2" t="str">
        <f t="shared" si="37"/>
        <v>N0</v>
      </c>
      <c r="L590" s="2" t="str">
        <f t="shared" si="39"/>
        <v>No</v>
      </c>
      <c r="M590" s="2">
        <f t="shared" si="38"/>
        <v>0</v>
      </c>
    </row>
    <row r="591" spans="1:13" x14ac:dyDescent="0.3">
      <c r="A591" s="5" t="s">
        <v>3220</v>
      </c>
      <c r="B591" s="5" t="s">
        <v>740</v>
      </c>
      <c r="C591" s="5" t="s">
        <v>2604</v>
      </c>
      <c r="D591" s="6">
        <v>45754</v>
      </c>
      <c r="E591" s="6">
        <v>45760</v>
      </c>
      <c r="F591" s="6">
        <v>45757</v>
      </c>
      <c r="G591" s="5" t="s">
        <v>2629</v>
      </c>
      <c r="H591" s="5">
        <v>11</v>
      </c>
      <c r="I591" s="5">
        <f>IFERROR(INDEX(Raw_Orders!H591:H3019,MATCH(B591,Raw_Orders!A591:A3019,0)),0)</f>
        <v>11</v>
      </c>
      <c r="J591" s="5" t="str">
        <f t="shared" si="36"/>
        <v>Yes</v>
      </c>
      <c r="K591" s="5" t="str">
        <f t="shared" si="37"/>
        <v>Yes</v>
      </c>
      <c r="L591" s="5" t="str">
        <f t="shared" si="39"/>
        <v>Yes</v>
      </c>
      <c r="M591" s="5">
        <f t="shared" si="38"/>
        <v>1</v>
      </c>
    </row>
    <row r="592" spans="1:13" x14ac:dyDescent="0.3">
      <c r="A592" s="2" t="s">
        <v>3221</v>
      </c>
      <c r="B592" s="2" t="s">
        <v>741</v>
      </c>
      <c r="C592" s="2" t="s">
        <v>2606</v>
      </c>
      <c r="D592" s="3">
        <v>45752</v>
      </c>
      <c r="E592" s="3">
        <v>45756</v>
      </c>
      <c r="F592" s="3">
        <v>45759</v>
      </c>
      <c r="G592" s="2" t="s">
        <v>2629</v>
      </c>
      <c r="H592" s="2">
        <v>31</v>
      </c>
      <c r="I592" s="2">
        <f>IFERROR(INDEX(Raw_Orders!H592:H3020,MATCH(B592,Raw_Orders!A592:A3020,0)),0)</f>
        <v>31</v>
      </c>
      <c r="J592" s="2" t="str">
        <f t="shared" si="36"/>
        <v>No</v>
      </c>
      <c r="K592" s="2" t="str">
        <f t="shared" si="37"/>
        <v>Yes</v>
      </c>
      <c r="L592" s="2" t="str">
        <f t="shared" si="39"/>
        <v>No</v>
      </c>
      <c r="M592" s="2">
        <f t="shared" si="38"/>
        <v>0</v>
      </c>
    </row>
    <row r="593" spans="1:13" x14ac:dyDescent="0.3">
      <c r="A593" s="5" t="s">
        <v>3222</v>
      </c>
      <c r="B593" s="5" t="s">
        <v>742</v>
      </c>
      <c r="C593" s="5" t="s">
        <v>2611</v>
      </c>
      <c r="D593" s="6">
        <v>45754</v>
      </c>
      <c r="E593" s="6">
        <v>45759</v>
      </c>
      <c r="F593" s="6">
        <v>45760</v>
      </c>
      <c r="G593" s="5" t="s">
        <v>2641</v>
      </c>
      <c r="H593" s="5">
        <v>25</v>
      </c>
      <c r="I593" s="5">
        <f>IFERROR(INDEX(Raw_Orders!H593:H3021,MATCH(B593,Raw_Orders!A593:A3021,0)),0)</f>
        <v>25</v>
      </c>
      <c r="J593" s="5" t="str">
        <f t="shared" si="36"/>
        <v>No</v>
      </c>
      <c r="K593" s="5" t="str">
        <f t="shared" si="37"/>
        <v>Yes</v>
      </c>
      <c r="L593" s="5" t="str">
        <f t="shared" si="39"/>
        <v>No</v>
      </c>
      <c r="M593" s="5">
        <f t="shared" si="38"/>
        <v>0</v>
      </c>
    </row>
    <row r="594" spans="1:13" x14ac:dyDescent="0.3">
      <c r="A594" s="2" t="s">
        <v>3223</v>
      </c>
      <c r="B594" s="2" t="s">
        <v>743</v>
      </c>
      <c r="C594" s="2" t="s">
        <v>2611</v>
      </c>
      <c r="D594" s="3">
        <v>45755</v>
      </c>
      <c r="E594" s="3">
        <v>45762</v>
      </c>
      <c r="F594" s="3">
        <v>45762</v>
      </c>
      <c r="G594" s="2" t="s">
        <v>2641</v>
      </c>
      <c r="H594" s="2">
        <v>47</v>
      </c>
      <c r="I594" s="2">
        <f>IFERROR(INDEX(Raw_Orders!H594:H3022,MATCH(B594,Raw_Orders!A594:A3022,0)),0)</f>
        <v>47</v>
      </c>
      <c r="J594" s="2" t="str">
        <f t="shared" si="36"/>
        <v>Yes</v>
      </c>
      <c r="K594" s="2" t="str">
        <f t="shared" si="37"/>
        <v>Yes</v>
      </c>
      <c r="L594" s="2" t="str">
        <f t="shared" si="39"/>
        <v>Yes</v>
      </c>
      <c r="M594" s="2">
        <f t="shared" si="38"/>
        <v>1</v>
      </c>
    </row>
    <row r="595" spans="1:13" x14ac:dyDescent="0.3">
      <c r="A595" s="5" t="s">
        <v>3224</v>
      </c>
      <c r="B595" s="5" t="s">
        <v>744</v>
      </c>
      <c r="C595" s="5" t="s">
        <v>2601</v>
      </c>
      <c r="D595" s="6">
        <v>45755</v>
      </c>
      <c r="E595" s="6">
        <v>45763</v>
      </c>
      <c r="F595" s="6">
        <v>45760</v>
      </c>
      <c r="G595" s="5" t="s">
        <v>2627</v>
      </c>
      <c r="H595" s="5">
        <v>10</v>
      </c>
      <c r="I595" s="5">
        <f>IFERROR(INDEX(Raw_Orders!H595:H3023,MATCH(B595,Raw_Orders!A595:A3023,0)),0)</f>
        <v>10</v>
      </c>
      <c r="J595" s="5" t="str">
        <f t="shared" si="36"/>
        <v>Yes</v>
      </c>
      <c r="K595" s="5" t="str">
        <f t="shared" si="37"/>
        <v>Yes</v>
      </c>
      <c r="L595" s="5" t="str">
        <f t="shared" si="39"/>
        <v>Yes</v>
      </c>
      <c r="M595" s="5">
        <f t="shared" si="38"/>
        <v>1</v>
      </c>
    </row>
    <row r="596" spans="1:13" x14ac:dyDescent="0.3">
      <c r="A596" s="2" t="s">
        <v>3225</v>
      </c>
      <c r="B596" s="2" t="s">
        <v>745</v>
      </c>
      <c r="C596" s="2" t="s">
        <v>2614</v>
      </c>
      <c r="D596" s="3">
        <v>45755</v>
      </c>
      <c r="E596" s="3">
        <v>45760</v>
      </c>
      <c r="F596" s="3">
        <v>45771</v>
      </c>
      <c r="G596" s="2" t="s">
        <v>2627</v>
      </c>
      <c r="H596" s="2">
        <v>16</v>
      </c>
      <c r="I596" s="2">
        <f>IFERROR(INDEX(Raw_Orders!H596:H3024,MATCH(B596,Raw_Orders!A596:A3024,0)),0)</f>
        <v>16</v>
      </c>
      <c r="J596" s="2" t="str">
        <f t="shared" si="36"/>
        <v>No</v>
      </c>
      <c r="K596" s="2" t="str">
        <f t="shared" si="37"/>
        <v>Yes</v>
      </c>
      <c r="L596" s="2" t="str">
        <f t="shared" si="39"/>
        <v>No</v>
      </c>
      <c r="M596" s="2">
        <f t="shared" si="38"/>
        <v>0</v>
      </c>
    </row>
    <row r="597" spans="1:13" x14ac:dyDescent="0.3">
      <c r="A597" s="5" t="s">
        <v>3226</v>
      </c>
      <c r="B597" s="5" t="s">
        <v>746</v>
      </c>
      <c r="C597" s="5" t="s">
        <v>2604</v>
      </c>
      <c r="D597" s="6">
        <v>45753</v>
      </c>
      <c r="E597" s="6">
        <v>45760</v>
      </c>
      <c r="F597" s="6">
        <v>45756</v>
      </c>
      <c r="G597" s="5" t="s">
        <v>2629</v>
      </c>
      <c r="H597" s="5">
        <v>44</v>
      </c>
      <c r="I597" s="5">
        <f>IFERROR(INDEX(Raw_Orders!H597:H3025,MATCH(B597,Raw_Orders!A597:A3025,0)),0)</f>
        <v>44</v>
      </c>
      <c r="J597" s="5" t="str">
        <f t="shared" si="36"/>
        <v>Yes</v>
      </c>
      <c r="K597" s="5" t="str">
        <f t="shared" si="37"/>
        <v>Yes</v>
      </c>
      <c r="L597" s="5" t="str">
        <f t="shared" si="39"/>
        <v>Yes</v>
      </c>
      <c r="M597" s="5">
        <f t="shared" si="38"/>
        <v>1</v>
      </c>
    </row>
    <row r="598" spans="1:13" x14ac:dyDescent="0.3">
      <c r="A598" s="2" t="s">
        <v>3227</v>
      </c>
      <c r="B598" s="2" t="s">
        <v>747</v>
      </c>
      <c r="C598" s="2" t="s">
        <v>2606</v>
      </c>
      <c r="D598" s="3">
        <v>45753</v>
      </c>
      <c r="E598" s="3">
        <v>45757</v>
      </c>
      <c r="F598" s="3">
        <v>45759</v>
      </c>
      <c r="G598" s="2" t="s">
        <v>2641</v>
      </c>
      <c r="H598" s="2">
        <v>33</v>
      </c>
      <c r="I598" s="2">
        <f>IFERROR(INDEX(Raw_Orders!H598:H3026,MATCH(B598,Raw_Orders!A598:A3026,0)),0)</f>
        <v>33</v>
      </c>
      <c r="J598" s="2" t="str">
        <f t="shared" si="36"/>
        <v>No</v>
      </c>
      <c r="K598" s="2" t="str">
        <f t="shared" si="37"/>
        <v>Yes</v>
      </c>
      <c r="L598" s="2" t="str">
        <f t="shared" si="39"/>
        <v>No</v>
      </c>
      <c r="M598" s="2">
        <f t="shared" si="38"/>
        <v>0</v>
      </c>
    </row>
    <row r="599" spans="1:13" x14ac:dyDescent="0.3">
      <c r="A599" s="5" t="s">
        <v>3228</v>
      </c>
      <c r="B599" s="5" t="s">
        <v>748</v>
      </c>
      <c r="C599" s="5" t="s">
        <v>2598</v>
      </c>
      <c r="D599" s="6">
        <v>45756</v>
      </c>
      <c r="E599" s="6">
        <v>45758</v>
      </c>
      <c r="F599" s="6">
        <v>45769</v>
      </c>
      <c r="G599" s="5" t="s">
        <v>2633</v>
      </c>
      <c r="H599" s="5">
        <v>44</v>
      </c>
      <c r="I599" s="5">
        <f>IFERROR(INDEX(Raw_Orders!H599:H3027,MATCH(B599,Raw_Orders!A599:A3027,0)),0)</f>
        <v>44</v>
      </c>
      <c r="J599" s="5" t="str">
        <f t="shared" si="36"/>
        <v>No</v>
      </c>
      <c r="K599" s="5" t="str">
        <f t="shared" si="37"/>
        <v>Yes</v>
      </c>
      <c r="L599" s="5" t="str">
        <f t="shared" si="39"/>
        <v>No</v>
      </c>
      <c r="M599" s="5">
        <f t="shared" si="38"/>
        <v>0</v>
      </c>
    </row>
    <row r="600" spans="1:13" x14ac:dyDescent="0.3">
      <c r="A600" s="2" t="s">
        <v>3229</v>
      </c>
      <c r="B600" s="2" t="s">
        <v>749</v>
      </c>
      <c r="C600" s="2" t="s">
        <v>2611</v>
      </c>
      <c r="D600" s="3">
        <v>45754</v>
      </c>
      <c r="E600" s="3">
        <v>45757</v>
      </c>
      <c r="F600" s="3">
        <v>45761</v>
      </c>
      <c r="G600" s="2" t="s">
        <v>2641</v>
      </c>
      <c r="H600" s="2">
        <v>46</v>
      </c>
      <c r="I600" s="2">
        <f>IFERROR(INDEX(Raw_Orders!H600:H3028,MATCH(B600,Raw_Orders!A600:A3028,0)),0)</f>
        <v>46</v>
      </c>
      <c r="J600" s="2" t="str">
        <f t="shared" si="36"/>
        <v>No</v>
      </c>
      <c r="K600" s="2" t="str">
        <f t="shared" si="37"/>
        <v>Yes</v>
      </c>
      <c r="L600" s="2" t="str">
        <f t="shared" si="39"/>
        <v>No</v>
      </c>
      <c r="M600" s="2">
        <f t="shared" si="38"/>
        <v>0</v>
      </c>
    </row>
    <row r="601" spans="1:13" x14ac:dyDescent="0.3">
      <c r="A601" s="5" t="s">
        <v>3230</v>
      </c>
      <c r="B601" s="5" t="s">
        <v>750</v>
      </c>
      <c r="C601" s="5" t="s">
        <v>2614</v>
      </c>
      <c r="D601" s="6">
        <v>45754</v>
      </c>
      <c r="E601" s="6">
        <v>45763</v>
      </c>
      <c r="F601" s="6">
        <v>45768</v>
      </c>
      <c r="G601" s="5" t="s">
        <v>2641</v>
      </c>
      <c r="H601" s="5">
        <v>18</v>
      </c>
      <c r="I601" s="5">
        <f>IFERROR(INDEX(Raw_Orders!H601:H3029,MATCH(B601,Raw_Orders!A601:A3029,0)),0)</f>
        <v>23</v>
      </c>
      <c r="J601" s="5" t="str">
        <f t="shared" si="36"/>
        <v>No</v>
      </c>
      <c r="K601" s="5" t="str">
        <f t="shared" si="37"/>
        <v>N0</v>
      </c>
      <c r="L601" s="5" t="str">
        <f t="shared" si="39"/>
        <v>No</v>
      </c>
      <c r="M601" s="5">
        <f t="shared" si="38"/>
        <v>0</v>
      </c>
    </row>
    <row r="602" spans="1:13" x14ac:dyDescent="0.3">
      <c r="A602" s="2" t="s">
        <v>3231</v>
      </c>
      <c r="B602" s="2" t="s">
        <v>751</v>
      </c>
      <c r="C602" s="2" t="s">
        <v>2604</v>
      </c>
      <c r="D602" s="3">
        <v>45756</v>
      </c>
      <c r="E602" s="3">
        <v>45762</v>
      </c>
      <c r="F602" s="3">
        <v>45760</v>
      </c>
      <c r="G602" s="2" t="s">
        <v>2631</v>
      </c>
      <c r="H602" s="2">
        <v>9</v>
      </c>
      <c r="I602" s="2">
        <f>IFERROR(INDEX(Raw_Orders!H602:H3030,MATCH(B602,Raw_Orders!A602:A3030,0)),0)</f>
        <v>9</v>
      </c>
      <c r="J602" s="2" t="str">
        <f t="shared" si="36"/>
        <v>Yes</v>
      </c>
      <c r="K602" s="2" t="str">
        <f t="shared" si="37"/>
        <v>Yes</v>
      </c>
      <c r="L602" s="2" t="str">
        <f t="shared" si="39"/>
        <v>Yes</v>
      </c>
      <c r="M602" s="2">
        <f t="shared" si="38"/>
        <v>1</v>
      </c>
    </row>
    <row r="603" spans="1:13" x14ac:dyDescent="0.3">
      <c r="A603" s="5" t="s">
        <v>3232</v>
      </c>
      <c r="B603" s="5" t="s">
        <v>752</v>
      </c>
      <c r="C603" s="5" t="s">
        <v>2604</v>
      </c>
      <c r="D603" s="6">
        <v>45754</v>
      </c>
      <c r="E603" s="6">
        <v>45757</v>
      </c>
      <c r="F603" s="6">
        <v>45762</v>
      </c>
      <c r="G603" s="5" t="s">
        <v>2627</v>
      </c>
      <c r="H603" s="5">
        <v>12</v>
      </c>
      <c r="I603" s="5">
        <f>IFERROR(INDEX(Raw_Orders!H603:H3031,MATCH(B603,Raw_Orders!A603:A3031,0)),0)</f>
        <v>12</v>
      </c>
      <c r="J603" s="5" t="str">
        <f t="shared" si="36"/>
        <v>No</v>
      </c>
      <c r="K603" s="5" t="str">
        <f t="shared" si="37"/>
        <v>Yes</v>
      </c>
      <c r="L603" s="5" t="str">
        <f t="shared" si="39"/>
        <v>No</v>
      </c>
      <c r="M603" s="5">
        <f t="shared" si="38"/>
        <v>0</v>
      </c>
    </row>
    <row r="604" spans="1:13" x14ac:dyDescent="0.3">
      <c r="A604" s="2" t="s">
        <v>3233</v>
      </c>
      <c r="B604" s="2" t="s">
        <v>753</v>
      </c>
      <c r="C604" s="2" t="s">
        <v>2606</v>
      </c>
      <c r="D604" s="3">
        <v>45754</v>
      </c>
      <c r="E604" s="3">
        <v>45762</v>
      </c>
      <c r="F604" s="3">
        <v>45759</v>
      </c>
      <c r="G604" s="2" t="s">
        <v>2633</v>
      </c>
      <c r="H604" s="2">
        <v>38</v>
      </c>
      <c r="I604" s="2">
        <f>IFERROR(INDEX(Raw_Orders!H604:H3032,MATCH(B604,Raw_Orders!A604:A3032,0)),0)</f>
        <v>38</v>
      </c>
      <c r="J604" s="2" t="str">
        <f t="shared" si="36"/>
        <v>Yes</v>
      </c>
      <c r="K604" s="2" t="str">
        <f t="shared" si="37"/>
        <v>Yes</v>
      </c>
      <c r="L604" s="2" t="str">
        <f t="shared" si="39"/>
        <v>Yes</v>
      </c>
      <c r="M604" s="2">
        <f t="shared" si="38"/>
        <v>1</v>
      </c>
    </row>
    <row r="605" spans="1:13" x14ac:dyDescent="0.3">
      <c r="A605" s="5" t="s">
        <v>3234</v>
      </c>
      <c r="B605" s="5" t="s">
        <v>754</v>
      </c>
      <c r="C605" s="5" t="s">
        <v>2608</v>
      </c>
      <c r="D605" s="6">
        <v>45756</v>
      </c>
      <c r="E605" s="6">
        <v>45759</v>
      </c>
      <c r="F605" s="6">
        <v>45769</v>
      </c>
      <c r="G605" s="5" t="s">
        <v>2633</v>
      </c>
      <c r="H605" s="5">
        <v>1</v>
      </c>
      <c r="I605" s="5">
        <f>IFERROR(INDEX(Raw_Orders!H605:H3033,MATCH(B605,Raw_Orders!A605:A3033,0)),0)</f>
        <v>1</v>
      </c>
      <c r="J605" s="5" t="str">
        <f t="shared" si="36"/>
        <v>No</v>
      </c>
      <c r="K605" s="5" t="str">
        <f t="shared" si="37"/>
        <v>Yes</v>
      </c>
      <c r="L605" s="5" t="str">
        <f t="shared" si="39"/>
        <v>No</v>
      </c>
      <c r="M605" s="5">
        <f t="shared" si="38"/>
        <v>0</v>
      </c>
    </row>
    <row r="606" spans="1:13" x14ac:dyDescent="0.3">
      <c r="A606" s="2" t="s">
        <v>3235</v>
      </c>
      <c r="B606" s="2" t="s">
        <v>755</v>
      </c>
      <c r="C606" s="2" t="s">
        <v>2608</v>
      </c>
      <c r="D606" s="3">
        <v>45754</v>
      </c>
      <c r="E606" s="3">
        <v>45757</v>
      </c>
      <c r="F606" s="3">
        <v>45766</v>
      </c>
      <c r="G606" s="2" t="s">
        <v>2631</v>
      </c>
      <c r="H606" s="2">
        <v>11</v>
      </c>
      <c r="I606" s="2">
        <f>IFERROR(INDEX(Raw_Orders!H606:H3034,MATCH(B606,Raw_Orders!A606:A3034,0)),0)</f>
        <v>11</v>
      </c>
      <c r="J606" s="2" t="str">
        <f t="shared" si="36"/>
        <v>No</v>
      </c>
      <c r="K606" s="2" t="str">
        <f t="shared" si="37"/>
        <v>Yes</v>
      </c>
      <c r="L606" s="2" t="str">
        <f t="shared" si="39"/>
        <v>No</v>
      </c>
      <c r="M606" s="2">
        <f t="shared" si="38"/>
        <v>0</v>
      </c>
    </row>
    <row r="607" spans="1:13" x14ac:dyDescent="0.3">
      <c r="A607" s="5" t="s">
        <v>3236</v>
      </c>
      <c r="B607" s="5" t="s">
        <v>756</v>
      </c>
      <c r="C607" s="5" t="s">
        <v>2611</v>
      </c>
      <c r="D607" s="6">
        <v>45757</v>
      </c>
      <c r="E607" s="6">
        <v>45759</v>
      </c>
      <c r="F607" s="6">
        <v>45764</v>
      </c>
      <c r="G607" s="5" t="s">
        <v>2641</v>
      </c>
      <c r="H607" s="5">
        <v>27</v>
      </c>
      <c r="I607" s="5">
        <f>IFERROR(INDEX(Raw_Orders!H607:H3035,MATCH(B607,Raw_Orders!A607:A3035,0)),0)</f>
        <v>27</v>
      </c>
      <c r="J607" s="5" t="str">
        <f t="shared" si="36"/>
        <v>No</v>
      </c>
      <c r="K607" s="5" t="str">
        <f t="shared" si="37"/>
        <v>Yes</v>
      </c>
      <c r="L607" s="5" t="str">
        <f t="shared" si="39"/>
        <v>No</v>
      </c>
      <c r="M607" s="5">
        <f t="shared" si="38"/>
        <v>0</v>
      </c>
    </row>
    <row r="608" spans="1:13" x14ac:dyDescent="0.3">
      <c r="A608" s="2" t="s">
        <v>3237</v>
      </c>
      <c r="B608" s="2" t="s">
        <v>757</v>
      </c>
      <c r="C608" s="2" t="s">
        <v>2598</v>
      </c>
      <c r="D608" s="3">
        <v>45755</v>
      </c>
      <c r="E608" s="3">
        <v>45763</v>
      </c>
      <c r="F608" s="3">
        <v>45768</v>
      </c>
      <c r="G608" s="2" t="s">
        <v>2641</v>
      </c>
      <c r="H608" s="2">
        <v>9</v>
      </c>
      <c r="I608" s="2">
        <f>IFERROR(INDEX(Raw_Orders!H608:H3036,MATCH(B608,Raw_Orders!A608:A3036,0)),0)</f>
        <v>9</v>
      </c>
      <c r="J608" s="2" t="str">
        <f t="shared" si="36"/>
        <v>No</v>
      </c>
      <c r="K608" s="2" t="str">
        <f t="shared" si="37"/>
        <v>Yes</v>
      </c>
      <c r="L608" s="2" t="str">
        <f t="shared" si="39"/>
        <v>No</v>
      </c>
      <c r="M608" s="2">
        <f t="shared" si="38"/>
        <v>0</v>
      </c>
    </row>
    <row r="609" spans="1:13" x14ac:dyDescent="0.3">
      <c r="A609" s="5" t="s">
        <v>3238</v>
      </c>
      <c r="B609" s="5" t="s">
        <v>758</v>
      </c>
      <c r="C609" s="5" t="s">
        <v>2601</v>
      </c>
      <c r="D609" s="6">
        <v>45757</v>
      </c>
      <c r="E609" s="6">
        <v>45759</v>
      </c>
      <c r="F609" s="6">
        <v>45761</v>
      </c>
      <c r="G609" s="5" t="s">
        <v>2627</v>
      </c>
      <c r="H609" s="5">
        <v>8</v>
      </c>
      <c r="I609" s="5">
        <f>IFERROR(INDEX(Raw_Orders!H609:H3037,MATCH(B609,Raw_Orders!A609:A3037,0)),0)</f>
        <v>8</v>
      </c>
      <c r="J609" s="5" t="str">
        <f t="shared" si="36"/>
        <v>No</v>
      </c>
      <c r="K609" s="5" t="str">
        <f t="shared" si="37"/>
        <v>Yes</v>
      </c>
      <c r="L609" s="5" t="str">
        <f t="shared" si="39"/>
        <v>No</v>
      </c>
      <c r="M609" s="5">
        <f t="shared" si="38"/>
        <v>0</v>
      </c>
    </row>
    <row r="610" spans="1:13" x14ac:dyDescent="0.3">
      <c r="A610" s="2" t="s">
        <v>3239</v>
      </c>
      <c r="B610" s="2" t="s">
        <v>759</v>
      </c>
      <c r="C610" s="2" t="s">
        <v>2614</v>
      </c>
      <c r="D610" s="3">
        <v>45756</v>
      </c>
      <c r="E610" s="3">
        <v>45760</v>
      </c>
      <c r="F610" s="3">
        <v>45774</v>
      </c>
      <c r="G610" s="2" t="s">
        <v>2631</v>
      </c>
      <c r="H610" s="2">
        <v>10</v>
      </c>
      <c r="I610" s="2">
        <f>IFERROR(INDEX(Raw_Orders!H610:H3038,MATCH(B610,Raw_Orders!A610:A3038,0)),0)</f>
        <v>10</v>
      </c>
      <c r="J610" s="2" t="str">
        <f t="shared" si="36"/>
        <v>No</v>
      </c>
      <c r="K610" s="2" t="str">
        <f t="shared" si="37"/>
        <v>Yes</v>
      </c>
      <c r="L610" s="2" t="str">
        <f t="shared" si="39"/>
        <v>No</v>
      </c>
      <c r="M610" s="2">
        <f t="shared" si="38"/>
        <v>0</v>
      </c>
    </row>
    <row r="611" spans="1:13" x14ac:dyDescent="0.3">
      <c r="A611" s="5" t="s">
        <v>3240</v>
      </c>
      <c r="B611" s="5" t="s">
        <v>760</v>
      </c>
      <c r="C611" s="5" t="s">
        <v>2616</v>
      </c>
      <c r="D611" s="6">
        <v>45756</v>
      </c>
      <c r="E611" s="6">
        <v>45763</v>
      </c>
      <c r="F611" s="6">
        <v>45775</v>
      </c>
      <c r="G611" s="5" t="s">
        <v>2641</v>
      </c>
      <c r="H611" s="5">
        <v>10</v>
      </c>
      <c r="I611" s="5">
        <f>IFERROR(INDEX(Raw_Orders!H611:H3039,MATCH(B611,Raw_Orders!A611:A3039,0)),0)</f>
        <v>10</v>
      </c>
      <c r="J611" s="5" t="str">
        <f t="shared" si="36"/>
        <v>No</v>
      </c>
      <c r="K611" s="5" t="str">
        <f t="shared" si="37"/>
        <v>Yes</v>
      </c>
      <c r="L611" s="5" t="str">
        <f t="shared" si="39"/>
        <v>No</v>
      </c>
      <c r="M611" s="5">
        <f t="shared" si="38"/>
        <v>0</v>
      </c>
    </row>
    <row r="612" spans="1:13" x14ac:dyDescent="0.3">
      <c r="A612" s="2" t="s">
        <v>3241</v>
      </c>
      <c r="B612" s="2" t="s">
        <v>761</v>
      </c>
      <c r="C612" s="2" t="s">
        <v>2606</v>
      </c>
      <c r="D612" s="3">
        <v>45755</v>
      </c>
      <c r="E612" s="3">
        <v>45763</v>
      </c>
      <c r="F612" s="3">
        <v>45762</v>
      </c>
      <c r="G612" s="2" t="s">
        <v>2629</v>
      </c>
      <c r="H612" s="2">
        <v>17</v>
      </c>
      <c r="I612" s="2">
        <f>IFERROR(INDEX(Raw_Orders!H612:H3040,MATCH(B612,Raw_Orders!A612:A3040,0)),0)</f>
        <v>17</v>
      </c>
      <c r="J612" s="2" t="str">
        <f t="shared" si="36"/>
        <v>Yes</v>
      </c>
      <c r="K612" s="2" t="str">
        <f t="shared" si="37"/>
        <v>Yes</v>
      </c>
      <c r="L612" s="2" t="str">
        <f t="shared" si="39"/>
        <v>Yes</v>
      </c>
      <c r="M612" s="2">
        <f t="shared" si="38"/>
        <v>1</v>
      </c>
    </row>
    <row r="613" spans="1:13" x14ac:dyDescent="0.3">
      <c r="A613" s="5" t="s">
        <v>3242</v>
      </c>
      <c r="B613" s="5" t="s">
        <v>762</v>
      </c>
      <c r="C613" s="5" t="s">
        <v>2608</v>
      </c>
      <c r="D613" s="6">
        <v>45755</v>
      </c>
      <c r="E613" s="6">
        <v>45762</v>
      </c>
      <c r="F613" s="6">
        <v>45768</v>
      </c>
      <c r="G613" s="5" t="s">
        <v>2629</v>
      </c>
      <c r="H613" s="5">
        <v>32</v>
      </c>
      <c r="I613" s="5">
        <f>IFERROR(INDEX(Raw_Orders!H613:H3041,MATCH(B613,Raw_Orders!A613:A3041,0)),0)</f>
        <v>36</v>
      </c>
      <c r="J613" s="5" t="str">
        <f t="shared" si="36"/>
        <v>No</v>
      </c>
      <c r="K613" s="5" t="str">
        <f t="shared" si="37"/>
        <v>N0</v>
      </c>
      <c r="L613" s="5" t="str">
        <f t="shared" si="39"/>
        <v>No</v>
      </c>
      <c r="M613" s="5">
        <f t="shared" si="38"/>
        <v>0</v>
      </c>
    </row>
    <row r="614" spans="1:13" x14ac:dyDescent="0.3">
      <c r="A614" s="2" t="s">
        <v>3243</v>
      </c>
      <c r="B614" s="2" t="s">
        <v>763</v>
      </c>
      <c r="C614" s="2" t="s">
        <v>2608</v>
      </c>
      <c r="D614" s="3">
        <v>45755</v>
      </c>
      <c r="E614" s="3">
        <v>45760</v>
      </c>
      <c r="F614" s="3">
        <v>45770</v>
      </c>
      <c r="G614" s="2" t="s">
        <v>2627</v>
      </c>
      <c r="H614" s="2">
        <v>1</v>
      </c>
      <c r="I614" s="2">
        <f>IFERROR(INDEX(Raw_Orders!H614:H3042,MATCH(B614,Raw_Orders!A614:A3042,0)),0)</f>
        <v>3</v>
      </c>
      <c r="J614" s="2" t="str">
        <f t="shared" si="36"/>
        <v>No</v>
      </c>
      <c r="K614" s="2" t="str">
        <f t="shared" si="37"/>
        <v>N0</v>
      </c>
      <c r="L614" s="2" t="str">
        <f t="shared" si="39"/>
        <v>No</v>
      </c>
      <c r="M614" s="2">
        <f t="shared" si="38"/>
        <v>0</v>
      </c>
    </row>
    <row r="615" spans="1:13" x14ac:dyDescent="0.3">
      <c r="A615" s="5" t="s">
        <v>3244</v>
      </c>
      <c r="B615" s="5" t="s">
        <v>764</v>
      </c>
      <c r="C615" s="5" t="s">
        <v>2608</v>
      </c>
      <c r="D615" s="6">
        <v>45755</v>
      </c>
      <c r="E615" s="6">
        <v>45759</v>
      </c>
      <c r="F615" s="6">
        <v>45768</v>
      </c>
      <c r="G615" s="5" t="s">
        <v>2629</v>
      </c>
      <c r="H615" s="5">
        <v>5</v>
      </c>
      <c r="I615" s="5">
        <f>IFERROR(INDEX(Raw_Orders!H615:H3043,MATCH(B615,Raw_Orders!A615:A3043,0)),0)</f>
        <v>5</v>
      </c>
      <c r="J615" s="5" t="str">
        <f t="shared" si="36"/>
        <v>No</v>
      </c>
      <c r="K615" s="5" t="str">
        <f t="shared" si="37"/>
        <v>Yes</v>
      </c>
      <c r="L615" s="5" t="str">
        <f t="shared" si="39"/>
        <v>No</v>
      </c>
      <c r="M615" s="5">
        <f t="shared" si="38"/>
        <v>0</v>
      </c>
    </row>
    <row r="616" spans="1:13" x14ac:dyDescent="0.3">
      <c r="A616" s="2" t="s">
        <v>3245</v>
      </c>
      <c r="B616" s="2" t="s">
        <v>765</v>
      </c>
      <c r="C616" s="2" t="s">
        <v>2604</v>
      </c>
      <c r="D616" s="3">
        <v>45758</v>
      </c>
      <c r="E616" s="3">
        <v>45766</v>
      </c>
      <c r="F616" s="3">
        <v>45763</v>
      </c>
      <c r="G616" s="2" t="s">
        <v>2633</v>
      </c>
      <c r="H616" s="2">
        <v>9</v>
      </c>
      <c r="I616" s="2">
        <f>IFERROR(INDEX(Raw_Orders!H616:H3044,MATCH(B616,Raw_Orders!A616:A3044,0)),0)</f>
        <v>17</v>
      </c>
      <c r="J616" s="2" t="str">
        <f t="shared" si="36"/>
        <v>Yes</v>
      </c>
      <c r="K616" s="2" t="str">
        <f t="shared" si="37"/>
        <v>N0</v>
      </c>
      <c r="L616" s="2" t="str">
        <f t="shared" si="39"/>
        <v>No</v>
      </c>
      <c r="M616" s="2">
        <f t="shared" si="38"/>
        <v>0</v>
      </c>
    </row>
    <row r="617" spans="1:13" x14ac:dyDescent="0.3">
      <c r="A617" s="5" t="s">
        <v>3246</v>
      </c>
      <c r="B617" s="5" t="s">
        <v>766</v>
      </c>
      <c r="C617" s="5" t="s">
        <v>2604</v>
      </c>
      <c r="D617" s="6">
        <v>45757</v>
      </c>
      <c r="E617" s="6">
        <v>45762</v>
      </c>
      <c r="F617" s="6">
        <v>45765</v>
      </c>
      <c r="G617" s="5" t="s">
        <v>2641</v>
      </c>
      <c r="H617" s="5">
        <v>41</v>
      </c>
      <c r="I617" s="5">
        <f>IFERROR(INDEX(Raw_Orders!H617:H3045,MATCH(B617,Raw_Orders!A617:A3045,0)),0)</f>
        <v>42</v>
      </c>
      <c r="J617" s="5" t="str">
        <f t="shared" si="36"/>
        <v>No</v>
      </c>
      <c r="K617" s="5" t="str">
        <f t="shared" si="37"/>
        <v>N0</v>
      </c>
      <c r="L617" s="5" t="str">
        <f t="shared" si="39"/>
        <v>No</v>
      </c>
      <c r="M617" s="5">
        <f t="shared" si="38"/>
        <v>0</v>
      </c>
    </row>
    <row r="618" spans="1:13" x14ac:dyDescent="0.3">
      <c r="A618" s="2" t="s">
        <v>3247</v>
      </c>
      <c r="B618" s="2" t="s">
        <v>767</v>
      </c>
      <c r="C618" s="2" t="s">
        <v>2604</v>
      </c>
      <c r="D618" s="3">
        <v>45757</v>
      </c>
      <c r="E618" s="3">
        <v>45764</v>
      </c>
      <c r="F618" s="3">
        <v>45763</v>
      </c>
      <c r="G618" s="2" t="s">
        <v>2633</v>
      </c>
      <c r="H618" s="2">
        <v>16</v>
      </c>
      <c r="I618" s="2">
        <f>IFERROR(INDEX(Raw_Orders!H618:H3046,MATCH(B618,Raw_Orders!A618:A3046,0)),0)</f>
        <v>16</v>
      </c>
      <c r="J618" s="2" t="str">
        <f t="shared" si="36"/>
        <v>Yes</v>
      </c>
      <c r="K618" s="2" t="str">
        <f t="shared" si="37"/>
        <v>Yes</v>
      </c>
      <c r="L618" s="2" t="str">
        <f t="shared" si="39"/>
        <v>Yes</v>
      </c>
      <c r="M618" s="2">
        <f t="shared" si="38"/>
        <v>1</v>
      </c>
    </row>
    <row r="619" spans="1:13" x14ac:dyDescent="0.3">
      <c r="A619" s="5" t="s">
        <v>3248</v>
      </c>
      <c r="B619" s="5" t="s">
        <v>768</v>
      </c>
      <c r="C619" s="5" t="s">
        <v>2608</v>
      </c>
      <c r="D619" s="6">
        <v>45756</v>
      </c>
      <c r="E619" s="6">
        <v>45761</v>
      </c>
      <c r="F619" s="6">
        <v>45769</v>
      </c>
      <c r="G619" s="5" t="s">
        <v>2631</v>
      </c>
      <c r="H619" s="5">
        <v>6</v>
      </c>
      <c r="I619" s="5">
        <f>IFERROR(INDEX(Raw_Orders!H619:H3047,MATCH(B619,Raw_Orders!A619:A3047,0)),0)</f>
        <v>6</v>
      </c>
      <c r="J619" s="5" t="str">
        <f t="shared" si="36"/>
        <v>No</v>
      </c>
      <c r="K619" s="5" t="str">
        <f t="shared" si="37"/>
        <v>Yes</v>
      </c>
      <c r="L619" s="5" t="str">
        <f t="shared" si="39"/>
        <v>No</v>
      </c>
      <c r="M619" s="5">
        <f t="shared" si="38"/>
        <v>0</v>
      </c>
    </row>
    <row r="620" spans="1:13" x14ac:dyDescent="0.3">
      <c r="A620" s="2" t="s">
        <v>3249</v>
      </c>
      <c r="B620" s="2" t="s">
        <v>769</v>
      </c>
      <c r="C620" s="2" t="s">
        <v>2608</v>
      </c>
      <c r="D620" s="3">
        <v>45758</v>
      </c>
      <c r="E620" s="3">
        <v>45761</v>
      </c>
      <c r="F620" s="3">
        <v>45772</v>
      </c>
      <c r="G620" s="2" t="s">
        <v>2633</v>
      </c>
      <c r="H620" s="2">
        <v>13</v>
      </c>
      <c r="I620" s="2">
        <f>IFERROR(INDEX(Raw_Orders!H620:H3048,MATCH(B620,Raw_Orders!A620:A3048,0)),0)</f>
        <v>13</v>
      </c>
      <c r="J620" s="2" t="str">
        <f t="shared" si="36"/>
        <v>No</v>
      </c>
      <c r="K620" s="2" t="str">
        <f t="shared" si="37"/>
        <v>Yes</v>
      </c>
      <c r="L620" s="2" t="str">
        <f t="shared" si="39"/>
        <v>No</v>
      </c>
      <c r="M620" s="2">
        <f t="shared" si="38"/>
        <v>0</v>
      </c>
    </row>
    <row r="621" spans="1:13" x14ac:dyDescent="0.3">
      <c r="A621" s="5" t="s">
        <v>3250</v>
      </c>
      <c r="B621" s="5" t="s">
        <v>770</v>
      </c>
      <c r="C621" s="5" t="s">
        <v>2611</v>
      </c>
      <c r="D621" s="6">
        <v>45759</v>
      </c>
      <c r="E621" s="6">
        <v>45767</v>
      </c>
      <c r="F621" s="6">
        <v>45765</v>
      </c>
      <c r="G621" s="5" t="s">
        <v>2633</v>
      </c>
      <c r="H621" s="5">
        <v>14</v>
      </c>
      <c r="I621" s="5">
        <f>IFERROR(INDEX(Raw_Orders!H621:H3049,MATCH(B621,Raw_Orders!A621:A3049,0)),0)</f>
        <v>14</v>
      </c>
      <c r="J621" s="5" t="str">
        <f t="shared" si="36"/>
        <v>Yes</v>
      </c>
      <c r="K621" s="5" t="str">
        <f t="shared" si="37"/>
        <v>Yes</v>
      </c>
      <c r="L621" s="5" t="str">
        <f t="shared" si="39"/>
        <v>Yes</v>
      </c>
      <c r="M621" s="5">
        <f t="shared" si="38"/>
        <v>1</v>
      </c>
    </row>
    <row r="622" spans="1:13" x14ac:dyDescent="0.3">
      <c r="A622" s="2" t="s">
        <v>3251</v>
      </c>
      <c r="B622" s="2" t="s">
        <v>771</v>
      </c>
      <c r="C622" s="2" t="s">
        <v>2611</v>
      </c>
      <c r="D622" s="3">
        <v>45757</v>
      </c>
      <c r="E622" s="3">
        <v>45765</v>
      </c>
      <c r="F622" s="3">
        <v>45765</v>
      </c>
      <c r="G622" s="2" t="s">
        <v>2631</v>
      </c>
      <c r="H622" s="2">
        <v>37</v>
      </c>
      <c r="I622" s="2">
        <f>IFERROR(INDEX(Raw_Orders!H622:H3050,MATCH(B622,Raw_Orders!A622:A3050,0)),0)</f>
        <v>37</v>
      </c>
      <c r="J622" s="2" t="str">
        <f t="shared" si="36"/>
        <v>Yes</v>
      </c>
      <c r="K622" s="2" t="str">
        <f t="shared" si="37"/>
        <v>Yes</v>
      </c>
      <c r="L622" s="2" t="str">
        <f t="shared" si="39"/>
        <v>Yes</v>
      </c>
      <c r="M622" s="2">
        <f t="shared" si="38"/>
        <v>1</v>
      </c>
    </row>
    <row r="623" spans="1:13" x14ac:dyDescent="0.3">
      <c r="A623" s="5" t="s">
        <v>3252</v>
      </c>
      <c r="B623" s="5" t="s">
        <v>772</v>
      </c>
      <c r="C623" s="5" t="s">
        <v>2601</v>
      </c>
      <c r="D623" s="6">
        <v>45759</v>
      </c>
      <c r="E623" s="6">
        <v>45765</v>
      </c>
      <c r="F623" s="6">
        <v>45765</v>
      </c>
      <c r="G623" s="5" t="s">
        <v>2631</v>
      </c>
      <c r="H623" s="5">
        <v>21</v>
      </c>
      <c r="I623" s="5">
        <f>IFERROR(INDEX(Raw_Orders!H623:H3051,MATCH(B623,Raw_Orders!A623:A3051,0)),0)</f>
        <v>21</v>
      </c>
      <c r="J623" s="5" t="str">
        <f t="shared" si="36"/>
        <v>Yes</v>
      </c>
      <c r="K623" s="5" t="str">
        <f t="shared" si="37"/>
        <v>Yes</v>
      </c>
      <c r="L623" s="5" t="str">
        <f t="shared" si="39"/>
        <v>Yes</v>
      </c>
      <c r="M623" s="5">
        <f t="shared" si="38"/>
        <v>1</v>
      </c>
    </row>
    <row r="624" spans="1:13" x14ac:dyDescent="0.3">
      <c r="A624" s="2" t="s">
        <v>3253</v>
      </c>
      <c r="B624" s="2" t="s">
        <v>773</v>
      </c>
      <c r="C624" s="2" t="s">
        <v>2616</v>
      </c>
      <c r="D624" s="3">
        <v>45759</v>
      </c>
      <c r="E624" s="3">
        <v>45766</v>
      </c>
      <c r="F624" s="3">
        <v>45774</v>
      </c>
      <c r="G624" s="2" t="s">
        <v>2629</v>
      </c>
      <c r="H624" s="2">
        <v>30</v>
      </c>
      <c r="I624" s="2">
        <f>IFERROR(INDEX(Raw_Orders!H624:H3052,MATCH(B624,Raw_Orders!A624:A3052,0)),0)</f>
        <v>32</v>
      </c>
      <c r="J624" s="2" t="str">
        <f t="shared" si="36"/>
        <v>No</v>
      </c>
      <c r="K624" s="2" t="str">
        <f t="shared" si="37"/>
        <v>N0</v>
      </c>
      <c r="L624" s="2" t="str">
        <f t="shared" si="39"/>
        <v>No</v>
      </c>
      <c r="M624" s="2">
        <f t="shared" si="38"/>
        <v>0</v>
      </c>
    </row>
    <row r="625" spans="1:13" x14ac:dyDescent="0.3">
      <c r="A625" s="5" t="s">
        <v>3254</v>
      </c>
      <c r="B625" s="5" t="s">
        <v>774</v>
      </c>
      <c r="C625" s="5" t="s">
        <v>2606</v>
      </c>
      <c r="D625" s="6">
        <v>45759</v>
      </c>
      <c r="E625" s="6">
        <v>45763</v>
      </c>
      <c r="F625" s="6">
        <v>45764</v>
      </c>
      <c r="G625" s="5" t="s">
        <v>2627</v>
      </c>
      <c r="H625" s="5">
        <v>36</v>
      </c>
      <c r="I625" s="5">
        <f>IFERROR(INDEX(Raw_Orders!H625:H3053,MATCH(B625,Raw_Orders!A625:A3053,0)),0)</f>
        <v>36</v>
      </c>
      <c r="J625" s="5" t="str">
        <f t="shared" si="36"/>
        <v>No</v>
      </c>
      <c r="K625" s="5" t="str">
        <f t="shared" si="37"/>
        <v>Yes</v>
      </c>
      <c r="L625" s="5" t="str">
        <f t="shared" si="39"/>
        <v>No</v>
      </c>
      <c r="M625" s="5">
        <f t="shared" si="38"/>
        <v>0</v>
      </c>
    </row>
    <row r="626" spans="1:13" x14ac:dyDescent="0.3">
      <c r="A626" s="2" t="s">
        <v>3255</v>
      </c>
      <c r="B626" s="2" t="s">
        <v>775</v>
      </c>
      <c r="C626" s="2" t="s">
        <v>2606</v>
      </c>
      <c r="D626" s="3">
        <v>45758</v>
      </c>
      <c r="E626" s="3">
        <v>45767</v>
      </c>
      <c r="F626" s="3">
        <v>45765</v>
      </c>
      <c r="G626" s="2" t="s">
        <v>2631</v>
      </c>
      <c r="H626" s="2">
        <v>49</v>
      </c>
      <c r="I626" s="2">
        <f>IFERROR(INDEX(Raw_Orders!H626:H3054,MATCH(B626,Raw_Orders!A626:A3054,0)),0)</f>
        <v>49</v>
      </c>
      <c r="J626" s="2" t="str">
        <f t="shared" si="36"/>
        <v>Yes</v>
      </c>
      <c r="K626" s="2" t="str">
        <f t="shared" si="37"/>
        <v>Yes</v>
      </c>
      <c r="L626" s="2" t="str">
        <f t="shared" si="39"/>
        <v>Yes</v>
      </c>
      <c r="M626" s="2">
        <f t="shared" si="38"/>
        <v>1</v>
      </c>
    </row>
    <row r="627" spans="1:13" x14ac:dyDescent="0.3">
      <c r="A627" s="5" t="s">
        <v>3256</v>
      </c>
      <c r="B627" s="5" t="s">
        <v>776</v>
      </c>
      <c r="C627" s="5" t="s">
        <v>2608</v>
      </c>
      <c r="D627" s="6">
        <v>45757</v>
      </c>
      <c r="E627" s="6">
        <v>45762</v>
      </c>
      <c r="F627" s="6">
        <v>45771</v>
      </c>
      <c r="G627" s="5" t="s">
        <v>2631</v>
      </c>
      <c r="H627" s="5">
        <v>18</v>
      </c>
      <c r="I627" s="5">
        <f>IFERROR(INDEX(Raw_Orders!H627:H3055,MATCH(B627,Raw_Orders!A627:A3055,0)),0)</f>
        <v>18</v>
      </c>
      <c r="J627" s="5" t="str">
        <f t="shared" si="36"/>
        <v>No</v>
      </c>
      <c r="K627" s="5" t="str">
        <f t="shared" si="37"/>
        <v>Yes</v>
      </c>
      <c r="L627" s="5" t="str">
        <f t="shared" si="39"/>
        <v>No</v>
      </c>
      <c r="M627" s="5">
        <f t="shared" si="38"/>
        <v>0</v>
      </c>
    </row>
    <row r="628" spans="1:13" x14ac:dyDescent="0.3">
      <c r="A628" s="2" t="s">
        <v>3257</v>
      </c>
      <c r="B628" s="2" t="s">
        <v>777</v>
      </c>
      <c r="C628" s="2" t="s">
        <v>2608</v>
      </c>
      <c r="D628" s="3">
        <v>45759</v>
      </c>
      <c r="E628" s="3">
        <v>45761</v>
      </c>
      <c r="F628" s="3">
        <v>45773</v>
      </c>
      <c r="G628" s="2" t="s">
        <v>2641</v>
      </c>
      <c r="H628" s="2">
        <v>10</v>
      </c>
      <c r="I628" s="2">
        <f>IFERROR(INDEX(Raw_Orders!H628:H3056,MATCH(B628,Raw_Orders!A628:A3056,0)),0)</f>
        <v>10</v>
      </c>
      <c r="J628" s="2" t="str">
        <f t="shared" si="36"/>
        <v>No</v>
      </c>
      <c r="K628" s="2" t="str">
        <f t="shared" si="37"/>
        <v>Yes</v>
      </c>
      <c r="L628" s="2" t="str">
        <f t="shared" si="39"/>
        <v>No</v>
      </c>
      <c r="M628" s="2">
        <f t="shared" si="38"/>
        <v>0</v>
      </c>
    </row>
    <row r="629" spans="1:13" x14ac:dyDescent="0.3">
      <c r="A629" s="5" t="s">
        <v>3258</v>
      </c>
      <c r="B629" s="5" t="s">
        <v>778</v>
      </c>
      <c r="C629" s="5" t="s">
        <v>2611</v>
      </c>
      <c r="D629" s="6">
        <v>45759</v>
      </c>
      <c r="E629" s="6">
        <v>45766</v>
      </c>
      <c r="F629" s="6">
        <v>45766</v>
      </c>
      <c r="G629" s="5" t="s">
        <v>2633</v>
      </c>
      <c r="H629" s="5">
        <v>39</v>
      </c>
      <c r="I629" s="5">
        <f>IFERROR(INDEX(Raw_Orders!H629:H3057,MATCH(B629,Raw_Orders!A629:A3057,0)),0)</f>
        <v>39</v>
      </c>
      <c r="J629" s="5" t="str">
        <f t="shared" si="36"/>
        <v>Yes</v>
      </c>
      <c r="K629" s="5" t="str">
        <f t="shared" si="37"/>
        <v>Yes</v>
      </c>
      <c r="L629" s="5" t="str">
        <f t="shared" si="39"/>
        <v>Yes</v>
      </c>
      <c r="M629" s="5">
        <f t="shared" si="38"/>
        <v>1</v>
      </c>
    </row>
    <row r="630" spans="1:13" x14ac:dyDescent="0.3">
      <c r="A630" s="2" t="s">
        <v>3259</v>
      </c>
      <c r="B630" s="2" t="s">
        <v>779</v>
      </c>
      <c r="C630" s="2" t="s">
        <v>2601</v>
      </c>
      <c r="D630" s="3">
        <v>45758</v>
      </c>
      <c r="E630" s="3">
        <v>45761</v>
      </c>
      <c r="F630" s="3">
        <v>45765</v>
      </c>
      <c r="G630" s="2" t="s">
        <v>2641</v>
      </c>
      <c r="H630" s="2">
        <v>18</v>
      </c>
      <c r="I630" s="2">
        <f>IFERROR(INDEX(Raw_Orders!H630:H3058,MATCH(B630,Raw_Orders!A630:A3058,0)),0)</f>
        <v>18</v>
      </c>
      <c r="J630" s="2" t="str">
        <f t="shared" si="36"/>
        <v>No</v>
      </c>
      <c r="K630" s="2" t="str">
        <f t="shared" si="37"/>
        <v>Yes</v>
      </c>
      <c r="L630" s="2" t="str">
        <f t="shared" si="39"/>
        <v>No</v>
      </c>
      <c r="M630" s="2">
        <f t="shared" si="38"/>
        <v>0</v>
      </c>
    </row>
    <row r="631" spans="1:13" x14ac:dyDescent="0.3">
      <c r="A631" s="5" t="s">
        <v>3260</v>
      </c>
      <c r="B631" s="5" t="s">
        <v>780</v>
      </c>
      <c r="C631" s="5" t="s">
        <v>2601</v>
      </c>
      <c r="D631" s="6">
        <v>45758</v>
      </c>
      <c r="E631" s="6">
        <v>45763</v>
      </c>
      <c r="F631" s="6">
        <v>45763</v>
      </c>
      <c r="G631" s="5" t="s">
        <v>2631</v>
      </c>
      <c r="H631" s="5">
        <v>42</v>
      </c>
      <c r="I631" s="5">
        <f>IFERROR(INDEX(Raw_Orders!H631:H3059,MATCH(B631,Raw_Orders!A631:A3059,0)),0)</f>
        <v>42</v>
      </c>
      <c r="J631" s="5" t="str">
        <f t="shared" si="36"/>
        <v>Yes</v>
      </c>
      <c r="K631" s="5" t="str">
        <f t="shared" si="37"/>
        <v>Yes</v>
      </c>
      <c r="L631" s="5" t="str">
        <f t="shared" si="39"/>
        <v>Yes</v>
      </c>
      <c r="M631" s="5">
        <f t="shared" si="38"/>
        <v>1</v>
      </c>
    </row>
    <row r="632" spans="1:13" x14ac:dyDescent="0.3">
      <c r="A632" s="2" t="s">
        <v>3261</v>
      </c>
      <c r="B632" s="2" t="s">
        <v>781</v>
      </c>
      <c r="C632" s="2" t="s">
        <v>2616</v>
      </c>
      <c r="D632" s="3">
        <v>45760</v>
      </c>
      <c r="E632" s="3">
        <v>45767</v>
      </c>
      <c r="F632" s="3">
        <v>45775</v>
      </c>
      <c r="G632" s="2" t="s">
        <v>2641</v>
      </c>
      <c r="H632" s="2">
        <v>19</v>
      </c>
      <c r="I632" s="2">
        <f>IFERROR(INDEX(Raw_Orders!H632:H3060,MATCH(B632,Raw_Orders!A632:A3060,0)),0)</f>
        <v>19</v>
      </c>
      <c r="J632" s="2" t="str">
        <f t="shared" si="36"/>
        <v>No</v>
      </c>
      <c r="K632" s="2" t="str">
        <f t="shared" si="37"/>
        <v>Yes</v>
      </c>
      <c r="L632" s="2" t="str">
        <f t="shared" si="39"/>
        <v>No</v>
      </c>
      <c r="M632" s="2">
        <f t="shared" si="38"/>
        <v>0</v>
      </c>
    </row>
    <row r="633" spans="1:13" x14ac:dyDescent="0.3">
      <c r="A633" s="5" t="s">
        <v>3262</v>
      </c>
      <c r="B633" s="5" t="s">
        <v>782</v>
      </c>
      <c r="C633" s="5" t="s">
        <v>2606</v>
      </c>
      <c r="D633" s="6">
        <v>45760</v>
      </c>
      <c r="E633" s="6">
        <v>45768</v>
      </c>
      <c r="F633" s="6">
        <v>45766</v>
      </c>
      <c r="G633" s="5" t="s">
        <v>2627</v>
      </c>
      <c r="H633" s="5">
        <v>42</v>
      </c>
      <c r="I633" s="5">
        <f>IFERROR(INDEX(Raw_Orders!H633:H3061,MATCH(B633,Raw_Orders!A633:A3061,0)),0)</f>
        <v>44</v>
      </c>
      <c r="J633" s="5" t="str">
        <f t="shared" si="36"/>
        <v>Yes</v>
      </c>
      <c r="K633" s="5" t="str">
        <f t="shared" si="37"/>
        <v>N0</v>
      </c>
      <c r="L633" s="5" t="str">
        <f t="shared" si="39"/>
        <v>No</v>
      </c>
      <c r="M633" s="5">
        <f t="shared" si="38"/>
        <v>0</v>
      </c>
    </row>
    <row r="634" spans="1:13" x14ac:dyDescent="0.3">
      <c r="A634" s="2" t="s">
        <v>3263</v>
      </c>
      <c r="B634" s="2" t="s">
        <v>783</v>
      </c>
      <c r="C634" s="2" t="s">
        <v>2608</v>
      </c>
      <c r="D634" s="3">
        <v>45759</v>
      </c>
      <c r="E634" s="3">
        <v>45763</v>
      </c>
      <c r="F634" s="3">
        <v>45772</v>
      </c>
      <c r="G634" s="2" t="s">
        <v>2641</v>
      </c>
      <c r="H634" s="2">
        <v>21</v>
      </c>
      <c r="I634" s="2">
        <f>IFERROR(INDEX(Raw_Orders!H634:H3062,MATCH(B634,Raw_Orders!A634:A3062,0)),0)</f>
        <v>21</v>
      </c>
      <c r="J634" s="2" t="str">
        <f t="shared" si="36"/>
        <v>No</v>
      </c>
      <c r="K634" s="2" t="str">
        <f t="shared" si="37"/>
        <v>Yes</v>
      </c>
      <c r="L634" s="2" t="str">
        <f t="shared" si="39"/>
        <v>No</v>
      </c>
      <c r="M634" s="2">
        <f t="shared" si="38"/>
        <v>0</v>
      </c>
    </row>
    <row r="635" spans="1:13" x14ac:dyDescent="0.3">
      <c r="A635" s="5" t="s">
        <v>3264</v>
      </c>
      <c r="B635" s="5" t="s">
        <v>784</v>
      </c>
      <c r="C635" s="5" t="s">
        <v>2608</v>
      </c>
      <c r="D635" s="6">
        <v>45758</v>
      </c>
      <c r="E635" s="6">
        <v>45766</v>
      </c>
      <c r="F635" s="6">
        <v>45771</v>
      </c>
      <c r="G635" s="5" t="s">
        <v>2627</v>
      </c>
      <c r="H635" s="5">
        <v>7</v>
      </c>
      <c r="I635" s="5">
        <f>IFERROR(INDEX(Raw_Orders!H635:H3063,MATCH(B635,Raw_Orders!A635:A3063,0)),0)</f>
        <v>7</v>
      </c>
      <c r="J635" s="5" t="str">
        <f t="shared" si="36"/>
        <v>No</v>
      </c>
      <c r="K635" s="5" t="str">
        <f t="shared" si="37"/>
        <v>Yes</v>
      </c>
      <c r="L635" s="5" t="str">
        <f t="shared" si="39"/>
        <v>No</v>
      </c>
      <c r="M635" s="5">
        <f t="shared" si="38"/>
        <v>0</v>
      </c>
    </row>
    <row r="636" spans="1:13" x14ac:dyDescent="0.3">
      <c r="A636" s="2" t="s">
        <v>3265</v>
      </c>
      <c r="B636" s="2" t="s">
        <v>785</v>
      </c>
      <c r="C636" s="2" t="s">
        <v>2608</v>
      </c>
      <c r="D636" s="3">
        <v>45760</v>
      </c>
      <c r="E636" s="3">
        <v>45764</v>
      </c>
      <c r="F636" s="3">
        <v>45772</v>
      </c>
      <c r="G636" s="2" t="s">
        <v>2633</v>
      </c>
      <c r="H636" s="2">
        <v>8</v>
      </c>
      <c r="I636" s="2">
        <f>IFERROR(INDEX(Raw_Orders!H636:H3064,MATCH(B636,Raw_Orders!A636:A3064,0)),0)</f>
        <v>8</v>
      </c>
      <c r="J636" s="2" t="str">
        <f t="shared" si="36"/>
        <v>No</v>
      </c>
      <c r="K636" s="2" t="str">
        <f t="shared" si="37"/>
        <v>Yes</v>
      </c>
      <c r="L636" s="2" t="str">
        <f t="shared" si="39"/>
        <v>No</v>
      </c>
      <c r="M636" s="2">
        <f t="shared" si="38"/>
        <v>0</v>
      </c>
    </row>
    <row r="637" spans="1:13" x14ac:dyDescent="0.3">
      <c r="A637" s="5" t="s">
        <v>3266</v>
      </c>
      <c r="B637" s="5" t="s">
        <v>786</v>
      </c>
      <c r="C637" s="5" t="s">
        <v>2598</v>
      </c>
      <c r="D637" s="6">
        <v>45759</v>
      </c>
      <c r="E637" s="6">
        <v>45762</v>
      </c>
      <c r="F637" s="6">
        <v>45774</v>
      </c>
      <c r="G637" s="5" t="s">
        <v>2633</v>
      </c>
      <c r="H637" s="5">
        <v>39</v>
      </c>
      <c r="I637" s="5">
        <f>IFERROR(INDEX(Raw_Orders!H637:H3065,MATCH(B637,Raw_Orders!A637:A3065,0)),0)</f>
        <v>39</v>
      </c>
      <c r="J637" s="5" t="str">
        <f t="shared" si="36"/>
        <v>No</v>
      </c>
      <c r="K637" s="5" t="str">
        <f t="shared" si="37"/>
        <v>Yes</v>
      </c>
      <c r="L637" s="5" t="str">
        <f t="shared" si="39"/>
        <v>No</v>
      </c>
      <c r="M637" s="5">
        <f t="shared" si="38"/>
        <v>0</v>
      </c>
    </row>
    <row r="638" spans="1:13" x14ac:dyDescent="0.3">
      <c r="A638" s="2" t="s">
        <v>3267</v>
      </c>
      <c r="B638" s="2" t="s">
        <v>787</v>
      </c>
      <c r="C638" s="2" t="s">
        <v>2614</v>
      </c>
      <c r="D638" s="3">
        <v>45761</v>
      </c>
      <c r="E638" s="3">
        <v>45762</v>
      </c>
      <c r="F638" s="3">
        <v>45777</v>
      </c>
      <c r="G638" s="2" t="s">
        <v>2641</v>
      </c>
      <c r="H638" s="2">
        <v>5</v>
      </c>
      <c r="I638" s="2">
        <f>IFERROR(INDEX(Raw_Orders!H638:H3066,MATCH(B638,Raw_Orders!A638:A3066,0)),0)</f>
        <v>8</v>
      </c>
      <c r="J638" s="2" t="str">
        <f t="shared" si="36"/>
        <v>No</v>
      </c>
      <c r="K638" s="2" t="str">
        <f t="shared" si="37"/>
        <v>N0</v>
      </c>
      <c r="L638" s="2" t="str">
        <f t="shared" si="39"/>
        <v>No</v>
      </c>
      <c r="M638" s="2">
        <f t="shared" si="38"/>
        <v>0</v>
      </c>
    </row>
    <row r="639" spans="1:13" x14ac:dyDescent="0.3">
      <c r="A639" s="5" t="s">
        <v>3268</v>
      </c>
      <c r="B639" s="5" t="s">
        <v>788</v>
      </c>
      <c r="C639" s="5" t="s">
        <v>2614</v>
      </c>
      <c r="D639" s="6">
        <v>45760</v>
      </c>
      <c r="E639" s="6">
        <v>45762</v>
      </c>
      <c r="F639" s="6">
        <v>45774</v>
      </c>
      <c r="G639" s="5" t="s">
        <v>2641</v>
      </c>
      <c r="H639" s="5">
        <v>5</v>
      </c>
      <c r="I639" s="5">
        <f>IFERROR(INDEX(Raw_Orders!H639:H3067,MATCH(B639,Raw_Orders!A639:A3067,0)),0)</f>
        <v>5</v>
      </c>
      <c r="J639" s="5" t="str">
        <f t="shared" si="36"/>
        <v>No</v>
      </c>
      <c r="K639" s="5" t="str">
        <f t="shared" si="37"/>
        <v>Yes</v>
      </c>
      <c r="L639" s="5" t="str">
        <f t="shared" si="39"/>
        <v>No</v>
      </c>
      <c r="M639" s="5">
        <f t="shared" si="38"/>
        <v>0</v>
      </c>
    </row>
    <row r="640" spans="1:13" x14ac:dyDescent="0.3">
      <c r="A640" s="2" t="s">
        <v>3269</v>
      </c>
      <c r="B640" s="2" t="s">
        <v>789</v>
      </c>
      <c r="C640" s="2" t="s">
        <v>2604</v>
      </c>
      <c r="D640" s="3">
        <v>45759</v>
      </c>
      <c r="E640" s="3">
        <v>45768</v>
      </c>
      <c r="F640" s="3">
        <v>45763</v>
      </c>
      <c r="G640" s="2" t="s">
        <v>2633</v>
      </c>
      <c r="H640" s="2">
        <v>16</v>
      </c>
      <c r="I640" s="2">
        <f>IFERROR(INDEX(Raw_Orders!H640:H3068,MATCH(B640,Raw_Orders!A640:A3068,0)),0)</f>
        <v>16</v>
      </c>
      <c r="J640" s="2" t="str">
        <f t="shared" si="36"/>
        <v>Yes</v>
      </c>
      <c r="K640" s="2" t="str">
        <f t="shared" si="37"/>
        <v>Yes</v>
      </c>
      <c r="L640" s="2" t="str">
        <f t="shared" si="39"/>
        <v>Yes</v>
      </c>
      <c r="M640" s="2">
        <f t="shared" si="38"/>
        <v>1</v>
      </c>
    </row>
    <row r="641" spans="1:13" x14ac:dyDescent="0.3">
      <c r="A641" s="5" t="s">
        <v>3270</v>
      </c>
      <c r="B641" s="5" t="s">
        <v>790</v>
      </c>
      <c r="C641" s="5" t="s">
        <v>2604</v>
      </c>
      <c r="D641" s="6">
        <v>45761</v>
      </c>
      <c r="E641" s="6">
        <v>45766</v>
      </c>
      <c r="F641" s="6">
        <v>45764</v>
      </c>
      <c r="G641" s="5" t="s">
        <v>2633</v>
      </c>
      <c r="H641" s="5">
        <v>17</v>
      </c>
      <c r="I641" s="5">
        <f>IFERROR(INDEX(Raw_Orders!H641:H3069,MATCH(B641,Raw_Orders!A641:A3069,0)),0)</f>
        <v>17</v>
      </c>
      <c r="J641" s="5" t="str">
        <f t="shared" si="36"/>
        <v>Yes</v>
      </c>
      <c r="K641" s="5" t="str">
        <f t="shared" si="37"/>
        <v>Yes</v>
      </c>
      <c r="L641" s="5" t="str">
        <f t="shared" si="39"/>
        <v>Yes</v>
      </c>
      <c r="M641" s="5">
        <f t="shared" si="38"/>
        <v>1</v>
      </c>
    </row>
    <row r="642" spans="1:13" x14ac:dyDescent="0.3">
      <c r="A642" s="2" t="s">
        <v>3271</v>
      </c>
      <c r="B642" s="2" t="s">
        <v>791</v>
      </c>
      <c r="C642" s="2" t="s">
        <v>2606</v>
      </c>
      <c r="D642" s="3">
        <v>45760</v>
      </c>
      <c r="E642" s="3">
        <v>45766</v>
      </c>
      <c r="F642" s="3">
        <v>45766</v>
      </c>
      <c r="G642" s="2" t="s">
        <v>2633</v>
      </c>
      <c r="H642" s="2">
        <v>24</v>
      </c>
      <c r="I642" s="2">
        <f>IFERROR(INDEX(Raw_Orders!H642:H3070,MATCH(B642,Raw_Orders!A642:A3070,0)),0)</f>
        <v>24</v>
      </c>
      <c r="J642" s="2" t="str">
        <f t="shared" si="36"/>
        <v>Yes</v>
      </c>
      <c r="K642" s="2" t="str">
        <f t="shared" si="37"/>
        <v>Yes</v>
      </c>
      <c r="L642" s="2" t="str">
        <f t="shared" si="39"/>
        <v>Yes</v>
      </c>
      <c r="M642" s="2">
        <f t="shared" si="38"/>
        <v>1</v>
      </c>
    </row>
    <row r="643" spans="1:13" x14ac:dyDescent="0.3">
      <c r="A643" s="5" t="s">
        <v>3272</v>
      </c>
      <c r="B643" s="5" t="s">
        <v>792</v>
      </c>
      <c r="C643" s="5" t="s">
        <v>2608</v>
      </c>
      <c r="D643" s="6">
        <v>45761</v>
      </c>
      <c r="E643" s="6">
        <v>45762</v>
      </c>
      <c r="F643" s="6">
        <v>45778</v>
      </c>
      <c r="G643" s="5" t="s">
        <v>2629</v>
      </c>
      <c r="H643" s="5">
        <v>5</v>
      </c>
      <c r="I643" s="5">
        <f>IFERROR(INDEX(Raw_Orders!H643:H3071,MATCH(B643,Raw_Orders!A643:A3071,0)),0)</f>
        <v>5</v>
      </c>
      <c r="J643" s="5" t="str">
        <f t="shared" ref="J643:J706" si="40">IF(E643&gt;=F643,"Yes","No")</f>
        <v>No</v>
      </c>
      <c r="K643" s="5" t="str">
        <f t="shared" ref="K643:K706" si="41">IF(H643&gt;=I643,"Yes","N0")</f>
        <v>Yes</v>
      </c>
      <c r="L643" s="5" t="str">
        <f t="shared" si="39"/>
        <v>No</v>
      </c>
      <c r="M643" s="5">
        <f t="shared" ref="M643:M706" si="42">IF(L643="Yes",1,0)</f>
        <v>0</v>
      </c>
    </row>
    <row r="644" spans="1:13" x14ac:dyDescent="0.3">
      <c r="A644" s="2" t="s">
        <v>3273</v>
      </c>
      <c r="B644" s="2" t="s">
        <v>793</v>
      </c>
      <c r="C644" s="2" t="s">
        <v>2611</v>
      </c>
      <c r="D644" s="3">
        <v>45761</v>
      </c>
      <c r="E644" s="3">
        <v>45767</v>
      </c>
      <c r="F644" s="3">
        <v>45768</v>
      </c>
      <c r="G644" s="2" t="s">
        <v>2631</v>
      </c>
      <c r="H644" s="2">
        <v>29</v>
      </c>
      <c r="I644" s="2">
        <f>IFERROR(INDEX(Raw_Orders!H644:H3072,MATCH(B644,Raw_Orders!A644:A3072,0)),0)</f>
        <v>29</v>
      </c>
      <c r="J644" s="2" t="str">
        <f t="shared" si="40"/>
        <v>No</v>
      </c>
      <c r="K644" s="2" t="str">
        <f t="shared" si="41"/>
        <v>Yes</v>
      </c>
      <c r="L644" s="2" t="str">
        <f t="shared" ref="L644:L707" si="43">IF(AND(J644="Yes",K644="Yes"),"Yes","No")</f>
        <v>No</v>
      </c>
      <c r="M644" s="2">
        <f t="shared" si="42"/>
        <v>0</v>
      </c>
    </row>
    <row r="645" spans="1:13" x14ac:dyDescent="0.3">
      <c r="A645" s="5" t="s">
        <v>3274</v>
      </c>
      <c r="B645" s="5" t="s">
        <v>794</v>
      </c>
      <c r="C645" s="5" t="s">
        <v>2601</v>
      </c>
      <c r="D645" s="6">
        <v>45762</v>
      </c>
      <c r="E645" s="6">
        <v>45766</v>
      </c>
      <c r="F645" s="6">
        <v>45768</v>
      </c>
      <c r="G645" s="5" t="s">
        <v>2633</v>
      </c>
      <c r="H645" s="5">
        <v>31</v>
      </c>
      <c r="I645" s="5">
        <f>IFERROR(INDEX(Raw_Orders!H645:H3073,MATCH(B645,Raw_Orders!A645:A3073,0)),0)</f>
        <v>31</v>
      </c>
      <c r="J645" s="5" t="str">
        <f t="shared" si="40"/>
        <v>No</v>
      </c>
      <c r="K645" s="5" t="str">
        <f t="shared" si="41"/>
        <v>Yes</v>
      </c>
      <c r="L645" s="5" t="str">
        <f t="shared" si="43"/>
        <v>No</v>
      </c>
      <c r="M645" s="5">
        <f t="shared" si="42"/>
        <v>0</v>
      </c>
    </row>
    <row r="646" spans="1:13" x14ac:dyDescent="0.3">
      <c r="A646" s="2" t="s">
        <v>3275</v>
      </c>
      <c r="B646" s="2" t="s">
        <v>795</v>
      </c>
      <c r="C646" s="2" t="s">
        <v>2601</v>
      </c>
      <c r="D646" s="3">
        <v>45762</v>
      </c>
      <c r="E646" s="3">
        <v>45767</v>
      </c>
      <c r="F646" s="3">
        <v>45767</v>
      </c>
      <c r="G646" s="2" t="s">
        <v>2633</v>
      </c>
      <c r="H646" s="2">
        <v>8</v>
      </c>
      <c r="I646" s="2">
        <f>IFERROR(INDEX(Raw_Orders!H646:H3074,MATCH(B646,Raw_Orders!A646:A3074,0)),0)</f>
        <v>8</v>
      </c>
      <c r="J646" s="2" t="str">
        <f t="shared" si="40"/>
        <v>Yes</v>
      </c>
      <c r="K646" s="2" t="str">
        <f t="shared" si="41"/>
        <v>Yes</v>
      </c>
      <c r="L646" s="2" t="str">
        <f t="shared" si="43"/>
        <v>Yes</v>
      </c>
      <c r="M646" s="2">
        <f t="shared" si="42"/>
        <v>1</v>
      </c>
    </row>
    <row r="647" spans="1:13" x14ac:dyDescent="0.3">
      <c r="A647" s="5" t="s">
        <v>3276</v>
      </c>
      <c r="B647" s="5" t="s">
        <v>796</v>
      </c>
      <c r="C647" s="5" t="s">
        <v>2616</v>
      </c>
      <c r="D647" s="6">
        <v>45762</v>
      </c>
      <c r="E647" s="6">
        <v>45765</v>
      </c>
      <c r="F647" s="6">
        <v>45781</v>
      </c>
      <c r="G647" s="5" t="s">
        <v>2633</v>
      </c>
      <c r="H647" s="5">
        <v>34</v>
      </c>
      <c r="I647" s="5">
        <f>IFERROR(INDEX(Raw_Orders!H647:H3075,MATCH(B647,Raw_Orders!A647:A3075,0)),0)</f>
        <v>34</v>
      </c>
      <c r="J647" s="5" t="str">
        <f t="shared" si="40"/>
        <v>No</v>
      </c>
      <c r="K647" s="5" t="str">
        <f t="shared" si="41"/>
        <v>Yes</v>
      </c>
      <c r="L647" s="5" t="str">
        <f t="shared" si="43"/>
        <v>No</v>
      </c>
      <c r="M647" s="5">
        <f t="shared" si="42"/>
        <v>0</v>
      </c>
    </row>
    <row r="648" spans="1:13" x14ac:dyDescent="0.3">
      <c r="A648" s="2" t="s">
        <v>3277</v>
      </c>
      <c r="B648" s="2" t="s">
        <v>797</v>
      </c>
      <c r="C648" s="2" t="s">
        <v>2606</v>
      </c>
      <c r="D648" s="3">
        <v>45761</v>
      </c>
      <c r="E648" s="3">
        <v>45766</v>
      </c>
      <c r="F648" s="3">
        <v>45767</v>
      </c>
      <c r="G648" s="2" t="s">
        <v>2633</v>
      </c>
      <c r="H648" s="2">
        <v>35</v>
      </c>
      <c r="I648" s="2">
        <f>IFERROR(INDEX(Raw_Orders!H648:H3076,MATCH(B648,Raw_Orders!A648:A3076,0)),0)</f>
        <v>35</v>
      </c>
      <c r="J648" s="2" t="str">
        <f t="shared" si="40"/>
        <v>No</v>
      </c>
      <c r="K648" s="2" t="str">
        <f t="shared" si="41"/>
        <v>Yes</v>
      </c>
      <c r="L648" s="2" t="str">
        <f t="shared" si="43"/>
        <v>No</v>
      </c>
      <c r="M648" s="2">
        <f t="shared" si="42"/>
        <v>0</v>
      </c>
    </row>
    <row r="649" spans="1:13" x14ac:dyDescent="0.3">
      <c r="A649" s="5" t="s">
        <v>3278</v>
      </c>
      <c r="B649" s="5" t="s">
        <v>798</v>
      </c>
      <c r="C649" s="5" t="s">
        <v>2608</v>
      </c>
      <c r="D649" s="6">
        <v>45762</v>
      </c>
      <c r="E649" s="6">
        <v>45769</v>
      </c>
      <c r="F649" s="6">
        <v>45777</v>
      </c>
      <c r="G649" s="5" t="s">
        <v>2641</v>
      </c>
      <c r="H649" s="5">
        <v>7</v>
      </c>
      <c r="I649" s="5">
        <f>IFERROR(INDEX(Raw_Orders!H649:H3077,MATCH(B649,Raw_Orders!A649:A3077,0)),0)</f>
        <v>7</v>
      </c>
      <c r="J649" s="5" t="str">
        <f t="shared" si="40"/>
        <v>No</v>
      </c>
      <c r="K649" s="5" t="str">
        <f t="shared" si="41"/>
        <v>Yes</v>
      </c>
      <c r="L649" s="5" t="str">
        <f t="shared" si="43"/>
        <v>No</v>
      </c>
      <c r="M649" s="5">
        <f t="shared" si="42"/>
        <v>0</v>
      </c>
    </row>
    <row r="650" spans="1:13" x14ac:dyDescent="0.3">
      <c r="A650" s="2" t="s">
        <v>3279</v>
      </c>
      <c r="B650" s="2" t="s">
        <v>799</v>
      </c>
      <c r="C650" s="2" t="s">
        <v>2601</v>
      </c>
      <c r="D650" s="3">
        <v>45761</v>
      </c>
      <c r="E650" s="3">
        <v>45764</v>
      </c>
      <c r="F650" s="3">
        <v>45766</v>
      </c>
      <c r="G650" s="2" t="s">
        <v>2631</v>
      </c>
      <c r="H650" s="2">
        <v>26</v>
      </c>
      <c r="I650" s="2">
        <f>IFERROR(INDEX(Raw_Orders!H650:H3078,MATCH(B650,Raw_Orders!A650:A3078,0)),0)</f>
        <v>26</v>
      </c>
      <c r="J650" s="2" t="str">
        <f t="shared" si="40"/>
        <v>No</v>
      </c>
      <c r="K650" s="2" t="str">
        <f t="shared" si="41"/>
        <v>Yes</v>
      </c>
      <c r="L650" s="2" t="str">
        <f t="shared" si="43"/>
        <v>No</v>
      </c>
      <c r="M650" s="2">
        <f t="shared" si="42"/>
        <v>0</v>
      </c>
    </row>
    <row r="651" spans="1:13" x14ac:dyDescent="0.3">
      <c r="A651" s="5" t="s">
        <v>3280</v>
      </c>
      <c r="B651" s="5" t="s">
        <v>800</v>
      </c>
      <c r="C651" s="5" t="s">
        <v>2616</v>
      </c>
      <c r="D651" s="6">
        <v>45761</v>
      </c>
      <c r="E651" s="6">
        <v>45768</v>
      </c>
      <c r="F651" s="6">
        <v>45777</v>
      </c>
      <c r="G651" s="5" t="s">
        <v>2641</v>
      </c>
      <c r="H651" s="5">
        <v>18</v>
      </c>
      <c r="I651" s="5">
        <f>IFERROR(INDEX(Raw_Orders!H651:H3079,MATCH(B651,Raw_Orders!A651:A3079,0)),0)</f>
        <v>18</v>
      </c>
      <c r="J651" s="5" t="str">
        <f t="shared" si="40"/>
        <v>No</v>
      </c>
      <c r="K651" s="5" t="str">
        <f t="shared" si="41"/>
        <v>Yes</v>
      </c>
      <c r="L651" s="5" t="str">
        <f t="shared" si="43"/>
        <v>No</v>
      </c>
      <c r="M651" s="5">
        <f t="shared" si="42"/>
        <v>0</v>
      </c>
    </row>
    <row r="652" spans="1:13" x14ac:dyDescent="0.3">
      <c r="A652" s="2" t="s">
        <v>3281</v>
      </c>
      <c r="B652" s="2" t="s">
        <v>801</v>
      </c>
      <c r="C652" s="2" t="s">
        <v>2606</v>
      </c>
      <c r="D652" s="3">
        <v>45763</v>
      </c>
      <c r="E652" s="3">
        <v>45768</v>
      </c>
      <c r="F652" s="3">
        <v>45768</v>
      </c>
      <c r="G652" s="2" t="s">
        <v>2641</v>
      </c>
      <c r="H652" s="2">
        <v>44</v>
      </c>
      <c r="I652" s="2">
        <f>IFERROR(INDEX(Raw_Orders!H652:H3080,MATCH(B652,Raw_Orders!A652:A3080,0)),0)</f>
        <v>44</v>
      </c>
      <c r="J652" s="2" t="str">
        <f t="shared" si="40"/>
        <v>Yes</v>
      </c>
      <c r="K652" s="2" t="str">
        <f t="shared" si="41"/>
        <v>Yes</v>
      </c>
      <c r="L652" s="2" t="str">
        <f t="shared" si="43"/>
        <v>Yes</v>
      </c>
      <c r="M652" s="2">
        <f t="shared" si="42"/>
        <v>1</v>
      </c>
    </row>
    <row r="653" spans="1:13" x14ac:dyDescent="0.3">
      <c r="A653" s="5" t="s">
        <v>3282</v>
      </c>
      <c r="B653" s="5" t="s">
        <v>802</v>
      </c>
      <c r="C653" s="5" t="s">
        <v>2598</v>
      </c>
      <c r="D653" s="6">
        <v>45763</v>
      </c>
      <c r="E653" s="6">
        <v>45765</v>
      </c>
      <c r="F653" s="6">
        <v>45776</v>
      </c>
      <c r="G653" s="5" t="s">
        <v>2627</v>
      </c>
      <c r="H653" s="5">
        <v>24</v>
      </c>
      <c r="I653" s="5">
        <f>IFERROR(INDEX(Raw_Orders!H653:H3081,MATCH(B653,Raw_Orders!A653:A3081,0)),0)</f>
        <v>25</v>
      </c>
      <c r="J653" s="5" t="str">
        <f t="shared" si="40"/>
        <v>No</v>
      </c>
      <c r="K653" s="5" t="str">
        <f t="shared" si="41"/>
        <v>N0</v>
      </c>
      <c r="L653" s="5" t="str">
        <f t="shared" si="43"/>
        <v>No</v>
      </c>
      <c r="M653" s="5">
        <f t="shared" si="42"/>
        <v>0</v>
      </c>
    </row>
    <row r="654" spans="1:13" x14ac:dyDescent="0.3">
      <c r="A654" s="2" t="s">
        <v>3283</v>
      </c>
      <c r="B654" s="2" t="s">
        <v>803</v>
      </c>
      <c r="C654" s="2" t="s">
        <v>2614</v>
      </c>
      <c r="D654" s="3">
        <v>45764</v>
      </c>
      <c r="E654" s="3">
        <v>45765</v>
      </c>
      <c r="F654" s="3">
        <v>45778</v>
      </c>
      <c r="G654" s="2" t="s">
        <v>2629</v>
      </c>
      <c r="H654" s="2">
        <v>17</v>
      </c>
      <c r="I654" s="2">
        <f>IFERROR(INDEX(Raw_Orders!H654:H3082,MATCH(B654,Raw_Orders!A654:A3082,0)),0)</f>
        <v>17</v>
      </c>
      <c r="J654" s="2" t="str">
        <f t="shared" si="40"/>
        <v>No</v>
      </c>
      <c r="K654" s="2" t="str">
        <f t="shared" si="41"/>
        <v>Yes</v>
      </c>
      <c r="L654" s="2" t="str">
        <f t="shared" si="43"/>
        <v>No</v>
      </c>
      <c r="M654" s="2">
        <f t="shared" si="42"/>
        <v>0</v>
      </c>
    </row>
    <row r="655" spans="1:13" x14ac:dyDescent="0.3">
      <c r="A655" s="5" t="s">
        <v>3284</v>
      </c>
      <c r="B655" s="5" t="s">
        <v>804</v>
      </c>
      <c r="C655" s="5" t="s">
        <v>2606</v>
      </c>
      <c r="D655" s="6">
        <v>45763</v>
      </c>
      <c r="E655" s="6">
        <v>45769</v>
      </c>
      <c r="F655" s="6">
        <v>45773</v>
      </c>
      <c r="G655" s="5" t="s">
        <v>2633</v>
      </c>
      <c r="H655" s="5">
        <v>49</v>
      </c>
      <c r="I655" s="5">
        <f>IFERROR(INDEX(Raw_Orders!H655:H3083,MATCH(B655,Raw_Orders!A655:A3083,0)),0)</f>
        <v>49</v>
      </c>
      <c r="J655" s="5" t="str">
        <f t="shared" si="40"/>
        <v>No</v>
      </c>
      <c r="K655" s="5" t="str">
        <f t="shared" si="41"/>
        <v>Yes</v>
      </c>
      <c r="L655" s="5" t="str">
        <f t="shared" si="43"/>
        <v>No</v>
      </c>
      <c r="M655" s="5">
        <f t="shared" si="42"/>
        <v>0</v>
      </c>
    </row>
    <row r="656" spans="1:13" x14ac:dyDescent="0.3">
      <c r="A656" s="2" t="s">
        <v>3285</v>
      </c>
      <c r="B656" s="2" t="s">
        <v>805</v>
      </c>
      <c r="C656" s="2" t="s">
        <v>2608</v>
      </c>
      <c r="D656" s="3">
        <v>45762</v>
      </c>
      <c r="E656" s="3">
        <v>45766</v>
      </c>
      <c r="F656" s="3">
        <v>45777</v>
      </c>
      <c r="G656" s="2" t="s">
        <v>2641</v>
      </c>
      <c r="H656" s="2">
        <v>31</v>
      </c>
      <c r="I656" s="2">
        <f>IFERROR(INDEX(Raw_Orders!H656:H3084,MATCH(B656,Raw_Orders!A656:A3084,0)),0)</f>
        <v>31</v>
      </c>
      <c r="J656" s="2" t="str">
        <f t="shared" si="40"/>
        <v>No</v>
      </c>
      <c r="K656" s="2" t="str">
        <f t="shared" si="41"/>
        <v>Yes</v>
      </c>
      <c r="L656" s="2" t="str">
        <f t="shared" si="43"/>
        <v>No</v>
      </c>
      <c r="M656" s="2">
        <f t="shared" si="42"/>
        <v>0</v>
      </c>
    </row>
    <row r="657" spans="1:13" x14ac:dyDescent="0.3">
      <c r="A657" s="5" t="s">
        <v>3286</v>
      </c>
      <c r="B657" s="5" t="s">
        <v>806</v>
      </c>
      <c r="C657" s="5" t="s">
        <v>2608</v>
      </c>
      <c r="D657" s="6">
        <v>45764</v>
      </c>
      <c r="E657" s="6">
        <v>45766</v>
      </c>
      <c r="F657" s="6">
        <v>45778</v>
      </c>
      <c r="G657" s="5" t="s">
        <v>2627</v>
      </c>
      <c r="H657" s="5">
        <v>9</v>
      </c>
      <c r="I657" s="5">
        <f>IFERROR(INDEX(Raw_Orders!H657:H3085,MATCH(B657,Raw_Orders!A657:A3085,0)),0)</f>
        <v>9</v>
      </c>
      <c r="J657" s="5" t="str">
        <f t="shared" si="40"/>
        <v>No</v>
      </c>
      <c r="K657" s="5" t="str">
        <f t="shared" si="41"/>
        <v>Yes</v>
      </c>
      <c r="L657" s="5" t="str">
        <f t="shared" si="43"/>
        <v>No</v>
      </c>
      <c r="M657" s="5">
        <f t="shared" si="42"/>
        <v>0</v>
      </c>
    </row>
    <row r="658" spans="1:13" x14ac:dyDescent="0.3">
      <c r="A658" s="2" t="s">
        <v>3287</v>
      </c>
      <c r="B658" s="2" t="s">
        <v>807</v>
      </c>
      <c r="C658" s="2" t="s">
        <v>2608</v>
      </c>
      <c r="D658" s="3">
        <v>45763</v>
      </c>
      <c r="E658" s="3">
        <v>45769</v>
      </c>
      <c r="F658" s="3">
        <v>45776</v>
      </c>
      <c r="G658" s="2" t="s">
        <v>2627</v>
      </c>
      <c r="H658" s="2">
        <v>28</v>
      </c>
      <c r="I658" s="2">
        <f>IFERROR(INDEX(Raw_Orders!H658:H3086,MATCH(B658,Raw_Orders!A658:A3086,0)),0)</f>
        <v>28</v>
      </c>
      <c r="J658" s="2" t="str">
        <f t="shared" si="40"/>
        <v>No</v>
      </c>
      <c r="K658" s="2" t="str">
        <f t="shared" si="41"/>
        <v>Yes</v>
      </c>
      <c r="L658" s="2" t="str">
        <f t="shared" si="43"/>
        <v>No</v>
      </c>
      <c r="M658" s="2">
        <f t="shared" si="42"/>
        <v>0</v>
      </c>
    </row>
    <row r="659" spans="1:13" x14ac:dyDescent="0.3">
      <c r="A659" s="5" t="s">
        <v>3288</v>
      </c>
      <c r="B659" s="5" t="s">
        <v>808</v>
      </c>
      <c r="C659" s="5" t="s">
        <v>2608</v>
      </c>
      <c r="D659" s="6">
        <v>45765</v>
      </c>
      <c r="E659" s="6">
        <v>45771</v>
      </c>
      <c r="F659" s="6">
        <v>45777</v>
      </c>
      <c r="G659" s="5" t="s">
        <v>2629</v>
      </c>
      <c r="H659" s="5">
        <v>9</v>
      </c>
      <c r="I659" s="5">
        <f>IFERROR(INDEX(Raw_Orders!H659:H3087,MATCH(B659,Raw_Orders!A659:A3087,0)),0)</f>
        <v>9</v>
      </c>
      <c r="J659" s="5" t="str">
        <f t="shared" si="40"/>
        <v>No</v>
      </c>
      <c r="K659" s="5" t="str">
        <f t="shared" si="41"/>
        <v>Yes</v>
      </c>
      <c r="L659" s="5" t="str">
        <f t="shared" si="43"/>
        <v>No</v>
      </c>
      <c r="M659" s="5">
        <f t="shared" si="42"/>
        <v>0</v>
      </c>
    </row>
    <row r="660" spans="1:13" x14ac:dyDescent="0.3">
      <c r="A660" s="2" t="s">
        <v>3289</v>
      </c>
      <c r="B660" s="2" t="s">
        <v>809</v>
      </c>
      <c r="C660" s="2" t="s">
        <v>2611</v>
      </c>
      <c r="D660" s="3">
        <v>45764</v>
      </c>
      <c r="E660" s="3">
        <v>45772</v>
      </c>
      <c r="F660" s="3">
        <v>45773</v>
      </c>
      <c r="G660" s="2" t="s">
        <v>2641</v>
      </c>
      <c r="H660" s="2">
        <v>16</v>
      </c>
      <c r="I660" s="2">
        <f>IFERROR(INDEX(Raw_Orders!H660:H3088,MATCH(B660,Raw_Orders!A660:A3088,0)),0)</f>
        <v>16</v>
      </c>
      <c r="J660" s="2" t="str">
        <f t="shared" si="40"/>
        <v>No</v>
      </c>
      <c r="K660" s="2" t="str">
        <f t="shared" si="41"/>
        <v>Yes</v>
      </c>
      <c r="L660" s="2" t="str">
        <f t="shared" si="43"/>
        <v>No</v>
      </c>
      <c r="M660" s="2">
        <f t="shared" si="42"/>
        <v>0</v>
      </c>
    </row>
    <row r="661" spans="1:13" x14ac:dyDescent="0.3">
      <c r="A661" s="5" t="s">
        <v>3290</v>
      </c>
      <c r="B661" s="5" t="s">
        <v>810</v>
      </c>
      <c r="C661" s="5" t="s">
        <v>2601</v>
      </c>
      <c r="D661" s="6">
        <v>45766</v>
      </c>
      <c r="E661" s="6">
        <v>45771</v>
      </c>
      <c r="F661" s="6">
        <v>45771</v>
      </c>
      <c r="G661" s="5" t="s">
        <v>2627</v>
      </c>
      <c r="H661" s="5">
        <v>18</v>
      </c>
      <c r="I661" s="5">
        <f>IFERROR(INDEX(Raw_Orders!H661:H3089,MATCH(B661,Raw_Orders!A661:A3089,0)),0)</f>
        <v>18</v>
      </c>
      <c r="J661" s="5" t="str">
        <f t="shared" si="40"/>
        <v>Yes</v>
      </c>
      <c r="K661" s="5" t="str">
        <f t="shared" si="41"/>
        <v>Yes</v>
      </c>
      <c r="L661" s="5" t="str">
        <f t="shared" si="43"/>
        <v>Yes</v>
      </c>
      <c r="M661" s="5">
        <f t="shared" si="42"/>
        <v>1</v>
      </c>
    </row>
    <row r="662" spans="1:13" x14ac:dyDescent="0.3">
      <c r="A662" s="2" t="s">
        <v>3291</v>
      </c>
      <c r="B662" s="2" t="s">
        <v>811</v>
      </c>
      <c r="C662" s="2" t="s">
        <v>2614</v>
      </c>
      <c r="D662" s="3">
        <v>45764</v>
      </c>
      <c r="E662" s="3">
        <v>45770</v>
      </c>
      <c r="F662" s="3">
        <v>45778</v>
      </c>
      <c r="G662" s="2" t="s">
        <v>2641</v>
      </c>
      <c r="H662" s="2">
        <v>13</v>
      </c>
      <c r="I662" s="2">
        <f>IFERROR(INDEX(Raw_Orders!H662:H3090,MATCH(B662,Raw_Orders!A662:A3090,0)),0)</f>
        <v>13</v>
      </c>
      <c r="J662" s="2" t="str">
        <f t="shared" si="40"/>
        <v>No</v>
      </c>
      <c r="K662" s="2" t="str">
        <f t="shared" si="41"/>
        <v>Yes</v>
      </c>
      <c r="L662" s="2" t="str">
        <f t="shared" si="43"/>
        <v>No</v>
      </c>
      <c r="M662" s="2">
        <f t="shared" si="42"/>
        <v>0</v>
      </c>
    </row>
    <row r="663" spans="1:13" x14ac:dyDescent="0.3">
      <c r="A663" s="5" t="s">
        <v>3292</v>
      </c>
      <c r="B663" s="5" t="s">
        <v>812</v>
      </c>
      <c r="C663" s="5" t="s">
        <v>2616</v>
      </c>
      <c r="D663" s="6">
        <v>45764</v>
      </c>
      <c r="E663" s="6">
        <v>45768</v>
      </c>
      <c r="F663" s="6">
        <v>45779</v>
      </c>
      <c r="G663" s="5" t="s">
        <v>2633</v>
      </c>
      <c r="H663" s="5">
        <v>6</v>
      </c>
      <c r="I663" s="5">
        <f>IFERROR(INDEX(Raw_Orders!H663:H3091,MATCH(B663,Raw_Orders!A663:A3091,0)),0)</f>
        <v>6</v>
      </c>
      <c r="J663" s="5" t="str">
        <f t="shared" si="40"/>
        <v>No</v>
      </c>
      <c r="K663" s="5" t="str">
        <f t="shared" si="41"/>
        <v>Yes</v>
      </c>
      <c r="L663" s="5" t="str">
        <f t="shared" si="43"/>
        <v>No</v>
      </c>
      <c r="M663" s="5">
        <f t="shared" si="42"/>
        <v>0</v>
      </c>
    </row>
    <row r="664" spans="1:13" x14ac:dyDescent="0.3">
      <c r="A664" s="2" t="s">
        <v>3293</v>
      </c>
      <c r="B664" s="2" t="s">
        <v>813</v>
      </c>
      <c r="C664" s="2" t="s">
        <v>2608</v>
      </c>
      <c r="D664" s="3">
        <v>45765</v>
      </c>
      <c r="E664" s="3">
        <v>45774</v>
      </c>
      <c r="F664" s="3">
        <v>45778</v>
      </c>
      <c r="G664" s="2" t="s">
        <v>2629</v>
      </c>
      <c r="H664" s="2">
        <v>4</v>
      </c>
      <c r="I664" s="2">
        <f>IFERROR(INDEX(Raw_Orders!H664:H3092,MATCH(B664,Raw_Orders!A664:A3092,0)),0)</f>
        <v>4</v>
      </c>
      <c r="J664" s="2" t="str">
        <f t="shared" si="40"/>
        <v>No</v>
      </c>
      <c r="K664" s="2" t="str">
        <f t="shared" si="41"/>
        <v>Yes</v>
      </c>
      <c r="L664" s="2" t="str">
        <f t="shared" si="43"/>
        <v>No</v>
      </c>
      <c r="M664" s="2">
        <f t="shared" si="42"/>
        <v>0</v>
      </c>
    </row>
    <row r="665" spans="1:13" x14ac:dyDescent="0.3">
      <c r="A665" s="5" t="s">
        <v>3294</v>
      </c>
      <c r="B665" s="5" t="s">
        <v>814</v>
      </c>
      <c r="C665" s="5" t="s">
        <v>2601</v>
      </c>
      <c r="D665" s="6">
        <v>45767</v>
      </c>
      <c r="E665" s="6">
        <v>45771</v>
      </c>
      <c r="F665" s="6">
        <v>45772</v>
      </c>
      <c r="G665" s="5" t="s">
        <v>2631</v>
      </c>
      <c r="H665" s="5">
        <v>14</v>
      </c>
      <c r="I665" s="5">
        <f>IFERROR(INDEX(Raw_Orders!H665:H3093,MATCH(B665,Raw_Orders!A665:A3093,0)),0)</f>
        <v>14</v>
      </c>
      <c r="J665" s="5" t="str">
        <f t="shared" si="40"/>
        <v>No</v>
      </c>
      <c r="K665" s="5" t="str">
        <f t="shared" si="41"/>
        <v>Yes</v>
      </c>
      <c r="L665" s="5" t="str">
        <f t="shared" si="43"/>
        <v>No</v>
      </c>
      <c r="M665" s="5">
        <f t="shared" si="42"/>
        <v>0</v>
      </c>
    </row>
    <row r="666" spans="1:13" x14ac:dyDescent="0.3">
      <c r="A666" s="2" t="s">
        <v>3295</v>
      </c>
      <c r="B666" s="2" t="s">
        <v>815</v>
      </c>
      <c r="C666" s="2" t="s">
        <v>2614</v>
      </c>
      <c r="D666" s="3">
        <v>45766</v>
      </c>
      <c r="E666" s="3">
        <v>45768</v>
      </c>
      <c r="F666" s="3">
        <v>45782</v>
      </c>
      <c r="G666" s="2" t="s">
        <v>2631</v>
      </c>
      <c r="H666" s="2">
        <v>29</v>
      </c>
      <c r="I666" s="2">
        <f>IFERROR(INDEX(Raw_Orders!H666:H3094,MATCH(B666,Raw_Orders!A666:A3094,0)),0)</f>
        <v>30</v>
      </c>
      <c r="J666" s="2" t="str">
        <f t="shared" si="40"/>
        <v>No</v>
      </c>
      <c r="K666" s="2" t="str">
        <f t="shared" si="41"/>
        <v>N0</v>
      </c>
      <c r="L666" s="2" t="str">
        <f t="shared" si="43"/>
        <v>No</v>
      </c>
      <c r="M666" s="2">
        <f t="shared" si="42"/>
        <v>0</v>
      </c>
    </row>
    <row r="667" spans="1:13" x14ac:dyDescent="0.3">
      <c r="A667" s="5" t="s">
        <v>3296</v>
      </c>
      <c r="B667" s="5" t="s">
        <v>816</v>
      </c>
      <c r="C667" s="5" t="s">
        <v>2614</v>
      </c>
      <c r="D667" s="6">
        <v>45767</v>
      </c>
      <c r="E667" s="6">
        <v>45770</v>
      </c>
      <c r="F667" s="6">
        <v>45783</v>
      </c>
      <c r="G667" s="5" t="s">
        <v>2631</v>
      </c>
      <c r="H667" s="5">
        <v>8</v>
      </c>
      <c r="I667" s="5">
        <f>IFERROR(INDEX(Raw_Orders!H667:H3095,MATCH(B667,Raw_Orders!A667:A3095,0)),0)</f>
        <v>8</v>
      </c>
      <c r="J667" s="5" t="str">
        <f t="shared" si="40"/>
        <v>No</v>
      </c>
      <c r="K667" s="5" t="str">
        <f t="shared" si="41"/>
        <v>Yes</v>
      </c>
      <c r="L667" s="5" t="str">
        <f t="shared" si="43"/>
        <v>No</v>
      </c>
      <c r="M667" s="5">
        <f t="shared" si="42"/>
        <v>0</v>
      </c>
    </row>
    <row r="668" spans="1:13" x14ac:dyDescent="0.3">
      <c r="A668" s="2" t="s">
        <v>3297</v>
      </c>
      <c r="B668" s="2" t="s">
        <v>817</v>
      </c>
      <c r="C668" s="2" t="s">
        <v>2606</v>
      </c>
      <c r="D668" s="3">
        <v>45765</v>
      </c>
      <c r="E668" s="3">
        <v>45773</v>
      </c>
      <c r="F668" s="3">
        <v>45773</v>
      </c>
      <c r="G668" s="2" t="s">
        <v>2627</v>
      </c>
      <c r="H668" s="2">
        <v>42</v>
      </c>
      <c r="I668" s="2">
        <f>IFERROR(INDEX(Raw_Orders!H668:H3096,MATCH(B668,Raw_Orders!A668:A3096,0)),0)</f>
        <v>42</v>
      </c>
      <c r="J668" s="2" t="str">
        <f t="shared" si="40"/>
        <v>Yes</v>
      </c>
      <c r="K668" s="2" t="str">
        <f t="shared" si="41"/>
        <v>Yes</v>
      </c>
      <c r="L668" s="2" t="str">
        <f t="shared" si="43"/>
        <v>Yes</v>
      </c>
      <c r="M668" s="2">
        <f t="shared" si="42"/>
        <v>1</v>
      </c>
    </row>
    <row r="669" spans="1:13" x14ac:dyDescent="0.3">
      <c r="A669" s="5" t="s">
        <v>3298</v>
      </c>
      <c r="B669" s="5" t="s">
        <v>818</v>
      </c>
      <c r="C669" s="5" t="s">
        <v>2606</v>
      </c>
      <c r="D669" s="6">
        <v>45767</v>
      </c>
      <c r="E669" s="6">
        <v>45772</v>
      </c>
      <c r="F669" s="6">
        <v>45774</v>
      </c>
      <c r="G669" s="5" t="s">
        <v>2629</v>
      </c>
      <c r="H669" s="5">
        <v>55</v>
      </c>
      <c r="I669" s="5">
        <f>IFERROR(INDEX(Raw_Orders!H669:H3097,MATCH(B669,Raw_Orders!A669:A3097,0)),0)</f>
        <v>55</v>
      </c>
      <c r="J669" s="5" t="str">
        <f t="shared" si="40"/>
        <v>No</v>
      </c>
      <c r="K669" s="5" t="str">
        <f t="shared" si="41"/>
        <v>Yes</v>
      </c>
      <c r="L669" s="5" t="str">
        <f t="shared" si="43"/>
        <v>No</v>
      </c>
      <c r="M669" s="5">
        <f t="shared" si="42"/>
        <v>0</v>
      </c>
    </row>
    <row r="670" spans="1:13" x14ac:dyDescent="0.3">
      <c r="A670" s="2" t="s">
        <v>3299</v>
      </c>
      <c r="B670" s="2" t="s">
        <v>819</v>
      </c>
      <c r="C670" s="2" t="s">
        <v>2608</v>
      </c>
      <c r="D670" s="3">
        <v>45765</v>
      </c>
      <c r="E670" s="3">
        <v>45773</v>
      </c>
      <c r="F670" s="3">
        <v>45778</v>
      </c>
      <c r="G670" s="2" t="s">
        <v>2641</v>
      </c>
      <c r="H670" s="2">
        <v>5</v>
      </c>
      <c r="I670" s="2">
        <f>IFERROR(INDEX(Raw_Orders!H670:H3098,MATCH(B670,Raw_Orders!A670:A3098,0)),0)</f>
        <v>5</v>
      </c>
      <c r="J670" s="2" t="str">
        <f t="shared" si="40"/>
        <v>No</v>
      </c>
      <c r="K670" s="2" t="str">
        <f t="shared" si="41"/>
        <v>Yes</v>
      </c>
      <c r="L670" s="2" t="str">
        <f t="shared" si="43"/>
        <v>No</v>
      </c>
      <c r="M670" s="2">
        <f t="shared" si="42"/>
        <v>0</v>
      </c>
    </row>
    <row r="671" spans="1:13" x14ac:dyDescent="0.3">
      <c r="A671" s="5" t="s">
        <v>3300</v>
      </c>
      <c r="B671" s="5" t="s">
        <v>820</v>
      </c>
      <c r="C671" s="5" t="s">
        <v>2608</v>
      </c>
      <c r="D671" s="6">
        <v>45767</v>
      </c>
      <c r="E671" s="6">
        <v>45770</v>
      </c>
      <c r="F671" s="6">
        <v>45780</v>
      </c>
      <c r="G671" s="5" t="s">
        <v>2641</v>
      </c>
      <c r="H671" s="5">
        <v>9</v>
      </c>
      <c r="I671" s="5">
        <f>IFERROR(INDEX(Raw_Orders!H671:H3099,MATCH(B671,Raw_Orders!A671:A3099,0)),0)</f>
        <v>9</v>
      </c>
      <c r="J671" s="5" t="str">
        <f t="shared" si="40"/>
        <v>No</v>
      </c>
      <c r="K671" s="5" t="str">
        <f t="shared" si="41"/>
        <v>Yes</v>
      </c>
      <c r="L671" s="5" t="str">
        <f t="shared" si="43"/>
        <v>No</v>
      </c>
      <c r="M671" s="5">
        <f t="shared" si="42"/>
        <v>0</v>
      </c>
    </row>
    <row r="672" spans="1:13" x14ac:dyDescent="0.3">
      <c r="A672" s="2" t="s">
        <v>3301</v>
      </c>
      <c r="B672" s="2" t="s">
        <v>821</v>
      </c>
      <c r="C672" s="2" t="s">
        <v>2616</v>
      </c>
      <c r="D672" s="3">
        <v>45768</v>
      </c>
      <c r="E672" s="3">
        <v>45776</v>
      </c>
      <c r="F672" s="3">
        <v>45782</v>
      </c>
      <c r="G672" s="2" t="s">
        <v>2641</v>
      </c>
      <c r="H672" s="2">
        <v>47</v>
      </c>
      <c r="I672" s="2">
        <f>IFERROR(INDEX(Raw_Orders!H672:H3100,MATCH(B672,Raw_Orders!A672:A3100,0)),0)</f>
        <v>47</v>
      </c>
      <c r="J672" s="2" t="str">
        <f t="shared" si="40"/>
        <v>No</v>
      </c>
      <c r="K672" s="2" t="str">
        <f t="shared" si="41"/>
        <v>Yes</v>
      </c>
      <c r="L672" s="2" t="str">
        <f t="shared" si="43"/>
        <v>No</v>
      </c>
      <c r="M672" s="2">
        <f t="shared" si="42"/>
        <v>0</v>
      </c>
    </row>
    <row r="673" spans="1:13" x14ac:dyDescent="0.3">
      <c r="A673" s="5" t="s">
        <v>3302</v>
      </c>
      <c r="B673" s="5" t="s">
        <v>822</v>
      </c>
      <c r="C673" s="5" t="s">
        <v>2604</v>
      </c>
      <c r="D673" s="6">
        <v>45766</v>
      </c>
      <c r="E673" s="6">
        <v>45771</v>
      </c>
      <c r="F673" s="6">
        <v>45770</v>
      </c>
      <c r="G673" s="5" t="s">
        <v>2633</v>
      </c>
      <c r="H673" s="5">
        <v>9</v>
      </c>
      <c r="I673" s="5">
        <f>IFERROR(INDEX(Raw_Orders!H673:H3101,MATCH(B673,Raw_Orders!A673:A3101,0)),0)</f>
        <v>9</v>
      </c>
      <c r="J673" s="5" t="str">
        <f t="shared" si="40"/>
        <v>Yes</v>
      </c>
      <c r="K673" s="5" t="str">
        <f t="shared" si="41"/>
        <v>Yes</v>
      </c>
      <c r="L673" s="5" t="str">
        <f t="shared" si="43"/>
        <v>Yes</v>
      </c>
      <c r="M673" s="5">
        <f t="shared" si="42"/>
        <v>1</v>
      </c>
    </row>
    <row r="674" spans="1:13" x14ac:dyDescent="0.3">
      <c r="A674" s="2" t="s">
        <v>3303</v>
      </c>
      <c r="B674" s="2" t="s">
        <v>823</v>
      </c>
      <c r="C674" s="2" t="s">
        <v>2606</v>
      </c>
      <c r="D674" s="3">
        <v>45766</v>
      </c>
      <c r="E674" s="3">
        <v>45775</v>
      </c>
      <c r="F674" s="3">
        <v>45771</v>
      </c>
      <c r="G674" s="2" t="s">
        <v>2627</v>
      </c>
      <c r="H674" s="2">
        <v>22</v>
      </c>
      <c r="I674" s="2">
        <f>IFERROR(INDEX(Raw_Orders!H674:H3102,MATCH(B674,Raw_Orders!A674:A3102,0)),0)</f>
        <v>22</v>
      </c>
      <c r="J674" s="2" t="str">
        <f t="shared" si="40"/>
        <v>Yes</v>
      </c>
      <c r="K674" s="2" t="str">
        <f t="shared" si="41"/>
        <v>Yes</v>
      </c>
      <c r="L674" s="2" t="str">
        <f t="shared" si="43"/>
        <v>Yes</v>
      </c>
      <c r="M674" s="2">
        <f t="shared" si="42"/>
        <v>1</v>
      </c>
    </row>
    <row r="675" spans="1:13" x14ac:dyDescent="0.3">
      <c r="A675" s="5" t="s">
        <v>3304</v>
      </c>
      <c r="B675" s="5" t="s">
        <v>824</v>
      </c>
      <c r="C675" s="5" t="s">
        <v>2606</v>
      </c>
      <c r="D675" s="6">
        <v>45767</v>
      </c>
      <c r="E675" s="6">
        <v>45773</v>
      </c>
      <c r="F675" s="6">
        <v>45772</v>
      </c>
      <c r="G675" s="5" t="s">
        <v>2627</v>
      </c>
      <c r="H675" s="5">
        <v>21</v>
      </c>
      <c r="I675" s="5">
        <f>IFERROR(INDEX(Raw_Orders!H675:H3103,MATCH(B675,Raw_Orders!A675:A3103,0)),0)</f>
        <v>21</v>
      </c>
      <c r="J675" s="5" t="str">
        <f t="shared" si="40"/>
        <v>Yes</v>
      </c>
      <c r="K675" s="5" t="str">
        <f t="shared" si="41"/>
        <v>Yes</v>
      </c>
      <c r="L675" s="5" t="str">
        <f t="shared" si="43"/>
        <v>Yes</v>
      </c>
      <c r="M675" s="5">
        <f t="shared" si="42"/>
        <v>1</v>
      </c>
    </row>
    <row r="676" spans="1:13" x14ac:dyDescent="0.3">
      <c r="A676" s="2" t="s">
        <v>3305</v>
      </c>
      <c r="B676" s="2" t="s">
        <v>825</v>
      </c>
      <c r="C676" s="2" t="s">
        <v>2608</v>
      </c>
      <c r="D676" s="3">
        <v>45767</v>
      </c>
      <c r="E676" s="3">
        <v>45773</v>
      </c>
      <c r="F676" s="3">
        <v>45784</v>
      </c>
      <c r="G676" s="2" t="s">
        <v>2631</v>
      </c>
      <c r="H676" s="2">
        <v>21</v>
      </c>
      <c r="I676" s="2">
        <f>IFERROR(INDEX(Raw_Orders!H676:H3104,MATCH(B676,Raw_Orders!A676:A3104,0)),0)</f>
        <v>21</v>
      </c>
      <c r="J676" s="2" t="str">
        <f t="shared" si="40"/>
        <v>No</v>
      </c>
      <c r="K676" s="2" t="str">
        <f t="shared" si="41"/>
        <v>Yes</v>
      </c>
      <c r="L676" s="2" t="str">
        <f t="shared" si="43"/>
        <v>No</v>
      </c>
      <c r="M676" s="2">
        <f t="shared" si="42"/>
        <v>0</v>
      </c>
    </row>
    <row r="677" spans="1:13" x14ac:dyDescent="0.3">
      <c r="A677" s="5" t="s">
        <v>3306</v>
      </c>
      <c r="B677" s="5" t="s">
        <v>826</v>
      </c>
      <c r="C677" s="5" t="s">
        <v>2608</v>
      </c>
      <c r="D677" s="6">
        <v>45767</v>
      </c>
      <c r="E677" s="6">
        <v>45774</v>
      </c>
      <c r="F677" s="6">
        <v>45780</v>
      </c>
      <c r="G677" s="5" t="s">
        <v>2629</v>
      </c>
      <c r="H677" s="5">
        <v>8</v>
      </c>
      <c r="I677" s="5">
        <f>IFERROR(INDEX(Raw_Orders!H677:H3105,MATCH(B677,Raw_Orders!A677:A3105,0)),0)</f>
        <v>8</v>
      </c>
      <c r="J677" s="5" t="str">
        <f t="shared" si="40"/>
        <v>No</v>
      </c>
      <c r="K677" s="5" t="str">
        <f t="shared" si="41"/>
        <v>Yes</v>
      </c>
      <c r="L677" s="5" t="str">
        <f t="shared" si="43"/>
        <v>No</v>
      </c>
      <c r="M677" s="5">
        <f t="shared" si="42"/>
        <v>0</v>
      </c>
    </row>
    <row r="678" spans="1:13" x14ac:dyDescent="0.3">
      <c r="A678" s="2" t="s">
        <v>3307</v>
      </c>
      <c r="B678" s="2" t="s">
        <v>827</v>
      </c>
      <c r="C678" s="2" t="s">
        <v>2614</v>
      </c>
      <c r="D678" s="3">
        <v>45769</v>
      </c>
      <c r="E678" s="3">
        <v>45777</v>
      </c>
      <c r="F678" s="3">
        <v>45787</v>
      </c>
      <c r="G678" s="2" t="s">
        <v>2627</v>
      </c>
      <c r="H678" s="2">
        <v>11</v>
      </c>
      <c r="I678" s="2">
        <f>IFERROR(INDEX(Raw_Orders!H678:H3106,MATCH(B678,Raw_Orders!A678:A3106,0)),0)</f>
        <v>11</v>
      </c>
      <c r="J678" s="2" t="str">
        <f t="shared" si="40"/>
        <v>No</v>
      </c>
      <c r="K678" s="2" t="str">
        <f t="shared" si="41"/>
        <v>Yes</v>
      </c>
      <c r="L678" s="2" t="str">
        <f t="shared" si="43"/>
        <v>No</v>
      </c>
      <c r="M678" s="2">
        <f t="shared" si="42"/>
        <v>0</v>
      </c>
    </row>
    <row r="679" spans="1:13" x14ac:dyDescent="0.3">
      <c r="A679" s="5" t="s">
        <v>3308</v>
      </c>
      <c r="B679" s="5" t="s">
        <v>828</v>
      </c>
      <c r="C679" s="5" t="s">
        <v>2606</v>
      </c>
      <c r="D679" s="6">
        <v>45768</v>
      </c>
      <c r="E679" s="6">
        <v>45776</v>
      </c>
      <c r="F679" s="6">
        <v>45774</v>
      </c>
      <c r="G679" s="5" t="s">
        <v>2631</v>
      </c>
      <c r="H679" s="5">
        <v>53</v>
      </c>
      <c r="I679" s="5">
        <f>IFERROR(INDEX(Raw_Orders!H679:H3107,MATCH(B679,Raw_Orders!A679:A3107,0)),0)</f>
        <v>53</v>
      </c>
      <c r="J679" s="5" t="str">
        <f t="shared" si="40"/>
        <v>Yes</v>
      </c>
      <c r="K679" s="5" t="str">
        <f t="shared" si="41"/>
        <v>Yes</v>
      </c>
      <c r="L679" s="5" t="str">
        <f t="shared" si="43"/>
        <v>Yes</v>
      </c>
      <c r="M679" s="5">
        <f t="shared" si="42"/>
        <v>1</v>
      </c>
    </row>
    <row r="680" spans="1:13" x14ac:dyDescent="0.3">
      <c r="A680" s="2" t="s">
        <v>3309</v>
      </c>
      <c r="B680" s="2" t="s">
        <v>829</v>
      </c>
      <c r="C680" s="2" t="s">
        <v>2606</v>
      </c>
      <c r="D680" s="3">
        <v>45768</v>
      </c>
      <c r="E680" s="3">
        <v>45774</v>
      </c>
      <c r="F680" s="3">
        <v>45774</v>
      </c>
      <c r="G680" s="2" t="s">
        <v>2631</v>
      </c>
      <c r="H680" s="2">
        <v>27</v>
      </c>
      <c r="I680" s="2">
        <f>IFERROR(INDEX(Raw_Orders!H680:H3108,MATCH(B680,Raw_Orders!A680:A3108,0)),0)</f>
        <v>27</v>
      </c>
      <c r="J680" s="2" t="str">
        <f t="shared" si="40"/>
        <v>Yes</v>
      </c>
      <c r="K680" s="2" t="str">
        <f t="shared" si="41"/>
        <v>Yes</v>
      </c>
      <c r="L680" s="2" t="str">
        <f t="shared" si="43"/>
        <v>Yes</v>
      </c>
      <c r="M680" s="2">
        <f t="shared" si="42"/>
        <v>1</v>
      </c>
    </row>
    <row r="681" spans="1:13" x14ac:dyDescent="0.3">
      <c r="A681" s="5" t="s">
        <v>3310</v>
      </c>
      <c r="B681" s="5" t="s">
        <v>830</v>
      </c>
      <c r="C681" s="5" t="s">
        <v>2608</v>
      </c>
      <c r="D681" s="6">
        <v>45767</v>
      </c>
      <c r="E681" s="6">
        <v>45777</v>
      </c>
      <c r="F681" s="6">
        <v>45780</v>
      </c>
      <c r="G681" s="5" t="s">
        <v>2627</v>
      </c>
      <c r="H681" s="5">
        <v>8</v>
      </c>
      <c r="I681" s="5">
        <f>IFERROR(INDEX(Raw_Orders!H681:H3109,MATCH(B681,Raw_Orders!A681:A3109,0)),0)</f>
        <v>8</v>
      </c>
      <c r="J681" s="5" t="str">
        <f t="shared" si="40"/>
        <v>No</v>
      </c>
      <c r="K681" s="5" t="str">
        <f t="shared" si="41"/>
        <v>Yes</v>
      </c>
      <c r="L681" s="5" t="str">
        <f t="shared" si="43"/>
        <v>No</v>
      </c>
      <c r="M681" s="5">
        <f t="shared" si="42"/>
        <v>0</v>
      </c>
    </row>
    <row r="682" spans="1:13" x14ac:dyDescent="0.3">
      <c r="A682" s="2" t="s">
        <v>3311</v>
      </c>
      <c r="B682" s="2" t="s">
        <v>831</v>
      </c>
      <c r="C682" s="2" t="s">
        <v>2598</v>
      </c>
      <c r="D682" s="3">
        <v>45768</v>
      </c>
      <c r="E682" s="3">
        <v>45774</v>
      </c>
      <c r="F682" s="3">
        <v>45781</v>
      </c>
      <c r="G682" s="2" t="s">
        <v>2627</v>
      </c>
      <c r="H682" s="2">
        <v>39</v>
      </c>
      <c r="I682" s="2">
        <f>IFERROR(INDEX(Raw_Orders!H682:H3110,MATCH(B682,Raw_Orders!A682:A3110,0)),0)</f>
        <v>39</v>
      </c>
      <c r="J682" s="2" t="str">
        <f t="shared" si="40"/>
        <v>No</v>
      </c>
      <c r="K682" s="2" t="str">
        <f t="shared" si="41"/>
        <v>Yes</v>
      </c>
      <c r="L682" s="2" t="str">
        <f t="shared" si="43"/>
        <v>No</v>
      </c>
      <c r="M682" s="2">
        <f t="shared" si="42"/>
        <v>0</v>
      </c>
    </row>
    <row r="683" spans="1:13" x14ac:dyDescent="0.3">
      <c r="A683" s="5" t="s">
        <v>3312</v>
      </c>
      <c r="B683" s="5" t="s">
        <v>832</v>
      </c>
      <c r="C683" s="5" t="s">
        <v>2601</v>
      </c>
      <c r="D683" s="6">
        <v>45770</v>
      </c>
      <c r="E683" s="6">
        <v>45773</v>
      </c>
      <c r="F683" s="6">
        <v>45777</v>
      </c>
      <c r="G683" s="5" t="s">
        <v>2631</v>
      </c>
      <c r="H683" s="5">
        <v>12</v>
      </c>
      <c r="I683" s="5">
        <f>IFERROR(INDEX(Raw_Orders!H683:H3111,MATCH(B683,Raw_Orders!A683:A3111,0)),0)</f>
        <v>12</v>
      </c>
      <c r="J683" s="5" t="str">
        <f t="shared" si="40"/>
        <v>No</v>
      </c>
      <c r="K683" s="5" t="str">
        <f t="shared" si="41"/>
        <v>Yes</v>
      </c>
      <c r="L683" s="5" t="str">
        <f t="shared" si="43"/>
        <v>No</v>
      </c>
      <c r="M683" s="5">
        <f t="shared" si="42"/>
        <v>0</v>
      </c>
    </row>
    <row r="684" spans="1:13" x14ac:dyDescent="0.3">
      <c r="A684" s="2" t="s">
        <v>3313</v>
      </c>
      <c r="B684" s="2" t="s">
        <v>833</v>
      </c>
      <c r="C684" s="2" t="s">
        <v>2616</v>
      </c>
      <c r="D684" s="3">
        <v>45770</v>
      </c>
      <c r="E684" s="3">
        <v>45771</v>
      </c>
      <c r="F684" s="3">
        <v>45785</v>
      </c>
      <c r="G684" s="2" t="s">
        <v>2627</v>
      </c>
      <c r="H684" s="2">
        <v>18</v>
      </c>
      <c r="I684" s="2">
        <f>IFERROR(INDEX(Raw_Orders!H684:H3112,MATCH(B684,Raw_Orders!A684:A3112,0)),0)</f>
        <v>18</v>
      </c>
      <c r="J684" s="2" t="str">
        <f t="shared" si="40"/>
        <v>No</v>
      </c>
      <c r="K684" s="2" t="str">
        <f t="shared" si="41"/>
        <v>Yes</v>
      </c>
      <c r="L684" s="2" t="str">
        <f t="shared" si="43"/>
        <v>No</v>
      </c>
      <c r="M684" s="2">
        <f t="shared" si="42"/>
        <v>0</v>
      </c>
    </row>
    <row r="685" spans="1:13" x14ac:dyDescent="0.3">
      <c r="A685" s="5" t="s">
        <v>3314</v>
      </c>
      <c r="B685" s="5" t="s">
        <v>834</v>
      </c>
      <c r="C685" s="5" t="s">
        <v>2606</v>
      </c>
      <c r="D685" s="6">
        <v>45769</v>
      </c>
      <c r="E685" s="6">
        <v>45773</v>
      </c>
      <c r="F685" s="6">
        <v>45776</v>
      </c>
      <c r="G685" s="5" t="s">
        <v>2631</v>
      </c>
      <c r="H685" s="5">
        <v>26</v>
      </c>
      <c r="I685" s="5">
        <f>IFERROR(INDEX(Raw_Orders!H685:H3113,MATCH(B685,Raw_Orders!A685:A3113,0)),0)</f>
        <v>32</v>
      </c>
      <c r="J685" s="5" t="str">
        <f t="shared" si="40"/>
        <v>No</v>
      </c>
      <c r="K685" s="5" t="str">
        <f t="shared" si="41"/>
        <v>N0</v>
      </c>
      <c r="L685" s="5" t="str">
        <f t="shared" si="43"/>
        <v>No</v>
      </c>
      <c r="M685" s="5">
        <f t="shared" si="42"/>
        <v>0</v>
      </c>
    </row>
    <row r="686" spans="1:13" x14ac:dyDescent="0.3">
      <c r="A686" s="2" t="s">
        <v>3315</v>
      </c>
      <c r="B686" s="2" t="s">
        <v>835</v>
      </c>
      <c r="C686" s="2" t="s">
        <v>2606</v>
      </c>
      <c r="D686" s="3">
        <v>45769</v>
      </c>
      <c r="E686" s="3">
        <v>45773</v>
      </c>
      <c r="F686" s="3">
        <v>45775</v>
      </c>
      <c r="G686" s="2" t="s">
        <v>2641</v>
      </c>
      <c r="H686" s="2">
        <v>38</v>
      </c>
      <c r="I686" s="2">
        <f>IFERROR(INDEX(Raw_Orders!H686:H3114,MATCH(B686,Raw_Orders!A686:A3114,0)),0)</f>
        <v>38</v>
      </c>
      <c r="J686" s="2" t="str">
        <f t="shared" si="40"/>
        <v>No</v>
      </c>
      <c r="K686" s="2" t="str">
        <f t="shared" si="41"/>
        <v>Yes</v>
      </c>
      <c r="L686" s="2" t="str">
        <f t="shared" si="43"/>
        <v>No</v>
      </c>
      <c r="M686" s="2">
        <f t="shared" si="42"/>
        <v>0</v>
      </c>
    </row>
    <row r="687" spans="1:13" x14ac:dyDescent="0.3">
      <c r="A687" s="5" t="s">
        <v>3316</v>
      </c>
      <c r="B687" s="5" t="s">
        <v>836</v>
      </c>
      <c r="C687" s="5" t="s">
        <v>2606</v>
      </c>
      <c r="D687" s="6">
        <v>45768</v>
      </c>
      <c r="E687" s="6">
        <v>45776</v>
      </c>
      <c r="F687" s="6">
        <v>45773</v>
      </c>
      <c r="G687" s="5" t="s">
        <v>2627</v>
      </c>
      <c r="H687" s="5">
        <v>33</v>
      </c>
      <c r="I687" s="5">
        <f>IFERROR(INDEX(Raw_Orders!H687:H3115,MATCH(B687,Raw_Orders!A687:A3115,0)),0)</f>
        <v>33</v>
      </c>
      <c r="J687" s="5" t="str">
        <f t="shared" si="40"/>
        <v>Yes</v>
      </c>
      <c r="K687" s="5" t="str">
        <f t="shared" si="41"/>
        <v>Yes</v>
      </c>
      <c r="L687" s="5" t="str">
        <f t="shared" si="43"/>
        <v>Yes</v>
      </c>
      <c r="M687" s="5">
        <f t="shared" si="42"/>
        <v>1</v>
      </c>
    </row>
    <row r="688" spans="1:13" x14ac:dyDescent="0.3">
      <c r="A688" s="2" t="s">
        <v>3317</v>
      </c>
      <c r="B688" s="2" t="s">
        <v>837</v>
      </c>
      <c r="C688" s="2" t="s">
        <v>2598</v>
      </c>
      <c r="D688" s="3">
        <v>45769</v>
      </c>
      <c r="E688" s="3">
        <v>45779</v>
      </c>
      <c r="F688" s="3">
        <v>45782</v>
      </c>
      <c r="G688" s="2" t="s">
        <v>2631</v>
      </c>
      <c r="H688" s="2">
        <v>24</v>
      </c>
      <c r="I688" s="2">
        <f>IFERROR(INDEX(Raw_Orders!H688:H3116,MATCH(B688,Raw_Orders!A688:A3116,0)),0)</f>
        <v>24</v>
      </c>
      <c r="J688" s="2" t="str">
        <f t="shared" si="40"/>
        <v>No</v>
      </c>
      <c r="K688" s="2" t="str">
        <f t="shared" si="41"/>
        <v>Yes</v>
      </c>
      <c r="L688" s="2" t="str">
        <f t="shared" si="43"/>
        <v>No</v>
      </c>
      <c r="M688" s="2">
        <f t="shared" si="42"/>
        <v>0</v>
      </c>
    </row>
    <row r="689" spans="1:13" x14ac:dyDescent="0.3">
      <c r="A689" s="5" t="s">
        <v>3318</v>
      </c>
      <c r="B689" s="5" t="s">
        <v>838</v>
      </c>
      <c r="C689" s="5" t="s">
        <v>2601</v>
      </c>
      <c r="D689" s="6">
        <v>45770</v>
      </c>
      <c r="E689" s="6">
        <v>45777</v>
      </c>
      <c r="F689" s="6">
        <v>45775</v>
      </c>
      <c r="G689" s="5" t="s">
        <v>2627</v>
      </c>
      <c r="H689" s="5">
        <v>23</v>
      </c>
      <c r="I689" s="5">
        <f>IFERROR(INDEX(Raw_Orders!H689:H3117,MATCH(B689,Raw_Orders!A689:A3117,0)),0)</f>
        <v>23</v>
      </c>
      <c r="J689" s="5" t="str">
        <f t="shared" si="40"/>
        <v>Yes</v>
      </c>
      <c r="K689" s="5" t="str">
        <f t="shared" si="41"/>
        <v>Yes</v>
      </c>
      <c r="L689" s="5" t="str">
        <f t="shared" si="43"/>
        <v>Yes</v>
      </c>
      <c r="M689" s="5">
        <f t="shared" si="42"/>
        <v>1</v>
      </c>
    </row>
    <row r="690" spans="1:13" x14ac:dyDescent="0.3">
      <c r="A690" s="2" t="s">
        <v>3319</v>
      </c>
      <c r="B690" s="2" t="s">
        <v>839</v>
      </c>
      <c r="C690" s="2" t="s">
        <v>2604</v>
      </c>
      <c r="D690" s="3">
        <v>45771</v>
      </c>
      <c r="E690" s="3">
        <v>45776</v>
      </c>
      <c r="F690" s="3">
        <v>45775</v>
      </c>
      <c r="G690" s="2" t="s">
        <v>2631</v>
      </c>
      <c r="H690" s="2">
        <v>11</v>
      </c>
      <c r="I690" s="2">
        <f>IFERROR(INDEX(Raw_Orders!H690:H3118,MATCH(B690,Raw_Orders!A690:A3118,0)),0)</f>
        <v>11</v>
      </c>
      <c r="J690" s="2" t="str">
        <f t="shared" si="40"/>
        <v>Yes</v>
      </c>
      <c r="K690" s="2" t="str">
        <f t="shared" si="41"/>
        <v>Yes</v>
      </c>
      <c r="L690" s="2" t="str">
        <f t="shared" si="43"/>
        <v>Yes</v>
      </c>
      <c r="M690" s="2">
        <f t="shared" si="42"/>
        <v>1</v>
      </c>
    </row>
    <row r="691" spans="1:13" x14ac:dyDescent="0.3">
      <c r="A691" s="5" t="s">
        <v>3320</v>
      </c>
      <c r="B691" s="5" t="s">
        <v>840</v>
      </c>
      <c r="C691" s="5" t="s">
        <v>2606</v>
      </c>
      <c r="D691" s="6">
        <v>45769</v>
      </c>
      <c r="E691" s="6">
        <v>45776</v>
      </c>
      <c r="F691" s="6">
        <v>45779</v>
      </c>
      <c r="G691" s="5" t="s">
        <v>2629</v>
      </c>
      <c r="H691" s="5">
        <v>46</v>
      </c>
      <c r="I691" s="5">
        <f>IFERROR(INDEX(Raw_Orders!H691:H3119,MATCH(B691,Raw_Orders!A691:A3119,0)),0)</f>
        <v>46</v>
      </c>
      <c r="J691" s="5" t="str">
        <f t="shared" si="40"/>
        <v>No</v>
      </c>
      <c r="K691" s="5" t="str">
        <f t="shared" si="41"/>
        <v>Yes</v>
      </c>
      <c r="L691" s="5" t="str">
        <f t="shared" si="43"/>
        <v>No</v>
      </c>
      <c r="M691" s="5">
        <f t="shared" si="42"/>
        <v>0</v>
      </c>
    </row>
    <row r="692" spans="1:13" x14ac:dyDescent="0.3">
      <c r="A692" s="2" t="s">
        <v>3321</v>
      </c>
      <c r="B692" s="2" t="s">
        <v>841</v>
      </c>
      <c r="C692" s="2" t="s">
        <v>2608</v>
      </c>
      <c r="D692" s="3">
        <v>45770</v>
      </c>
      <c r="E692" s="3">
        <v>45775</v>
      </c>
      <c r="F692" s="3">
        <v>45787</v>
      </c>
      <c r="G692" s="2" t="s">
        <v>2627</v>
      </c>
      <c r="H692" s="2">
        <v>6</v>
      </c>
      <c r="I692" s="2">
        <f>IFERROR(INDEX(Raw_Orders!H692:H3120,MATCH(B692,Raw_Orders!A692:A3120,0)),0)</f>
        <v>6</v>
      </c>
      <c r="J692" s="2" t="str">
        <f t="shared" si="40"/>
        <v>No</v>
      </c>
      <c r="K692" s="2" t="str">
        <f t="shared" si="41"/>
        <v>Yes</v>
      </c>
      <c r="L692" s="2" t="str">
        <f t="shared" si="43"/>
        <v>No</v>
      </c>
      <c r="M692" s="2">
        <f t="shared" si="42"/>
        <v>0</v>
      </c>
    </row>
    <row r="693" spans="1:13" x14ac:dyDescent="0.3">
      <c r="A693" s="5" t="s">
        <v>3322</v>
      </c>
      <c r="B693" s="5" t="s">
        <v>842</v>
      </c>
      <c r="C693" s="5" t="s">
        <v>2608</v>
      </c>
      <c r="D693" s="6">
        <v>45771</v>
      </c>
      <c r="E693" s="6">
        <v>45778</v>
      </c>
      <c r="F693" s="6">
        <v>45788</v>
      </c>
      <c r="G693" s="5" t="s">
        <v>2641</v>
      </c>
      <c r="H693" s="5">
        <v>1</v>
      </c>
      <c r="I693" s="5">
        <f>IFERROR(INDEX(Raw_Orders!H693:H3121,MATCH(B693,Raw_Orders!A693:A3121,0)),0)</f>
        <v>3</v>
      </c>
      <c r="J693" s="5" t="str">
        <f t="shared" si="40"/>
        <v>No</v>
      </c>
      <c r="K693" s="5" t="str">
        <f t="shared" si="41"/>
        <v>N0</v>
      </c>
      <c r="L693" s="5" t="str">
        <f t="shared" si="43"/>
        <v>No</v>
      </c>
      <c r="M693" s="5">
        <f t="shared" si="42"/>
        <v>0</v>
      </c>
    </row>
    <row r="694" spans="1:13" x14ac:dyDescent="0.3">
      <c r="A694" s="2" t="s">
        <v>3323</v>
      </c>
      <c r="B694" s="2" t="s">
        <v>843</v>
      </c>
      <c r="C694" s="2" t="s">
        <v>2611</v>
      </c>
      <c r="D694" s="3">
        <v>45770</v>
      </c>
      <c r="E694" s="3">
        <v>45779</v>
      </c>
      <c r="F694" s="3">
        <v>45776</v>
      </c>
      <c r="G694" s="2" t="s">
        <v>2633</v>
      </c>
      <c r="H694" s="2">
        <v>32</v>
      </c>
      <c r="I694" s="2">
        <f>IFERROR(INDEX(Raw_Orders!H694:H3122,MATCH(B694,Raw_Orders!A694:A3122,0)),0)</f>
        <v>32</v>
      </c>
      <c r="J694" s="2" t="str">
        <f t="shared" si="40"/>
        <v>Yes</v>
      </c>
      <c r="K694" s="2" t="str">
        <f t="shared" si="41"/>
        <v>Yes</v>
      </c>
      <c r="L694" s="2" t="str">
        <f t="shared" si="43"/>
        <v>Yes</v>
      </c>
      <c r="M694" s="2">
        <f t="shared" si="42"/>
        <v>1</v>
      </c>
    </row>
    <row r="695" spans="1:13" x14ac:dyDescent="0.3">
      <c r="A695" s="5" t="s">
        <v>3324</v>
      </c>
      <c r="B695" s="5" t="s">
        <v>844</v>
      </c>
      <c r="C695" s="5" t="s">
        <v>2598</v>
      </c>
      <c r="D695" s="6">
        <v>45772</v>
      </c>
      <c r="E695" s="6">
        <v>45776</v>
      </c>
      <c r="F695" s="6">
        <v>45787</v>
      </c>
      <c r="G695" s="5" t="s">
        <v>2633</v>
      </c>
      <c r="H695" s="5">
        <v>11</v>
      </c>
      <c r="I695" s="5">
        <f>IFERROR(INDEX(Raw_Orders!H695:H3123,MATCH(B695,Raw_Orders!A695:A3123,0)),0)</f>
        <v>11</v>
      </c>
      <c r="J695" s="5" t="str">
        <f t="shared" si="40"/>
        <v>No</v>
      </c>
      <c r="K695" s="5" t="str">
        <f t="shared" si="41"/>
        <v>Yes</v>
      </c>
      <c r="L695" s="5" t="str">
        <f t="shared" si="43"/>
        <v>No</v>
      </c>
      <c r="M695" s="5">
        <f t="shared" si="42"/>
        <v>0</v>
      </c>
    </row>
    <row r="696" spans="1:13" x14ac:dyDescent="0.3">
      <c r="A696" s="2" t="s">
        <v>3325</v>
      </c>
      <c r="B696" s="2" t="s">
        <v>845</v>
      </c>
      <c r="C696" s="2" t="s">
        <v>2611</v>
      </c>
      <c r="D696" s="3">
        <v>45772</v>
      </c>
      <c r="E696" s="3">
        <v>45779</v>
      </c>
      <c r="F696" s="3">
        <v>45783</v>
      </c>
      <c r="G696" s="2" t="s">
        <v>2641</v>
      </c>
      <c r="H696" s="2">
        <v>34</v>
      </c>
      <c r="I696" s="2">
        <f>IFERROR(INDEX(Raw_Orders!H696:H3124,MATCH(B696,Raw_Orders!A696:A3124,0)),0)</f>
        <v>34</v>
      </c>
      <c r="J696" s="2" t="str">
        <f t="shared" si="40"/>
        <v>No</v>
      </c>
      <c r="K696" s="2" t="str">
        <f t="shared" si="41"/>
        <v>Yes</v>
      </c>
      <c r="L696" s="2" t="str">
        <f t="shared" si="43"/>
        <v>No</v>
      </c>
      <c r="M696" s="2">
        <f t="shared" si="42"/>
        <v>0</v>
      </c>
    </row>
    <row r="697" spans="1:13" x14ac:dyDescent="0.3">
      <c r="A697" s="5" t="s">
        <v>3326</v>
      </c>
      <c r="B697" s="5" t="s">
        <v>846</v>
      </c>
      <c r="C697" s="5" t="s">
        <v>2601</v>
      </c>
      <c r="D697" s="6">
        <v>45770</v>
      </c>
      <c r="E697" s="6">
        <v>45777</v>
      </c>
      <c r="F697" s="6">
        <v>45774</v>
      </c>
      <c r="G697" s="5" t="s">
        <v>2631</v>
      </c>
      <c r="H697" s="5">
        <v>5</v>
      </c>
      <c r="I697" s="5">
        <f>IFERROR(INDEX(Raw_Orders!H697:H3125,MATCH(B697,Raw_Orders!A697:A3125,0)),0)</f>
        <v>5</v>
      </c>
      <c r="J697" s="5" t="str">
        <f t="shared" si="40"/>
        <v>Yes</v>
      </c>
      <c r="K697" s="5" t="str">
        <f t="shared" si="41"/>
        <v>Yes</v>
      </c>
      <c r="L697" s="5" t="str">
        <f t="shared" si="43"/>
        <v>Yes</v>
      </c>
      <c r="M697" s="5">
        <f t="shared" si="42"/>
        <v>1</v>
      </c>
    </row>
    <row r="698" spans="1:13" x14ac:dyDescent="0.3">
      <c r="A698" s="2" t="s">
        <v>3327</v>
      </c>
      <c r="B698" s="2" t="s">
        <v>847</v>
      </c>
      <c r="C698" s="2" t="s">
        <v>2614</v>
      </c>
      <c r="D698" s="3">
        <v>45770</v>
      </c>
      <c r="E698" s="3">
        <v>45773</v>
      </c>
      <c r="F698" s="3">
        <v>45785</v>
      </c>
      <c r="G698" s="2" t="s">
        <v>2641</v>
      </c>
      <c r="H698" s="2">
        <v>11</v>
      </c>
      <c r="I698" s="2">
        <f>IFERROR(INDEX(Raw_Orders!H698:H3126,MATCH(B698,Raw_Orders!A698:A3126,0)),0)</f>
        <v>11</v>
      </c>
      <c r="J698" s="2" t="str">
        <f t="shared" si="40"/>
        <v>No</v>
      </c>
      <c r="K698" s="2" t="str">
        <f t="shared" si="41"/>
        <v>Yes</v>
      </c>
      <c r="L698" s="2" t="str">
        <f t="shared" si="43"/>
        <v>No</v>
      </c>
      <c r="M698" s="2">
        <f t="shared" si="42"/>
        <v>0</v>
      </c>
    </row>
    <row r="699" spans="1:13" x14ac:dyDescent="0.3">
      <c r="A699" s="5" t="s">
        <v>3328</v>
      </c>
      <c r="B699" s="5" t="s">
        <v>848</v>
      </c>
      <c r="C699" s="5" t="s">
        <v>2604</v>
      </c>
      <c r="D699" s="6">
        <v>45771</v>
      </c>
      <c r="E699" s="6">
        <v>45774</v>
      </c>
      <c r="F699" s="6">
        <v>45779</v>
      </c>
      <c r="G699" s="5" t="s">
        <v>2627</v>
      </c>
      <c r="H699" s="5">
        <v>34</v>
      </c>
      <c r="I699" s="5">
        <f>IFERROR(INDEX(Raw_Orders!H699:H3127,MATCH(B699,Raw_Orders!A699:A3127,0)),0)</f>
        <v>34</v>
      </c>
      <c r="J699" s="5" t="str">
        <f t="shared" si="40"/>
        <v>No</v>
      </c>
      <c r="K699" s="5" t="str">
        <f t="shared" si="41"/>
        <v>Yes</v>
      </c>
      <c r="L699" s="5" t="str">
        <f t="shared" si="43"/>
        <v>No</v>
      </c>
      <c r="M699" s="5">
        <f t="shared" si="42"/>
        <v>0</v>
      </c>
    </row>
    <row r="700" spans="1:13" x14ac:dyDescent="0.3">
      <c r="A700" s="2" t="s">
        <v>3329</v>
      </c>
      <c r="B700" s="2" t="s">
        <v>849</v>
      </c>
      <c r="C700" s="2" t="s">
        <v>2604</v>
      </c>
      <c r="D700" s="3">
        <v>45771</v>
      </c>
      <c r="E700" s="3">
        <v>45774</v>
      </c>
      <c r="F700" s="3">
        <v>45776</v>
      </c>
      <c r="G700" s="2" t="s">
        <v>2627</v>
      </c>
      <c r="H700" s="2">
        <v>18</v>
      </c>
      <c r="I700" s="2">
        <f>IFERROR(INDEX(Raw_Orders!H700:H3128,MATCH(B700,Raw_Orders!A700:A3128,0)),0)</f>
        <v>18</v>
      </c>
      <c r="J700" s="2" t="str">
        <f t="shared" si="40"/>
        <v>No</v>
      </c>
      <c r="K700" s="2" t="str">
        <f t="shared" si="41"/>
        <v>Yes</v>
      </c>
      <c r="L700" s="2" t="str">
        <f t="shared" si="43"/>
        <v>No</v>
      </c>
      <c r="M700" s="2">
        <f t="shared" si="42"/>
        <v>0</v>
      </c>
    </row>
    <row r="701" spans="1:13" x14ac:dyDescent="0.3">
      <c r="A701" s="5" t="s">
        <v>3330</v>
      </c>
      <c r="B701" s="5" t="s">
        <v>850</v>
      </c>
      <c r="C701" s="5" t="s">
        <v>2606</v>
      </c>
      <c r="D701" s="6">
        <v>45772</v>
      </c>
      <c r="E701" s="6">
        <v>45777</v>
      </c>
      <c r="F701" s="6">
        <v>45780</v>
      </c>
      <c r="G701" s="5" t="s">
        <v>2629</v>
      </c>
      <c r="H701" s="5">
        <v>39</v>
      </c>
      <c r="I701" s="5">
        <f>IFERROR(INDEX(Raw_Orders!H701:H3129,MATCH(B701,Raw_Orders!A701:A3129,0)),0)</f>
        <v>39</v>
      </c>
      <c r="J701" s="5" t="str">
        <f t="shared" si="40"/>
        <v>No</v>
      </c>
      <c r="K701" s="5" t="str">
        <f t="shared" si="41"/>
        <v>Yes</v>
      </c>
      <c r="L701" s="5" t="str">
        <f t="shared" si="43"/>
        <v>No</v>
      </c>
      <c r="M701" s="5">
        <f t="shared" si="42"/>
        <v>0</v>
      </c>
    </row>
    <row r="702" spans="1:13" x14ac:dyDescent="0.3">
      <c r="A702" s="2" t="s">
        <v>3331</v>
      </c>
      <c r="B702" s="2" t="s">
        <v>851</v>
      </c>
      <c r="C702" s="2" t="s">
        <v>2608</v>
      </c>
      <c r="D702" s="3">
        <v>45770</v>
      </c>
      <c r="E702" s="3">
        <v>45773</v>
      </c>
      <c r="F702" s="3">
        <v>45783</v>
      </c>
      <c r="G702" s="2" t="s">
        <v>2641</v>
      </c>
      <c r="H702" s="2">
        <v>9</v>
      </c>
      <c r="I702" s="2">
        <f>IFERROR(INDEX(Raw_Orders!H702:H3130,MATCH(B702,Raw_Orders!A702:A3130,0)),0)</f>
        <v>9</v>
      </c>
      <c r="J702" s="2" t="str">
        <f t="shared" si="40"/>
        <v>No</v>
      </c>
      <c r="K702" s="2" t="str">
        <f t="shared" si="41"/>
        <v>Yes</v>
      </c>
      <c r="L702" s="2" t="str">
        <f t="shared" si="43"/>
        <v>No</v>
      </c>
      <c r="M702" s="2">
        <f t="shared" si="42"/>
        <v>0</v>
      </c>
    </row>
    <row r="703" spans="1:13" x14ac:dyDescent="0.3">
      <c r="A703" s="5" t="s">
        <v>3332</v>
      </c>
      <c r="B703" s="5" t="s">
        <v>852</v>
      </c>
      <c r="C703" s="5" t="s">
        <v>2608</v>
      </c>
      <c r="D703" s="6">
        <v>45772</v>
      </c>
      <c r="E703" s="6">
        <v>45780</v>
      </c>
      <c r="F703" s="6">
        <v>45786</v>
      </c>
      <c r="G703" s="5" t="s">
        <v>2627</v>
      </c>
      <c r="H703" s="5">
        <v>2</v>
      </c>
      <c r="I703" s="5">
        <f>IFERROR(INDEX(Raw_Orders!H703:H3131,MATCH(B703,Raw_Orders!A703:A3131,0)),0)</f>
        <v>2</v>
      </c>
      <c r="J703" s="5" t="str">
        <f t="shared" si="40"/>
        <v>No</v>
      </c>
      <c r="K703" s="5" t="str">
        <f t="shared" si="41"/>
        <v>Yes</v>
      </c>
      <c r="L703" s="5" t="str">
        <f t="shared" si="43"/>
        <v>No</v>
      </c>
      <c r="M703" s="5">
        <f t="shared" si="42"/>
        <v>0</v>
      </c>
    </row>
    <row r="704" spans="1:13" x14ac:dyDescent="0.3">
      <c r="A704" s="2" t="s">
        <v>3333</v>
      </c>
      <c r="B704" s="2" t="s">
        <v>853</v>
      </c>
      <c r="C704" s="2" t="s">
        <v>2598</v>
      </c>
      <c r="D704" s="3">
        <v>45771</v>
      </c>
      <c r="E704" s="3">
        <v>45777</v>
      </c>
      <c r="F704" s="3">
        <v>45784</v>
      </c>
      <c r="G704" s="2" t="s">
        <v>2641</v>
      </c>
      <c r="H704" s="2">
        <v>16</v>
      </c>
      <c r="I704" s="2">
        <f>IFERROR(INDEX(Raw_Orders!H704:H3132,MATCH(B704,Raw_Orders!A704:A3132,0)),0)</f>
        <v>16</v>
      </c>
      <c r="J704" s="2" t="str">
        <f t="shared" si="40"/>
        <v>No</v>
      </c>
      <c r="K704" s="2" t="str">
        <f t="shared" si="41"/>
        <v>Yes</v>
      </c>
      <c r="L704" s="2" t="str">
        <f t="shared" si="43"/>
        <v>No</v>
      </c>
      <c r="M704" s="2">
        <f t="shared" si="42"/>
        <v>0</v>
      </c>
    </row>
    <row r="705" spans="1:13" x14ac:dyDescent="0.3">
      <c r="A705" s="5" t="s">
        <v>3334</v>
      </c>
      <c r="B705" s="5" t="s">
        <v>854</v>
      </c>
      <c r="C705" s="5" t="s">
        <v>2611</v>
      </c>
      <c r="D705" s="6">
        <v>45772</v>
      </c>
      <c r="E705" s="6">
        <v>45774</v>
      </c>
      <c r="F705" s="6">
        <v>45781</v>
      </c>
      <c r="G705" s="5" t="s">
        <v>2641</v>
      </c>
      <c r="H705" s="5">
        <v>37</v>
      </c>
      <c r="I705" s="5">
        <f>IFERROR(INDEX(Raw_Orders!H705:H3133,MATCH(B705,Raw_Orders!A705:A3133,0)),0)</f>
        <v>37</v>
      </c>
      <c r="J705" s="5" t="str">
        <f t="shared" si="40"/>
        <v>No</v>
      </c>
      <c r="K705" s="5" t="str">
        <f t="shared" si="41"/>
        <v>Yes</v>
      </c>
      <c r="L705" s="5" t="str">
        <f t="shared" si="43"/>
        <v>No</v>
      </c>
      <c r="M705" s="5">
        <f t="shared" si="42"/>
        <v>0</v>
      </c>
    </row>
    <row r="706" spans="1:13" x14ac:dyDescent="0.3">
      <c r="A706" s="2" t="s">
        <v>3335</v>
      </c>
      <c r="B706" s="2" t="s">
        <v>855</v>
      </c>
      <c r="C706" s="2" t="s">
        <v>2601</v>
      </c>
      <c r="D706" s="3">
        <v>45772</v>
      </c>
      <c r="E706" s="3">
        <v>45780</v>
      </c>
      <c r="F706" s="3">
        <v>45776</v>
      </c>
      <c r="G706" s="2" t="s">
        <v>2633</v>
      </c>
      <c r="H706" s="2">
        <v>23</v>
      </c>
      <c r="I706" s="2">
        <f>IFERROR(INDEX(Raw_Orders!H706:H3134,MATCH(B706,Raw_Orders!A706:A3134,0)),0)</f>
        <v>24</v>
      </c>
      <c r="J706" s="2" t="str">
        <f t="shared" si="40"/>
        <v>Yes</v>
      </c>
      <c r="K706" s="2" t="str">
        <f t="shared" si="41"/>
        <v>N0</v>
      </c>
      <c r="L706" s="2" t="str">
        <f t="shared" si="43"/>
        <v>No</v>
      </c>
      <c r="M706" s="2">
        <f t="shared" si="42"/>
        <v>0</v>
      </c>
    </row>
    <row r="707" spans="1:13" x14ac:dyDescent="0.3">
      <c r="A707" s="5" t="s">
        <v>3336</v>
      </c>
      <c r="B707" s="5" t="s">
        <v>856</v>
      </c>
      <c r="C707" s="5" t="s">
        <v>2616</v>
      </c>
      <c r="D707" s="6">
        <v>45771</v>
      </c>
      <c r="E707" s="6">
        <v>45774</v>
      </c>
      <c r="F707" s="6">
        <v>45790</v>
      </c>
      <c r="G707" s="5" t="s">
        <v>2631</v>
      </c>
      <c r="H707" s="5">
        <v>11</v>
      </c>
      <c r="I707" s="5">
        <f>IFERROR(INDEX(Raw_Orders!H707:H3135,MATCH(B707,Raw_Orders!A707:A3135,0)),0)</f>
        <v>11</v>
      </c>
      <c r="J707" s="5" t="str">
        <f t="shared" ref="J707:J770" si="44">IF(E707&gt;=F707,"Yes","No")</f>
        <v>No</v>
      </c>
      <c r="K707" s="5" t="str">
        <f t="shared" ref="K707:K770" si="45">IF(H707&gt;=I707,"Yes","N0")</f>
        <v>Yes</v>
      </c>
      <c r="L707" s="5" t="str">
        <f t="shared" si="43"/>
        <v>No</v>
      </c>
      <c r="M707" s="5">
        <f t="shared" ref="M707:M770" si="46">IF(L707="Yes",1,0)</f>
        <v>0</v>
      </c>
    </row>
    <row r="708" spans="1:13" x14ac:dyDescent="0.3">
      <c r="A708" s="2" t="s">
        <v>3337</v>
      </c>
      <c r="B708" s="2" t="s">
        <v>857</v>
      </c>
      <c r="C708" s="2" t="s">
        <v>2604</v>
      </c>
      <c r="D708" s="3">
        <v>45771</v>
      </c>
      <c r="E708" s="3">
        <v>45774</v>
      </c>
      <c r="F708" s="3">
        <v>45775</v>
      </c>
      <c r="G708" s="2" t="s">
        <v>2631</v>
      </c>
      <c r="H708" s="2">
        <v>34</v>
      </c>
      <c r="I708" s="2">
        <f>IFERROR(INDEX(Raw_Orders!H708:H3136,MATCH(B708,Raw_Orders!A708:A3136,0)),0)</f>
        <v>34</v>
      </c>
      <c r="J708" s="2" t="str">
        <f t="shared" si="44"/>
        <v>No</v>
      </c>
      <c r="K708" s="2" t="str">
        <f t="shared" si="45"/>
        <v>Yes</v>
      </c>
      <c r="L708" s="2" t="str">
        <f t="shared" ref="L708:L771" si="47">IF(AND(J708="Yes",K708="Yes"),"Yes","No")</f>
        <v>No</v>
      </c>
      <c r="M708" s="2">
        <f t="shared" si="46"/>
        <v>0</v>
      </c>
    </row>
    <row r="709" spans="1:13" x14ac:dyDescent="0.3">
      <c r="A709" s="5" t="s">
        <v>3338</v>
      </c>
      <c r="B709" s="5" t="s">
        <v>858</v>
      </c>
      <c r="C709" s="5" t="s">
        <v>2606</v>
      </c>
      <c r="D709" s="6">
        <v>45771</v>
      </c>
      <c r="E709" s="6">
        <v>45780</v>
      </c>
      <c r="F709" s="6">
        <v>45776</v>
      </c>
      <c r="G709" s="5" t="s">
        <v>2629</v>
      </c>
      <c r="H709" s="5">
        <v>31</v>
      </c>
      <c r="I709" s="5">
        <f>IFERROR(INDEX(Raw_Orders!H709:H3137,MATCH(B709,Raw_Orders!A709:A3137,0)),0)</f>
        <v>31</v>
      </c>
      <c r="J709" s="5" t="str">
        <f t="shared" si="44"/>
        <v>Yes</v>
      </c>
      <c r="K709" s="5" t="str">
        <f t="shared" si="45"/>
        <v>Yes</v>
      </c>
      <c r="L709" s="5" t="str">
        <f t="shared" si="47"/>
        <v>Yes</v>
      </c>
      <c r="M709" s="5">
        <f t="shared" si="46"/>
        <v>1</v>
      </c>
    </row>
    <row r="710" spans="1:13" x14ac:dyDescent="0.3">
      <c r="A710" s="2" t="s">
        <v>3339</v>
      </c>
      <c r="B710" s="2" t="s">
        <v>859</v>
      </c>
      <c r="C710" s="2" t="s">
        <v>2606</v>
      </c>
      <c r="D710" s="3">
        <v>45773</v>
      </c>
      <c r="E710" s="3">
        <v>45777</v>
      </c>
      <c r="F710" s="3">
        <v>45779</v>
      </c>
      <c r="G710" s="2" t="s">
        <v>2627</v>
      </c>
      <c r="H710" s="2">
        <v>34</v>
      </c>
      <c r="I710" s="2">
        <f>IFERROR(INDEX(Raw_Orders!H710:H3138,MATCH(B710,Raw_Orders!A710:A3138,0)),0)</f>
        <v>37</v>
      </c>
      <c r="J710" s="2" t="str">
        <f t="shared" si="44"/>
        <v>No</v>
      </c>
      <c r="K710" s="2" t="str">
        <f t="shared" si="45"/>
        <v>N0</v>
      </c>
      <c r="L710" s="2" t="str">
        <f t="shared" si="47"/>
        <v>No</v>
      </c>
      <c r="M710" s="2">
        <f t="shared" si="46"/>
        <v>0</v>
      </c>
    </row>
    <row r="711" spans="1:13" x14ac:dyDescent="0.3">
      <c r="A711" s="5" t="s">
        <v>3340</v>
      </c>
      <c r="B711" s="5" t="s">
        <v>860</v>
      </c>
      <c r="C711" s="5" t="s">
        <v>2608</v>
      </c>
      <c r="D711" s="6">
        <v>45773</v>
      </c>
      <c r="E711" s="6">
        <v>45775</v>
      </c>
      <c r="F711" s="6">
        <v>45790</v>
      </c>
      <c r="G711" s="5" t="s">
        <v>2633</v>
      </c>
      <c r="H711" s="5">
        <v>10</v>
      </c>
      <c r="I711" s="5">
        <f>IFERROR(INDEX(Raw_Orders!H711:H3139,MATCH(B711,Raw_Orders!A711:A3139,0)),0)</f>
        <v>10</v>
      </c>
      <c r="J711" s="5" t="str">
        <f t="shared" si="44"/>
        <v>No</v>
      </c>
      <c r="K711" s="5" t="str">
        <f t="shared" si="45"/>
        <v>Yes</v>
      </c>
      <c r="L711" s="5" t="str">
        <f t="shared" si="47"/>
        <v>No</v>
      </c>
      <c r="M711" s="5">
        <f t="shared" si="46"/>
        <v>0</v>
      </c>
    </row>
    <row r="712" spans="1:13" x14ac:dyDescent="0.3">
      <c r="A712" s="2" t="s">
        <v>3341</v>
      </c>
      <c r="B712" s="2" t="s">
        <v>861</v>
      </c>
      <c r="C712" s="2" t="s">
        <v>2611</v>
      </c>
      <c r="D712" s="3">
        <v>45772</v>
      </c>
      <c r="E712" s="3">
        <v>45775</v>
      </c>
      <c r="F712" s="3">
        <v>45780</v>
      </c>
      <c r="G712" s="2" t="s">
        <v>2631</v>
      </c>
      <c r="H712" s="2">
        <v>56</v>
      </c>
      <c r="I712" s="2">
        <f>IFERROR(INDEX(Raw_Orders!H712:H3140,MATCH(B712,Raw_Orders!A712:A3140,0)),0)</f>
        <v>56</v>
      </c>
      <c r="J712" s="2" t="str">
        <f t="shared" si="44"/>
        <v>No</v>
      </c>
      <c r="K712" s="2" t="str">
        <f t="shared" si="45"/>
        <v>Yes</v>
      </c>
      <c r="L712" s="2" t="str">
        <f t="shared" si="47"/>
        <v>No</v>
      </c>
      <c r="M712" s="2">
        <f t="shared" si="46"/>
        <v>0</v>
      </c>
    </row>
    <row r="713" spans="1:13" x14ac:dyDescent="0.3">
      <c r="A713" s="5" t="s">
        <v>3342</v>
      </c>
      <c r="B713" s="5" t="s">
        <v>862</v>
      </c>
      <c r="C713" s="5" t="s">
        <v>2604</v>
      </c>
      <c r="D713" s="6">
        <v>45772</v>
      </c>
      <c r="E713" s="6">
        <v>45778</v>
      </c>
      <c r="F713" s="6">
        <v>45780</v>
      </c>
      <c r="G713" s="5" t="s">
        <v>2633</v>
      </c>
      <c r="H713" s="5">
        <v>12</v>
      </c>
      <c r="I713" s="5">
        <f>IFERROR(INDEX(Raw_Orders!H713:H3141,MATCH(B713,Raw_Orders!A713:A3141,0)),0)</f>
        <v>12</v>
      </c>
      <c r="J713" s="5" t="str">
        <f t="shared" si="44"/>
        <v>No</v>
      </c>
      <c r="K713" s="5" t="str">
        <f t="shared" si="45"/>
        <v>Yes</v>
      </c>
      <c r="L713" s="5" t="str">
        <f t="shared" si="47"/>
        <v>No</v>
      </c>
      <c r="M713" s="5">
        <f t="shared" si="46"/>
        <v>0</v>
      </c>
    </row>
    <row r="714" spans="1:13" x14ac:dyDescent="0.3">
      <c r="A714" s="2" t="s">
        <v>3343</v>
      </c>
      <c r="B714" s="2" t="s">
        <v>863</v>
      </c>
      <c r="C714" s="2" t="s">
        <v>2616</v>
      </c>
      <c r="D714" s="3">
        <v>45772</v>
      </c>
      <c r="E714" s="3">
        <v>45780</v>
      </c>
      <c r="F714" s="3">
        <v>45786</v>
      </c>
      <c r="G714" s="2" t="s">
        <v>2641</v>
      </c>
      <c r="H714" s="2">
        <v>23</v>
      </c>
      <c r="I714" s="2">
        <f>IFERROR(INDEX(Raw_Orders!H714:H3142,MATCH(B714,Raw_Orders!A714:A3142,0)),0)</f>
        <v>23</v>
      </c>
      <c r="J714" s="2" t="str">
        <f t="shared" si="44"/>
        <v>No</v>
      </c>
      <c r="K714" s="2" t="str">
        <f t="shared" si="45"/>
        <v>Yes</v>
      </c>
      <c r="L714" s="2" t="str">
        <f t="shared" si="47"/>
        <v>No</v>
      </c>
      <c r="M714" s="2">
        <f t="shared" si="46"/>
        <v>0</v>
      </c>
    </row>
    <row r="715" spans="1:13" x14ac:dyDescent="0.3">
      <c r="A715" s="5" t="s">
        <v>3344</v>
      </c>
      <c r="B715" s="5" t="s">
        <v>864</v>
      </c>
      <c r="C715" s="5" t="s">
        <v>2606</v>
      </c>
      <c r="D715" s="6">
        <v>45774</v>
      </c>
      <c r="E715" s="6">
        <v>45775</v>
      </c>
      <c r="F715" s="6">
        <v>45780</v>
      </c>
      <c r="G715" s="5" t="s">
        <v>2641</v>
      </c>
      <c r="H715" s="5">
        <v>57</v>
      </c>
      <c r="I715" s="5">
        <f>IFERROR(INDEX(Raw_Orders!H715:H3143,MATCH(B715,Raw_Orders!A715:A3143,0)),0)</f>
        <v>57</v>
      </c>
      <c r="J715" s="5" t="str">
        <f t="shared" si="44"/>
        <v>No</v>
      </c>
      <c r="K715" s="5" t="str">
        <f t="shared" si="45"/>
        <v>Yes</v>
      </c>
      <c r="L715" s="5" t="str">
        <f t="shared" si="47"/>
        <v>No</v>
      </c>
      <c r="M715" s="5">
        <f t="shared" si="46"/>
        <v>0</v>
      </c>
    </row>
    <row r="716" spans="1:13" x14ac:dyDescent="0.3">
      <c r="A716" s="2" t="s">
        <v>3345</v>
      </c>
      <c r="B716" s="2" t="s">
        <v>865</v>
      </c>
      <c r="C716" s="2" t="s">
        <v>2611</v>
      </c>
      <c r="D716" s="3">
        <v>45773</v>
      </c>
      <c r="E716" s="3">
        <v>45778</v>
      </c>
      <c r="F716" s="3">
        <v>45782</v>
      </c>
      <c r="G716" s="2" t="s">
        <v>2631</v>
      </c>
      <c r="H716" s="2">
        <v>7</v>
      </c>
      <c r="I716" s="2">
        <f>IFERROR(INDEX(Raw_Orders!H716:H3144,MATCH(B716,Raw_Orders!A716:A3144,0)),0)</f>
        <v>10</v>
      </c>
      <c r="J716" s="2" t="str">
        <f t="shared" si="44"/>
        <v>No</v>
      </c>
      <c r="K716" s="2" t="str">
        <f t="shared" si="45"/>
        <v>N0</v>
      </c>
      <c r="L716" s="2" t="str">
        <f t="shared" si="47"/>
        <v>No</v>
      </c>
      <c r="M716" s="2">
        <f t="shared" si="46"/>
        <v>0</v>
      </c>
    </row>
    <row r="717" spans="1:13" x14ac:dyDescent="0.3">
      <c r="A717" s="5" t="s">
        <v>3346</v>
      </c>
      <c r="B717" s="5" t="s">
        <v>866</v>
      </c>
      <c r="C717" s="5" t="s">
        <v>2611</v>
      </c>
      <c r="D717" s="6">
        <v>45773</v>
      </c>
      <c r="E717" s="6">
        <v>45780</v>
      </c>
      <c r="F717" s="6">
        <v>45780</v>
      </c>
      <c r="G717" s="5" t="s">
        <v>2631</v>
      </c>
      <c r="H717" s="5">
        <v>13</v>
      </c>
      <c r="I717" s="5">
        <f>IFERROR(INDEX(Raw_Orders!H717:H3145,MATCH(B717,Raw_Orders!A717:A3145,0)),0)</f>
        <v>19</v>
      </c>
      <c r="J717" s="5" t="str">
        <f t="shared" si="44"/>
        <v>Yes</v>
      </c>
      <c r="K717" s="5" t="str">
        <f t="shared" si="45"/>
        <v>N0</v>
      </c>
      <c r="L717" s="5" t="str">
        <f t="shared" si="47"/>
        <v>No</v>
      </c>
      <c r="M717" s="5">
        <f t="shared" si="46"/>
        <v>0</v>
      </c>
    </row>
    <row r="718" spans="1:13" x14ac:dyDescent="0.3">
      <c r="A718" s="2" t="s">
        <v>3347</v>
      </c>
      <c r="B718" s="2" t="s">
        <v>867</v>
      </c>
      <c r="C718" s="2" t="s">
        <v>2616</v>
      </c>
      <c r="D718" s="3">
        <v>45775</v>
      </c>
      <c r="E718" s="3">
        <v>45777</v>
      </c>
      <c r="F718" s="3">
        <v>45792</v>
      </c>
      <c r="G718" s="2" t="s">
        <v>2641</v>
      </c>
      <c r="H718" s="2">
        <v>15</v>
      </c>
      <c r="I718" s="2">
        <f>IFERROR(INDEX(Raw_Orders!H718:H3146,MATCH(B718,Raw_Orders!A718:A3146,0)),0)</f>
        <v>15</v>
      </c>
      <c r="J718" s="2" t="str">
        <f t="shared" si="44"/>
        <v>No</v>
      </c>
      <c r="K718" s="2" t="str">
        <f t="shared" si="45"/>
        <v>Yes</v>
      </c>
      <c r="L718" s="2" t="str">
        <f t="shared" si="47"/>
        <v>No</v>
      </c>
      <c r="M718" s="2">
        <f t="shared" si="46"/>
        <v>0</v>
      </c>
    </row>
    <row r="719" spans="1:13" x14ac:dyDescent="0.3">
      <c r="A719" s="5" t="s">
        <v>3348</v>
      </c>
      <c r="B719" s="5" t="s">
        <v>868</v>
      </c>
      <c r="C719" s="5" t="s">
        <v>2606</v>
      </c>
      <c r="D719" s="6">
        <v>45773</v>
      </c>
      <c r="E719" s="6">
        <v>45783</v>
      </c>
      <c r="F719" s="6">
        <v>45779</v>
      </c>
      <c r="G719" s="5" t="s">
        <v>2629</v>
      </c>
      <c r="H719" s="5">
        <v>30</v>
      </c>
      <c r="I719" s="5">
        <f>IFERROR(INDEX(Raw_Orders!H719:H3147,MATCH(B719,Raw_Orders!A719:A3147,0)),0)</f>
        <v>30</v>
      </c>
      <c r="J719" s="5" t="str">
        <f t="shared" si="44"/>
        <v>Yes</v>
      </c>
      <c r="K719" s="5" t="str">
        <f t="shared" si="45"/>
        <v>Yes</v>
      </c>
      <c r="L719" s="5" t="str">
        <f t="shared" si="47"/>
        <v>Yes</v>
      </c>
      <c r="M719" s="5">
        <f t="shared" si="46"/>
        <v>1</v>
      </c>
    </row>
    <row r="720" spans="1:13" x14ac:dyDescent="0.3">
      <c r="A720" s="2" t="s">
        <v>3349</v>
      </c>
      <c r="B720" s="2" t="s">
        <v>869</v>
      </c>
      <c r="C720" s="2" t="s">
        <v>2606</v>
      </c>
      <c r="D720" s="3">
        <v>45775</v>
      </c>
      <c r="E720" s="3">
        <v>45777</v>
      </c>
      <c r="F720" s="3">
        <v>45782</v>
      </c>
      <c r="G720" s="2" t="s">
        <v>2631</v>
      </c>
      <c r="H720" s="2">
        <v>23</v>
      </c>
      <c r="I720" s="2">
        <f>IFERROR(INDEX(Raw_Orders!H720:H3148,MATCH(B720,Raw_Orders!A720:A3148,0)),0)</f>
        <v>23</v>
      </c>
      <c r="J720" s="2" t="str">
        <f t="shared" si="44"/>
        <v>No</v>
      </c>
      <c r="K720" s="2" t="str">
        <f t="shared" si="45"/>
        <v>Yes</v>
      </c>
      <c r="L720" s="2" t="str">
        <f t="shared" si="47"/>
        <v>No</v>
      </c>
      <c r="M720" s="2">
        <f t="shared" si="46"/>
        <v>0</v>
      </c>
    </row>
    <row r="721" spans="1:13" x14ac:dyDescent="0.3">
      <c r="A721" s="5" t="s">
        <v>3350</v>
      </c>
      <c r="B721" s="5" t="s">
        <v>870</v>
      </c>
      <c r="C721" s="5" t="s">
        <v>2608</v>
      </c>
      <c r="D721" s="6">
        <v>45773</v>
      </c>
      <c r="E721" s="6">
        <v>45776</v>
      </c>
      <c r="F721" s="6">
        <v>45786</v>
      </c>
      <c r="G721" s="5" t="s">
        <v>2629</v>
      </c>
      <c r="H721" s="5">
        <v>22</v>
      </c>
      <c r="I721" s="5">
        <f>IFERROR(INDEX(Raw_Orders!H721:H3149,MATCH(B721,Raw_Orders!A721:A3149,0)),0)</f>
        <v>22</v>
      </c>
      <c r="J721" s="5" t="str">
        <f t="shared" si="44"/>
        <v>No</v>
      </c>
      <c r="K721" s="5" t="str">
        <f t="shared" si="45"/>
        <v>Yes</v>
      </c>
      <c r="L721" s="5" t="str">
        <f t="shared" si="47"/>
        <v>No</v>
      </c>
      <c r="M721" s="5">
        <f t="shared" si="46"/>
        <v>0</v>
      </c>
    </row>
    <row r="722" spans="1:13" x14ac:dyDescent="0.3">
      <c r="A722" s="2" t="s">
        <v>3351</v>
      </c>
      <c r="B722" s="2" t="s">
        <v>871</v>
      </c>
      <c r="C722" s="2" t="s">
        <v>2608</v>
      </c>
      <c r="D722" s="3">
        <v>45774</v>
      </c>
      <c r="E722" s="3">
        <v>45783</v>
      </c>
      <c r="F722" s="3">
        <v>45787</v>
      </c>
      <c r="G722" s="2" t="s">
        <v>2629</v>
      </c>
      <c r="H722" s="2">
        <v>1</v>
      </c>
      <c r="I722" s="2">
        <f>IFERROR(INDEX(Raw_Orders!H722:H3150,MATCH(B722,Raw_Orders!A722:A3150,0)),0)</f>
        <v>3</v>
      </c>
      <c r="J722" s="2" t="str">
        <f t="shared" si="44"/>
        <v>No</v>
      </c>
      <c r="K722" s="2" t="str">
        <f t="shared" si="45"/>
        <v>N0</v>
      </c>
      <c r="L722" s="2" t="str">
        <f t="shared" si="47"/>
        <v>No</v>
      </c>
      <c r="M722" s="2">
        <f t="shared" si="46"/>
        <v>0</v>
      </c>
    </row>
    <row r="723" spans="1:13" x14ac:dyDescent="0.3">
      <c r="A723" s="5" t="s">
        <v>3352</v>
      </c>
      <c r="B723" s="5" t="s">
        <v>872</v>
      </c>
      <c r="C723" s="5" t="s">
        <v>2598</v>
      </c>
      <c r="D723" s="6">
        <v>45776</v>
      </c>
      <c r="E723" s="6">
        <v>45780</v>
      </c>
      <c r="F723" s="6">
        <v>45789</v>
      </c>
      <c r="G723" s="5" t="s">
        <v>2629</v>
      </c>
      <c r="H723" s="5">
        <v>24</v>
      </c>
      <c r="I723" s="5">
        <f>IFERROR(INDEX(Raw_Orders!H723:H3151,MATCH(B723,Raw_Orders!A723:A3151,0)),0)</f>
        <v>24</v>
      </c>
      <c r="J723" s="5" t="str">
        <f t="shared" si="44"/>
        <v>No</v>
      </c>
      <c r="K723" s="5" t="str">
        <f t="shared" si="45"/>
        <v>Yes</v>
      </c>
      <c r="L723" s="5" t="str">
        <f t="shared" si="47"/>
        <v>No</v>
      </c>
      <c r="M723" s="5">
        <f t="shared" si="46"/>
        <v>0</v>
      </c>
    </row>
    <row r="724" spans="1:13" x14ac:dyDescent="0.3">
      <c r="A724" s="2" t="s">
        <v>3353</v>
      </c>
      <c r="B724" s="2" t="s">
        <v>873</v>
      </c>
      <c r="C724" s="2" t="s">
        <v>2611</v>
      </c>
      <c r="D724" s="3">
        <v>45774</v>
      </c>
      <c r="E724" s="3">
        <v>45778</v>
      </c>
      <c r="F724" s="3">
        <v>45780</v>
      </c>
      <c r="G724" s="2" t="s">
        <v>2629</v>
      </c>
      <c r="H724" s="2">
        <v>25</v>
      </c>
      <c r="I724" s="2">
        <f>IFERROR(INDEX(Raw_Orders!H724:H3152,MATCH(B724,Raw_Orders!A724:A3152,0)),0)</f>
        <v>25</v>
      </c>
      <c r="J724" s="2" t="str">
        <f t="shared" si="44"/>
        <v>No</v>
      </c>
      <c r="K724" s="2" t="str">
        <f t="shared" si="45"/>
        <v>Yes</v>
      </c>
      <c r="L724" s="2" t="str">
        <f t="shared" si="47"/>
        <v>No</v>
      </c>
      <c r="M724" s="2">
        <f t="shared" si="46"/>
        <v>0</v>
      </c>
    </row>
    <row r="725" spans="1:13" x14ac:dyDescent="0.3">
      <c r="A725" s="5" t="s">
        <v>3354</v>
      </c>
      <c r="B725" s="5" t="s">
        <v>874</v>
      </c>
      <c r="C725" s="5" t="s">
        <v>2598</v>
      </c>
      <c r="D725" s="6">
        <v>45776</v>
      </c>
      <c r="E725" s="6">
        <v>45783</v>
      </c>
      <c r="F725" s="6">
        <v>45789</v>
      </c>
      <c r="G725" s="5" t="s">
        <v>2629</v>
      </c>
      <c r="H725" s="5">
        <v>27</v>
      </c>
      <c r="I725" s="5">
        <f>IFERROR(INDEX(Raw_Orders!H725:H3153,MATCH(B725,Raw_Orders!A725:A3153,0)),0)</f>
        <v>27</v>
      </c>
      <c r="J725" s="5" t="str">
        <f t="shared" si="44"/>
        <v>No</v>
      </c>
      <c r="K725" s="5" t="str">
        <f t="shared" si="45"/>
        <v>Yes</v>
      </c>
      <c r="L725" s="5" t="str">
        <f t="shared" si="47"/>
        <v>No</v>
      </c>
      <c r="M725" s="5">
        <f t="shared" si="46"/>
        <v>0</v>
      </c>
    </row>
    <row r="726" spans="1:13" x14ac:dyDescent="0.3">
      <c r="A726" s="2" t="s">
        <v>3355</v>
      </c>
      <c r="B726" s="2" t="s">
        <v>875</v>
      </c>
      <c r="C726" s="2" t="s">
        <v>2601</v>
      </c>
      <c r="D726" s="3">
        <v>45776</v>
      </c>
      <c r="E726" s="3">
        <v>45781</v>
      </c>
      <c r="F726" s="3">
        <v>45785</v>
      </c>
      <c r="G726" s="2" t="s">
        <v>2629</v>
      </c>
      <c r="H726" s="2">
        <v>26</v>
      </c>
      <c r="I726" s="2">
        <f>IFERROR(INDEX(Raw_Orders!H726:H3154,MATCH(B726,Raw_Orders!A726:A3154,0)),0)</f>
        <v>30</v>
      </c>
      <c r="J726" s="2" t="str">
        <f t="shared" si="44"/>
        <v>No</v>
      </c>
      <c r="K726" s="2" t="str">
        <f t="shared" si="45"/>
        <v>N0</v>
      </c>
      <c r="L726" s="2" t="str">
        <f t="shared" si="47"/>
        <v>No</v>
      </c>
      <c r="M726" s="2">
        <f t="shared" si="46"/>
        <v>0</v>
      </c>
    </row>
    <row r="727" spans="1:13" x14ac:dyDescent="0.3">
      <c r="A727" s="5" t="s">
        <v>3356</v>
      </c>
      <c r="B727" s="5" t="s">
        <v>876</v>
      </c>
      <c r="C727" s="5" t="s">
        <v>2604</v>
      </c>
      <c r="D727" s="6">
        <v>45774</v>
      </c>
      <c r="E727" s="6">
        <v>45780</v>
      </c>
      <c r="F727" s="6">
        <v>45777</v>
      </c>
      <c r="G727" s="5" t="s">
        <v>2641</v>
      </c>
      <c r="H727" s="5">
        <v>14</v>
      </c>
      <c r="I727" s="5">
        <f>IFERROR(INDEX(Raw_Orders!H727:H3155,MATCH(B727,Raw_Orders!A727:A3155,0)),0)</f>
        <v>14</v>
      </c>
      <c r="J727" s="5" t="str">
        <f t="shared" si="44"/>
        <v>Yes</v>
      </c>
      <c r="K727" s="5" t="str">
        <f t="shared" si="45"/>
        <v>Yes</v>
      </c>
      <c r="L727" s="5" t="str">
        <f t="shared" si="47"/>
        <v>Yes</v>
      </c>
      <c r="M727" s="5">
        <f t="shared" si="46"/>
        <v>1</v>
      </c>
    </row>
    <row r="728" spans="1:13" x14ac:dyDescent="0.3">
      <c r="A728" s="2" t="s">
        <v>3357</v>
      </c>
      <c r="B728" s="2" t="s">
        <v>877</v>
      </c>
      <c r="C728" s="2" t="s">
        <v>2616</v>
      </c>
      <c r="D728" s="3">
        <v>45774</v>
      </c>
      <c r="E728" s="3">
        <v>45779</v>
      </c>
      <c r="F728" s="3">
        <v>45789</v>
      </c>
      <c r="G728" s="2" t="s">
        <v>2631</v>
      </c>
      <c r="H728" s="2">
        <v>29</v>
      </c>
      <c r="I728" s="2">
        <f>IFERROR(INDEX(Raw_Orders!H728:H3156,MATCH(B728,Raw_Orders!A728:A3156,0)),0)</f>
        <v>29</v>
      </c>
      <c r="J728" s="2" t="str">
        <f t="shared" si="44"/>
        <v>No</v>
      </c>
      <c r="K728" s="2" t="str">
        <f t="shared" si="45"/>
        <v>Yes</v>
      </c>
      <c r="L728" s="2" t="str">
        <f t="shared" si="47"/>
        <v>No</v>
      </c>
      <c r="M728" s="2">
        <f t="shared" si="46"/>
        <v>0</v>
      </c>
    </row>
    <row r="729" spans="1:13" x14ac:dyDescent="0.3">
      <c r="A729" s="5" t="s">
        <v>3358</v>
      </c>
      <c r="B729" s="5" t="s">
        <v>878</v>
      </c>
      <c r="C729" s="5" t="s">
        <v>2608</v>
      </c>
      <c r="D729" s="6">
        <v>45776</v>
      </c>
      <c r="E729" s="6">
        <v>45778</v>
      </c>
      <c r="F729" s="6">
        <v>45791</v>
      </c>
      <c r="G729" s="5" t="s">
        <v>2641</v>
      </c>
      <c r="H729" s="5">
        <v>6</v>
      </c>
      <c r="I729" s="5">
        <f>IFERROR(INDEX(Raw_Orders!H729:H3157,MATCH(B729,Raw_Orders!A729:A3157,0)),0)</f>
        <v>6</v>
      </c>
      <c r="J729" s="5" t="str">
        <f t="shared" si="44"/>
        <v>No</v>
      </c>
      <c r="K729" s="5" t="str">
        <f t="shared" si="45"/>
        <v>Yes</v>
      </c>
      <c r="L729" s="5" t="str">
        <f t="shared" si="47"/>
        <v>No</v>
      </c>
      <c r="M729" s="5">
        <f t="shared" si="46"/>
        <v>0</v>
      </c>
    </row>
    <row r="730" spans="1:13" x14ac:dyDescent="0.3">
      <c r="A730" s="2" t="s">
        <v>3359</v>
      </c>
      <c r="B730" s="2" t="s">
        <v>879</v>
      </c>
      <c r="C730" s="2" t="s">
        <v>2606</v>
      </c>
      <c r="D730" s="3">
        <v>45776</v>
      </c>
      <c r="E730" s="3">
        <v>45783</v>
      </c>
      <c r="F730" s="3">
        <v>45784</v>
      </c>
      <c r="G730" s="2" t="s">
        <v>2629</v>
      </c>
      <c r="H730" s="2">
        <v>21</v>
      </c>
      <c r="I730" s="2">
        <f>IFERROR(INDEX(Raw_Orders!H730:H3158,MATCH(B730,Raw_Orders!A730:A3158,0)),0)</f>
        <v>21</v>
      </c>
      <c r="J730" s="2" t="str">
        <f t="shared" si="44"/>
        <v>No</v>
      </c>
      <c r="K730" s="2" t="str">
        <f t="shared" si="45"/>
        <v>Yes</v>
      </c>
      <c r="L730" s="2" t="str">
        <f t="shared" si="47"/>
        <v>No</v>
      </c>
      <c r="M730" s="2">
        <f t="shared" si="46"/>
        <v>0</v>
      </c>
    </row>
    <row r="731" spans="1:13" x14ac:dyDescent="0.3">
      <c r="A731" s="5" t="s">
        <v>3360</v>
      </c>
      <c r="B731" s="5" t="s">
        <v>880</v>
      </c>
      <c r="C731" s="5" t="s">
        <v>2606</v>
      </c>
      <c r="D731" s="6">
        <v>45777</v>
      </c>
      <c r="E731" s="6">
        <v>45782</v>
      </c>
      <c r="F731" s="6">
        <v>45787</v>
      </c>
      <c r="G731" s="5" t="s">
        <v>2629</v>
      </c>
      <c r="H731" s="5">
        <v>13</v>
      </c>
      <c r="I731" s="5">
        <f>IFERROR(INDEX(Raw_Orders!H731:H3159,MATCH(B731,Raw_Orders!A731:A3159,0)),0)</f>
        <v>13</v>
      </c>
      <c r="J731" s="5" t="str">
        <f t="shared" si="44"/>
        <v>No</v>
      </c>
      <c r="K731" s="5" t="str">
        <f t="shared" si="45"/>
        <v>Yes</v>
      </c>
      <c r="L731" s="5" t="str">
        <f t="shared" si="47"/>
        <v>No</v>
      </c>
      <c r="M731" s="5">
        <f t="shared" si="46"/>
        <v>0</v>
      </c>
    </row>
    <row r="732" spans="1:13" x14ac:dyDescent="0.3">
      <c r="A732" s="2" t="s">
        <v>3361</v>
      </c>
      <c r="B732" s="2" t="s">
        <v>881</v>
      </c>
      <c r="C732" s="2" t="s">
        <v>2608</v>
      </c>
      <c r="D732" s="3">
        <v>45775</v>
      </c>
      <c r="E732" s="3">
        <v>45782</v>
      </c>
      <c r="F732" s="3">
        <v>45788</v>
      </c>
      <c r="G732" s="2" t="s">
        <v>2627</v>
      </c>
      <c r="H732" s="2">
        <v>14</v>
      </c>
      <c r="I732" s="2">
        <f>IFERROR(INDEX(Raw_Orders!H732:H3160,MATCH(B732,Raw_Orders!A732:A3160,0)),0)</f>
        <v>14</v>
      </c>
      <c r="J732" s="2" t="str">
        <f t="shared" si="44"/>
        <v>No</v>
      </c>
      <c r="K732" s="2" t="str">
        <f t="shared" si="45"/>
        <v>Yes</v>
      </c>
      <c r="L732" s="2" t="str">
        <f t="shared" si="47"/>
        <v>No</v>
      </c>
      <c r="M732" s="2">
        <f t="shared" si="46"/>
        <v>0</v>
      </c>
    </row>
    <row r="733" spans="1:13" x14ac:dyDescent="0.3">
      <c r="A733" s="5" t="s">
        <v>3362</v>
      </c>
      <c r="B733" s="5" t="s">
        <v>882</v>
      </c>
      <c r="C733" s="5" t="s">
        <v>2598</v>
      </c>
      <c r="D733" s="6">
        <v>45776</v>
      </c>
      <c r="E733" s="6">
        <v>45783</v>
      </c>
      <c r="F733" s="6">
        <v>45789</v>
      </c>
      <c r="G733" s="5" t="s">
        <v>2641</v>
      </c>
      <c r="H733" s="5">
        <v>44</v>
      </c>
      <c r="I733" s="5">
        <f>IFERROR(INDEX(Raw_Orders!H733:H3161,MATCH(B733,Raw_Orders!A733:A3161,0)),0)</f>
        <v>44</v>
      </c>
      <c r="J733" s="5" t="str">
        <f t="shared" si="44"/>
        <v>No</v>
      </c>
      <c r="K733" s="5" t="str">
        <f t="shared" si="45"/>
        <v>Yes</v>
      </c>
      <c r="L733" s="5" t="str">
        <f t="shared" si="47"/>
        <v>No</v>
      </c>
      <c r="M733" s="5">
        <f t="shared" si="46"/>
        <v>0</v>
      </c>
    </row>
    <row r="734" spans="1:13" x14ac:dyDescent="0.3">
      <c r="A734" s="2" t="s">
        <v>3363</v>
      </c>
      <c r="B734" s="2" t="s">
        <v>883</v>
      </c>
      <c r="C734" s="2" t="s">
        <v>2598</v>
      </c>
      <c r="D734" s="3">
        <v>45776</v>
      </c>
      <c r="E734" s="3">
        <v>45783</v>
      </c>
      <c r="F734" s="3">
        <v>45789</v>
      </c>
      <c r="G734" s="2" t="s">
        <v>2631</v>
      </c>
      <c r="H734" s="2">
        <v>43</v>
      </c>
      <c r="I734" s="2">
        <f>IFERROR(INDEX(Raw_Orders!H734:H3162,MATCH(B734,Raw_Orders!A734:A3162,0)),0)</f>
        <v>43</v>
      </c>
      <c r="J734" s="2" t="str">
        <f t="shared" si="44"/>
        <v>No</v>
      </c>
      <c r="K734" s="2" t="str">
        <f t="shared" si="45"/>
        <v>Yes</v>
      </c>
      <c r="L734" s="2" t="str">
        <f t="shared" si="47"/>
        <v>No</v>
      </c>
      <c r="M734" s="2">
        <f t="shared" si="46"/>
        <v>0</v>
      </c>
    </row>
    <row r="735" spans="1:13" x14ac:dyDescent="0.3">
      <c r="A735" s="5" t="s">
        <v>3364</v>
      </c>
      <c r="B735" s="5" t="s">
        <v>884</v>
      </c>
      <c r="C735" s="5" t="s">
        <v>2601</v>
      </c>
      <c r="D735" s="6">
        <v>45778</v>
      </c>
      <c r="E735" s="6">
        <v>45786</v>
      </c>
      <c r="F735" s="6">
        <v>45782</v>
      </c>
      <c r="G735" s="5" t="s">
        <v>2627</v>
      </c>
      <c r="H735" s="5">
        <v>7</v>
      </c>
      <c r="I735" s="5">
        <f>IFERROR(INDEX(Raw_Orders!H735:H3163,MATCH(B735,Raw_Orders!A735:A3163,0)),0)</f>
        <v>7</v>
      </c>
      <c r="J735" s="5" t="str">
        <f t="shared" si="44"/>
        <v>Yes</v>
      </c>
      <c r="K735" s="5" t="str">
        <f t="shared" si="45"/>
        <v>Yes</v>
      </c>
      <c r="L735" s="5" t="str">
        <f t="shared" si="47"/>
        <v>Yes</v>
      </c>
      <c r="M735" s="5">
        <f t="shared" si="46"/>
        <v>1</v>
      </c>
    </row>
    <row r="736" spans="1:13" x14ac:dyDescent="0.3">
      <c r="A736" s="2" t="s">
        <v>3365</v>
      </c>
      <c r="B736" s="2" t="s">
        <v>885</v>
      </c>
      <c r="C736" s="2" t="s">
        <v>2614</v>
      </c>
      <c r="D736" s="3">
        <v>45776</v>
      </c>
      <c r="E736" s="3">
        <v>45782</v>
      </c>
      <c r="F736" s="3">
        <v>45790</v>
      </c>
      <c r="G736" s="2" t="s">
        <v>2631</v>
      </c>
      <c r="H736" s="2">
        <v>19</v>
      </c>
      <c r="I736" s="2">
        <f>IFERROR(INDEX(Raw_Orders!H736:H3164,MATCH(B736,Raw_Orders!A736:A3164,0)),0)</f>
        <v>19</v>
      </c>
      <c r="J736" s="2" t="str">
        <f t="shared" si="44"/>
        <v>No</v>
      </c>
      <c r="K736" s="2" t="str">
        <f t="shared" si="45"/>
        <v>Yes</v>
      </c>
      <c r="L736" s="2" t="str">
        <f t="shared" si="47"/>
        <v>No</v>
      </c>
      <c r="M736" s="2">
        <f t="shared" si="46"/>
        <v>0</v>
      </c>
    </row>
    <row r="737" spans="1:13" x14ac:dyDescent="0.3">
      <c r="A737" s="5" t="s">
        <v>3366</v>
      </c>
      <c r="B737" s="5" t="s">
        <v>886</v>
      </c>
      <c r="C737" s="5" t="s">
        <v>2601</v>
      </c>
      <c r="D737" s="6">
        <v>45778</v>
      </c>
      <c r="E737" s="6">
        <v>45785</v>
      </c>
      <c r="F737" s="6">
        <v>45787</v>
      </c>
      <c r="G737" s="5" t="s">
        <v>2641</v>
      </c>
      <c r="H737" s="5">
        <v>18</v>
      </c>
      <c r="I737" s="5">
        <f>IFERROR(INDEX(Raw_Orders!H737:H3165,MATCH(B737,Raw_Orders!A737:A3165,0)),0)</f>
        <v>18</v>
      </c>
      <c r="J737" s="5" t="str">
        <f t="shared" si="44"/>
        <v>No</v>
      </c>
      <c r="K737" s="5" t="str">
        <f t="shared" si="45"/>
        <v>Yes</v>
      </c>
      <c r="L737" s="5" t="str">
        <f t="shared" si="47"/>
        <v>No</v>
      </c>
      <c r="M737" s="5">
        <f t="shared" si="46"/>
        <v>0</v>
      </c>
    </row>
    <row r="738" spans="1:13" x14ac:dyDescent="0.3">
      <c r="A738" s="2" t="s">
        <v>3367</v>
      </c>
      <c r="B738" s="2" t="s">
        <v>887</v>
      </c>
      <c r="C738" s="2" t="s">
        <v>2606</v>
      </c>
      <c r="D738" s="3">
        <v>45778</v>
      </c>
      <c r="E738" s="3">
        <v>45780</v>
      </c>
      <c r="F738" s="3">
        <v>45784</v>
      </c>
      <c r="G738" s="2" t="s">
        <v>2629</v>
      </c>
      <c r="H738" s="2">
        <v>47</v>
      </c>
      <c r="I738" s="2">
        <f>IFERROR(INDEX(Raw_Orders!H738:H3166,MATCH(B738,Raw_Orders!A738:A3166,0)),0)</f>
        <v>47</v>
      </c>
      <c r="J738" s="2" t="str">
        <f t="shared" si="44"/>
        <v>No</v>
      </c>
      <c r="K738" s="2" t="str">
        <f t="shared" si="45"/>
        <v>Yes</v>
      </c>
      <c r="L738" s="2" t="str">
        <f t="shared" si="47"/>
        <v>No</v>
      </c>
      <c r="M738" s="2">
        <f t="shared" si="46"/>
        <v>0</v>
      </c>
    </row>
    <row r="739" spans="1:13" x14ac:dyDescent="0.3">
      <c r="A739" s="5" t="s">
        <v>3368</v>
      </c>
      <c r="B739" s="5" t="s">
        <v>888</v>
      </c>
      <c r="C739" s="5" t="s">
        <v>2606</v>
      </c>
      <c r="D739" s="6">
        <v>45778</v>
      </c>
      <c r="E739" s="6">
        <v>45785</v>
      </c>
      <c r="F739" s="6">
        <v>45784</v>
      </c>
      <c r="G739" s="5" t="s">
        <v>2633</v>
      </c>
      <c r="H739" s="5">
        <v>20</v>
      </c>
      <c r="I739" s="5">
        <f>IFERROR(INDEX(Raw_Orders!H739:H3167,MATCH(B739,Raw_Orders!A739:A3167,0)),0)</f>
        <v>20</v>
      </c>
      <c r="J739" s="5" t="str">
        <f t="shared" si="44"/>
        <v>Yes</v>
      </c>
      <c r="K739" s="5" t="str">
        <f t="shared" si="45"/>
        <v>Yes</v>
      </c>
      <c r="L739" s="5" t="str">
        <f t="shared" si="47"/>
        <v>Yes</v>
      </c>
      <c r="M739" s="5">
        <f t="shared" si="46"/>
        <v>1</v>
      </c>
    </row>
    <row r="740" spans="1:13" x14ac:dyDescent="0.3">
      <c r="A740" s="2" t="s">
        <v>3369</v>
      </c>
      <c r="B740" s="2" t="s">
        <v>889</v>
      </c>
      <c r="C740" s="2" t="s">
        <v>2608</v>
      </c>
      <c r="D740" s="3">
        <v>45776</v>
      </c>
      <c r="E740" s="3">
        <v>45780</v>
      </c>
      <c r="F740" s="3">
        <v>45793</v>
      </c>
      <c r="G740" s="2" t="s">
        <v>2629</v>
      </c>
      <c r="H740" s="2">
        <v>33</v>
      </c>
      <c r="I740" s="2">
        <f>IFERROR(INDEX(Raw_Orders!H740:H3168,MATCH(B740,Raw_Orders!A740:A3168,0)),0)</f>
        <v>33</v>
      </c>
      <c r="J740" s="2" t="str">
        <f t="shared" si="44"/>
        <v>No</v>
      </c>
      <c r="K740" s="2" t="str">
        <f t="shared" si="45"/>
        <v>Yes</v>
      </c>
      <c r="L740" s="2" t="str">
        <f t="shared" si="47"/>
        <v>No</v>
      </c>
      <c r="M740" s="2">
        <f t="shared" si="46"/>
        <v>0</v>
      </c>
    </row>
    <row r="741" spans="1:13" x14ac:dyDescent="0.3">
      <c r="A741" s="5" t="s">
        <v>3370</v>
      </c>
      <c r="B741" s="5" t="s">
        <v>890</v>
      </c>
      <c r="C741" s="5" t="s">
        <v>2601</v>
      </c>
      <c r="D741" s="6">
        <v>45777</v>
      </c>
      <c r="E741" s="6">
        <v>45780</v>
      </c>
      <c r="F741" s="6">
        <v>45786</v>
      </c>
      <c r="G741" s="5" t="s">
        <v>2631</v>
      </c>
      <c r="H741" s="5">
        <v>10</v>
      </c>
      <c r="I741" s="5">
        <f>IFERROR(INDEX(Raw_Orders!H741:H3169,MATCH(B741,Raw_Orders!A741:A3169,0)),0)</f>
        <v>10</v>
      </c>
      <c r="J741" s="5" t="str">
        <f t="shared" si="44"/>
        <v>No</v>
      </c>
      <c r="K741" s="5" t="str">
        <f t="shared" si="45"/>
        <v>Yes</v>
      </c>
      <c r="L741" s="5" t="str">
        <f t="shared" si="47"/>
        <v>No</v>
      </c>
      <c r="M741" s="5">
        <f t="shared" si="46"/>
        <v>0</v>
      </c>
    </row>
    <row r="742" spans="1:13" x14ac:dyDescent="0.3">
      <c r="A742" s="2" t="s">
        <v>3371</v>
      </c>
      <c r="B742" s="2" t="s">
        <v>891</v>
      </c>
      <c r="C742" s="2" t="s">
        <v>2601</v>
      </c>
      <c r="D742" s="3">
        <v>45778</v>
      </c>
      <c r="E742" s="3">
        <v>45786</v>
      </c>
      <c r="F742" s="3">
        <v>45783</v>
      </c>
      <c r="G742" s="2" t="s">
        <v>2629</v>
      </c>
      <c r="H742" s="2">
        <v>25</v>
      </c>
      <c r="I742" s="2">
        <f>IFERROR(INDEX(Raw_Orders!H742:H3170,MATCH(B742,Raw_Orders!A742:A3170,0)),0)</f>
        <v>25</v>
      </c>
      <c r="J742" s="2" t="str">
        <f t="shared" si="44"/>
        <v>Yes</v>
      </c>
      <c r="K742" s="2" t="str">
        <f t="shared" si="45"/>
        <v>Yes</v>
      </c>
      <c r="L742" s="2" t="str">
        <f t="shared" si="47"/>
        <v>Yes</v>
      </c>
      <c r="M742" s="2">
        <f t="shared" si="46"/>
        <v>1</v>
      </c>
    </row>
    <row r="743" spans="1:13" x14ac:dyDescent="0.3">
      <c r="A743" s="5" t="s">
        <v>3372</v>
      </c>
      <c r="B743" s="5" t="s">
        <v>892</v>
      </c>
      <c r="C743" s="5" t="s">
        <v>2614</v>
      </c>
      <c r="D743" s="6">
        <v>45777</v>
      </c>
      <c r="E743" s="6">
        <v>45784</v>
      </c>
      <c r="F743" s="6">
        <v>45795</v>
      </c>
      <c r="G743" s="5" t="s">
        <v>2629</v>
      </c>
      <c r="H743" s="5">
        <v>11</v>
      </c>
      <c r="I743" s="5">
        <f>IFERROR(INDEX(Raw_Orders!H743:H3171,MATCH(B743,Raw_Orders!A743:A3171,0)),0)</f>
        <v>11</v>
      </c>
      <c r="J743" s="5" t="str">
        <f t="shared" si="44"/>
        <v>No</v>
      </c>
      <c r="K743" s="5" t="str">
        <f t="shared" si="45"/>
        <v>Yes</v>
      </c>
      <c r="L743" s="5" t="str">
        <f t="shared" si="47"/>
        <v>No</v>
      </c>
      <c r="M743" s="5">
        <f t="shared" si="46"/>
        <v>0</v>
      </c>
    </row>
    <row r="744" spans="1:13" x14ac:dyDescent="0.3">
      <c r="A744" s="2" t="s">
        <v>3373</v>
      </c>
      <c r="B744" s="2" t="s">
        <v>893</v>
      </c>
      <c r="C744" s="2" t="s">
        <v>2616</v>
      </c>
      <c r="D744" s="3">
        <v>45777</v>
      </c>
      <c r="E744" s="3">
        <v>45780</v>
      </c>
      <c r="F744" s="3">
        <v>45796</v>
      </c>
      <c r="G744" s="2" t="s">
        <v>2627</v>
      </c>
      <c r="H744" s="2">
        <v>19</v>
      </c>
      <c r="I744" s="2">
        <f>IFERROR(INDEX(Raw_Orders!H744:H3172,MATCH(B744,Raw_Orders!A744:A3172,0)),0)</f>
        <v>19</v>
      </c>
      <c r="J744" s="2" t="str">
        <f t="shared" si="44"/>
        <v>No</v>
      </c>
      <c r="K744" s="2" t="str">
        <f t="shared" si="45"/>
        <v>Yes</v>
      </c>
      <c r="L744" s="2" t="str">
        <f t="shared" si="47"/>
        <v>No</v>
      </c>
      <c r="M744" s="2">
        <f t="shared" si="46"/>
        <v>0</v>
      </c>
    </row>
    <row r="745" spans="1:13" x14ac:dyDescent="0.3">
      <c r="A745" s="5" t="s">
        <v>3374</v>
      </c>
      <c r="B745" s="5" t="s">
        <v>894</v>
      </c>
      <c r="C745" s="5" t="s">
        <v>2604</v>
      </c>
      <c r="D745" s="6">
        <v>45779</v>
      </c>
      <c r="E745" s="6">
        <v>45786</v>
      </c>
      <c r="F745" s="6">
        <v>45784</v>
      </c>
      <c r="G745" s="5" t="s">
        <v>2633</v>
      </c>
      <c r="H745" s="5">
        <v>49</v>
      </c>
      <c r="I745" s="5">
        <f>IFERROR(INDEX(Raw_Orders!H745:H3173,MATCH(B745,Raw_Orders!A745:A3173,0)),0)</f>
        <v>49</v>
      </c>
      <c r="J745" s="5" t="str">
        <f t="shared" si="44"/>
        <v>Yes</v>
      </c>
      <c r="K745" s="5" t="str">
        <f t="shared" si="45"/>
        <v>Yes</v>
      </c>
      <c r="L745" s="5" t="str">
        <f t="shared" si="47"/>
        <v>Yes</v>
      </c>
      <c r="M745" s="5">
        <f t="shared" si="46"/>
        <v>1</v>
      </c>
    </row>
    <row r="746" spans="1:13" x14ac:dyDescent="0.3">
      <c r="A746" s="2" t="s">
        <v>3375</v>
      </c>
      <c r="B746" s="2" t="s">
        <v>895</v>
      </c>
      <c r="C746" s="2" t="s">
        <v>2606</v>
      </c>
      <c r="D746" s="3">
        <v>45777</v>
      </c>
      <c r="E746" s="3">
        <v>45787</v>
      </c>
      <c r="F746" s="3">
        <v>45787</v>
      </c>
      <c r="G746" s="2" t="s">
        <v>2629</v>
      </c>
      <c r="H746" s="2">
        <v>49</v>
      </c>
      <c r="I746" s="2">
        <f>IFERROR(INDEX(Raw_Orders!H746:H3174,MATCH(B746,Raw_Orders!A746:A3174,0)),0)</f>
        <v>49</v>
      </c>
      <c r="J746" s="2" t="str">
        <f t="shared" si="44"/>
        <v>Yes</v>
      </c>
      <c r="K746" s="2" t="str">
        <f t="shared" si="45"/>
        <v>Yes</v>
      </c>
      <c r="L746" s="2" t="str">
        <f t="shared" si="47"/>
        <v>Yes</v>
      </c>
      <c r="M746" s="2">
        <f t="shared" si="46"/>
        <v>1</v>
      </c>
    </row>
    <row r="747" spans="1:13" x14ac:dyDescent="0.3">
      <c r="A747" s="5" t="s">
        <v>3376</v>
      </c>
      <c r="B747" s="5" t="s">
        <v>896</v>
      </c>
      <c r="C747" s="5" t="s">
        <v>2608</v>
      </c>
      <c r="D747" s="6">
        <v>45779</v>
      </c>
      <c r="E747" s="6">
        <v>45784</v>
      </c>
      <c r="F747" s="6">
        <v>45796</v>
      </c>
      <c r="G747" s="5" t="s">
        <v>2629</v>
      </c>
      <c r="H747" s="5">
        <v>8</v>
      </c>
      <c r="I747" s="5">
        <f>IFERROR(INDEX(Raw_Orders!H747:H3175,MATCH(B747,Raw_Orders!A747:A3175,0)),0)</f>
        <v>8</v>
      </c>
      <c r="J747" s="5" t="str">
        <f t="shared" si="44"/>
        <v>No</v>
      </c>
      <c r="K747" s="5" t="str">
        <f t="shared" si="45"/>
        <v>Yes</v>
      </c>
      <c r="L747" s="5" t="str">
        <f t="shared" si="47"/>
        <v>No</v>
      </c>
      <c r="M747" s="5">
        <f t="shared" si="46"/>
        <v>0</v>
      </c>
    </row>
    <row r="748" spans="1:13" x14ac:dyDescent="0.3">
      <c r="A748" s="2" t="s">
        <v>3377</v>
      </c>
      <c r="B748" s="2" t="s">
        <v>897</v>
      </c>
      <c r="C748" s="2" t="s">
        <v>2608</v>
      </c>
      <c r="D748" s="3">
        <v>45779</v>
      </c>
      <c r="E748" s="3">
        <v>45786</v>
      </c>
      <c r="F748" s="3">
        <v>45796</v>
      </c>
      <c r="G748" s="2" t="s">
        <v>2627</v>
      </c>
      <c r="H748" s="2">
        <v>10</v>
      </c>
      <c r="I748" s="2">
        <f>IFERROR(INDEX(Raw_Orders!H748:H3176,MATCH(B748,Raw_Orders!A748:A3176,0)),0)</f>
        <v>10</v>
      </c>
      <c r="J748" s="2" t="str">
        <f t="shared" si="44"/>
        <v>No</v>
      </c>
      <c r="K748" s="2" t="str">
        <f t="shared" si="45"/>
        <v>Yes</v>
      </c>
      <c r="L748" s="2" t="str">
        <f t="shared" si="47"/>
        <v>No</v>
      </c>
      <c r="M748" s="2">
        <f t="shared" si="46"/>
        <v>0</v>
      </c>
    </row>
    <row r="749" spans="1:13" x14ac:dyDescent="0.3">
      <c r="A749" s="5" t="s">
        <v>3378</v>
      </c>
      <c r="B749" s="5" t="s">
        <v>898</v>
      </c>
      <c r="C749" s="5" t="s">
        <v>2611</v>
      </c>
      <c r="D749" s="6">
        <v>45778</v>
      </c>
      <c r="E749" s="6">
        <v>45786</v>
      </c>
      <c r="F749" s="6">
        <v>45785</v>
      </c>
      <c r="G749" s="5" t="s">
        <v>2629</v>
      </c>
      <c r="H749" s="5">
        <v>31</v>
      </c>
      <c r="I749" s="5">
        <f>IFERROR(INDEX(Raw_Orders!H749:H3177,MATCH(B749,Raw_Orders!A749:A3177,0)),0)</f>
        <v>31</v>
      </c>
      <c r="J749" s="5" t="str">
        <f t="shared" si="44"/>
        <v>Yes</v>
      </c>
      <c r="K749" s="5" t="str">
        <f t="shared" si="45"/>
        <v>Yes</v>
      </c>
      <c r="L749" s="5" t="str">
        <f t="shared" si="47"/>
        <v>Yes</v>
      </c>
      <c r="M749" s="5">
        <f t="shared" si="46"/>
        <v>1</v>
      </c>
    </row>
    <row r="750" spans="1:13" x14ac:dyDescent="0.3">
      <c r="A750" s="2" t="s">
        <v>3379</v>
      </c>
      <c r="B750" s="2" t="s">
        <v>899</v>
      </c>
      <c r="C750" s="2" t="s">
        <v>2598</v>
      </c>
      <c r="D750" s="3">
        <v>45779</v>
      </c>
      <c r="E750" s="3">
        <v>45788</v>
      </c>
      <c r="F750" s="3">
        <v>45792</v>
      </c>
      <c r="G750" s="2" t="s">
        <v>2633</v>
      </c>
      <c r="H750" s="2">
        <v>22</v>
      </c>
      <c r="I750" s="2">
        <f>IFERROR(INDEX(Raw_Orders!H750:H3178,MATCH(B750,Raw_Orders!A750:A3178,0)),0)</f>
        <v>22</v>
      </c>
      <c r="J750" s="2" t="str">
        <f t="shared" si="44"/>
        <v>No</v>
      </c>
      <c r="K750" s="2" t="str">
        <f t="shared" si="45"/>
        <v>Yes</v>
      </c>
      <c r="L750" s="2" t="str">
        <f t="shared" si="47"/>
        <v>No</v>
      </c>
      <c r="M750" s="2">
        <f t="shared" si="46"/>
        <v>0</v>
      </c>
    </row>
    <row r="751" spans="1:13" x14ac:dyDescent="0.3">
      <c r="A751" s="5" t="s">
        <v>3380</v>
      </c>
      <c r="B751" s="5" t="s">
        <v>900</v>
      </c>
      <c r="C751" s="5" t="s">
        <v>2601</v>
      </c>
      <c r="D751" s="6">
        <v>45780</v>
      </c>
      <c r="E751" s="6">
        <v>45784</v>
      </c>
      <c r="F751" s="6">
        <v>45787</v>
      </c>
      <c r="G751" s="5" t="s">
        <v>2629</v>
      </c>
      <c r="H751" s="5">
        <v>19</v>
      </c>
      <c r="I751" s="5">
        <f>IFERROR(INDEX(Raw_Orders!H751:H3179,MATCH(B751,Raw_Orders!A751:A3179,0)),0)</f>
        <v>21</v>
      </c>
      <c r="J751" s="5" t="str">
        <f t="shared" si="44"/>
        <v>No</v>
      </c>
      <c r="K751" s="5" t="str">
        <f t="shared" si="45"/>
        <v>N0</v>
      </c>
      <c r="L751" s="5" t="str">
        <f t="shared" si="47"/>
        <v>No</v>
      </c>
      <c r="M751" s="5">
        <f t="shared" si="46"/>
        <v>0</v>
      </c>
    </row>
    <row r="752" spans="1:13" x14ac:dyDescent="0.3">
      <c r="A752" s="2" t="s">
        <v>3381</v>
      </c>
      <c r="B752" s="2" t="s">
        <v>901</v>
      </c>
      <c r="C752" s="2" t="s">
        <v>2614</v>
      </c>
      <c r="D752" s="3">
        <v>45778</v>
      </c>
      <c r="E752" s="3">
        <v>45781</v>
      </c>
      <c r="F752" s="3">
        <v>45791</v>
      </c>
      <c r="G752" s="2" t="s">
        <v>2627</v>
      </c>
      <c r="H752" s="2">
        <v>26</v>
      </c>
      <c r="I752" s="2">
        <f>IFERROR(INDEX(Raw_Orders!H752:H3180,MATCH(B752,Raw_Orders!A752:A3180,0)),0)</f>
        <v>26</v>
      </c>
      <c r="J752" s="2" t="str">
        <f t="shared" si="44"/>
        <v>No</v>
      </c>
      <c r="K752" s="2" t="str">
        <f t="shared" si="45"/>
        <v>Yes</v>
      </c>
      <c r="L752" s="2" t="str">
        <f t="shared" si="47"/>
        <v>No</v>
      </c>
      <c r="M752" s="2">
        <f t="shared" si="46"/>
        <v>0</v>
      </c>
    </row>
    <row r="753" spans="1:13" x14ac:dyDescent="0.3">
      <c r="A753" s="5" t="s">
        <v>3382</v>
      </c>
      <c r="B753" s="5" t="s">
        <v>902</v>
      </c>
      <c r="C753" s="5" t="s">
        <v>2616</v>
      </c>
      <c r="D753" s="6">
        <v>45779</v>
      </c>
      <c r="E753" s="6">
        <v>45782</v>
      </c>
      <c r="F753" s="6">
        <v>45794</v>
      </c>
      <c r="G753" s="5" t="s">
        <v>2631</v>
      </c>
      <c r="H753" s="5">
        <v>32</v>
      </c>
      <c r="I753" s="5">
        <f>IFERROR(INDEX(Raw_Orders!H753:H3181,MATCH(B753,Raw_Orders!A753:A3181,0)),0)</f>
        <v>34</v>
      </c>
      <c r="J753" s="5" t="str">
        <f t="shared" si="44"/>
        <v>No</v>
      </c>
      <c r="K753" s="5" t="str">
        <f t="shared" si="45"/>
        <v>N0</v>
      </c>
      <c r="L753" s="5" t="str">
        <f t="shared" si="47"/>
        <v>No</v>
      </c>
      <c r="M753" s="5">
        <f t="shared" si="46"/>
        <v>0</v>
      </c>
    </row>
    <row r="754" spans="1:13" x14ac:dyDescent="0.3">
      <c r="A754" s="2" t="s">
        <v>3383</v>
      </c>
      <c r="B754" s="2" t="s">
        <v>903</v>
      </c>
      <c r="C754" s="2" t="s">
        <v>2606</v>
      </c>
      <c r="D754" s="3">
        <v>45780</v>
      </c>
      <c r="E754" s="3">
        <v>45785</v>
      </c>
      <c r="F754" s="3">
        <v>45786</v>
      </c>
      <c r="G754" s="2" t="s">
        <v>2629</v>
      </c>
      <c r="H754" s="2">
        <v>37</v>
      </c>
      <c r="I754" s="2">
        <f>IFERROR(INDEX(Raw_Orders!H754:H3182,MATCH(B754,Raw_Orders!A754:A3182,0)),0)</f>
        <v>37</v>
      </c>
      <c r="J754" s="2" t="str">
        <f t="shared" si="44"/>
        <v>No</v>
      </c>
      <c r="K754" s="2" t="str">
        <f t="shared" si="45"/>
        <v>Yes</v>
      </c>
      <c r="L754" s="2" t="str">
        <f t="shared" si="47"/>
        <v>No</v>
      </c>
      <c r="M754" s="2">
        <f t="shared" si="46"/>
        <v>0</v>
      </c>
    </row>
    <row r="755" spans="1:13" x14ac:dyDescent="0.3">
      <c r="A755" s="5" t="s">
        <v>3384</v>
      </c>
      <c r="B755" s="5" t="s">
        <v>904</v>
      </c>
      <c r="C755" s="5" t="s">
        <v>2608</v>
      </c>
      <c r="D755" s="6">
        <v>45779</v>
      </c>
      <c r="E755" s="6">
        <v>45781</v>
      </c>
      <c r="F755" s="6">
        <v>45796</v>
      </c>
      <c r="G755" s="5" t="s">
        <v>2629</v>
      </c>
      <c r="H755" s="5">
        <v>7</v>
      </c>
      <c r="I755" s="5">
        <f>IFERROR(INDEX(Raw_Orders!H755:H3183,MATCH(B755,Raw_Orders!A755:A3183,0)),0)</f>
        <v>7</v>
      </c>
      <c r="J755" s="5" t="str">
        <f t="shared" si="44"/>
        <v>No</v>
      </c>
      <c r="K755" s="5" t="str">
        <f t="shared" si="45"/>
        <v>Yes</v>
      </c>
      <c r="L755" s="5" t="str">
        <f t="shared" si="47"/>
        <v>No</v>
      </c>
      <c r="M755" s="5">
        <f t="shared" si="46"/>
        <v>0</v>
      </c>
    </row>
    <row r="756" spans="1:13" x14ac:dyDescent="0.3">
      <c r="A756" s="2" t="s">
        <v>3385</v>
      </c>
      <c r="B756" s="2" t="s">
        <v>905</v>
      </c>
      <c r="C756" s="2" t="s">
        <v>2598</v>
      </c>
      <c r="D756" s="3">
        <v>45779</v>
      </c>
      <c r="E756" s="3">
        <v>45786</v>
      </c>
      <c r="F756" s="3">
        <v>45791</v>
      </c>
      <c r="G756" s="2" t="s">
        <v>2629</v>
      </c>
      <c r="H756" s="2">
        <v>39</v>
      </c>
      <c r="I756" s="2">
        <f>IFERROR(INDEX(Raw_Orders!H756:H3184,MATCH(B756,Raw_Orders!A756:A3184,0)),0)</f>
        <v>39</v>
      </c>
      <c r="J756" s="2" t="str">
        <f t="shared" si="44"/>
        <v>No</v>
      </c>
      <c r="K756" s="2" t="str">
        <f t="shared" si="45"/>
        <v>Yes</v>
      </c>
      <c r="L756" s="2" t="str">
        <f t="shared" si="47"/>
        <v>No</v>
      </c>
      <c r="M756" s="2">
        <f t="shared" si="46"/>
        <v>0</v>
      </c>
    </row>
    <row r="757" spans="1:13" x14ac:dyDescent="0.3">
      <c r="A757" s="5" t="s">
        <v>3386</v>
      </c>
      <c r="B757" s="5" t="s">
        <v>906</v>
      </c>
      <c r="C757" s="5" t="s">
        <v>2598</v>
      </c>
      <c r="D757" s="6">
        <v>45781</v>
      </c>
      <c r="E757" s="6">
        <v>45788</v>
      </c>
      <c r="F757" s="6">
        <v>45793</v>
      </c>
      <c r="G757" s="5" t="s">
        <v>2633</v>
      </c>
      <c r="H757" s="5">
        <v>45</v>
      </c>
      <c r="I757" s="5">
        <f>IFERROR(INDEX(Raw_Orders!H757:H3185,MATCH(B757,Raw_Orders!A757:A3185,0)),0)</f>
        <v>53</v>
      </c>
      <c r="J757" s="5" t="str">
        <f t="shared" si="44"/>
        <v>No</v>
      </c>
      <c r="K757" s="5" t="str">
        <f t="shared" si="45"/>
        <v>N0</v>
      </c>
      <c r="L757" s="5" t="str">
        <f t="shared" si="47"/>
        <v>No</v>
      </c>
      <c r="M757" s="5">
        <f t="shared" si="46"/>
        <v>0</v>
      </c>
    </row>
    <row r="758" spans="1:13" x14ac:dyDescent="0.3">
      <c r="A758" s="2" t="s">
        <v>3387</v>
      </c>
      <c r="B758" s="2" t="s">
        <v>907</v>
      </c>
      <c r="C758" s="2" t="s">
        <v>2601</v>
      </c>
      <c r="D758" s="3">
        <v>45781</v>
      </c>
      <c r="E758" s="3">
        <v>45788</v>
      </c>
      <c r="F758" s="3">
        <v>45788</v>
      </c>
      <c r="G758" s="2" t="s">
        <v>2633</v>
      </c>
      <c r="H758" s="2">
        <v>12</v>
      </c>
      <c r="I758" s="2">
        <f>IFERROR(INDEX(Raw_Orders!H758:H3186,MATCH(B758,Raw_Orders!A758:A3186,0)),0)</f>
        <v>17</v>
      </c>
      <c r="J758" s="2" t="str">
        <f t="shared" si="44"/>
        <v>Yes</v>
      </c>
      <c r="K758" s="2" t="str">
        <f t="shared" si="45"/>
        <v>N0</v>
      </c>
      <c r="L758" s="2" t="str">
        <f t="shared" si="47"/>
        <v>No</v>
      </c>
      <c r="M758" s="2">
        <f t="shared" si="46"/>
        <v>0</v>
      </c>
    </row>
    <row r="759" spans="1:13" x14ac:dyDescent="0.3">
      <c r="A759" s="5" t="s">
        <v>3388</v>
      </c>
      <c r="B759" s="5" t="s">
        <v>908</v>
      </c>
      <c r="C759" s="5" t="s">
        <v>2606</v>
      </c>
      <c r="D759" s="6">
        <v>45781</v>
      </c>
      <c r="E759" s="6">
        <v>45785</v>
      </c>
      <c r="F759" s="6">
        <v>45787</v>
      </c>
      <c r="G759" s="5" t="s">
        <v>2629</v>
      </c>
      <c r="H759" s="5">
        <v>31</v>
      </c>
      <c r="I759" s="5">
        <f>IFERROR(INDEX(Raw_Orders!H759:H3187,MATCH(B759,Raw_Orders!A759:A3187,0)),0)</f>
        <v>31</v>
      </c>
      <c r="J759" s="5" t="str">
        <f t="shared" si="44"/>
        <v>No</v>
      </c>
      <c r="K759" s="5" t="str">
        <f t="shared" si="45"/>
        <v>Yes</v>
      </c>
      <c r="L759" s="5" t="str">
        <f t="shared" si="47"/>
        <v>No</v>
      </c>
      <c r="M759" s="5">
        <f t="shared" si="46"/>
        <v>0</v>
      </c>
    </row>
    <row r="760" spans="1:13" x14ac:dyDescent="0.3">
      <c r="A760" s="2" t="s">
        <v>3389</v>
      </c>
      <c r="B760" s="2" t="s">
        <v>909</v>
      </c>
      <c r="C760" s="2" t="s">
        <v>2608</v>
      </c>
      <c r="D760" s="3">
        <v>45780</v>
      </c>
      <c r="E760" s="3">
        <v>45789</v>
      </c>
      <c r="F760" s="3">
        <v>45794</v>
      </c>
      <c r="G760" s="2" t="s">
        <v>2629</v>
      </c>
      <c r="H760" s="2">
        <v>11</v>
      </c>
      <c r="I760" s="2">
        <f>IFERROR(INDEX(Raw_Orders!H760:H3188,MATCH(B760,Raw_Orders!A760:A3188,0)),0)</f>
        <v>11</v>
      </c>
      <c r="J760" s="2" t="str">
        <f t="shared" si="44"/>
        <v>No</v>
      </c>
      <c r="K760" s="2" t="str">
        <f t="shared" si="45"/>
        <v>Yes</v>
      </c>
      <c r="L760" s="2" t="str">
        <f t="shared" si="47"/>
        <v>No</v>
      </c>
      <c r="M760" s="2">
        <f t="shared" si="46"/>
        <v>0</v>
      </c>
    </row>
    <row r="761" spans="1:13" x14ac:dyDescent="0.3">
      <c r="A761" s="5" t="s">
        <v>3390</v>
      </c>
      <c r="B761" s="5" t="s">
        <v>910</v>
      </c>
      <c r="C761" s="5" t="s">
        <v>2611</v>
      </c>
      <c r="D761" s="6">
        <v>45780</v>
      </c>
      <c r="E761" s="6">
        <v>45788</v>
      </c>
      <c r="F761" s="6">
        <v>45788</v>
      </c>
      <c r="G761" s="5" t="s">
        <v>2629</v>
      </c>
      <c r="H761" s="5">
        <v>28</v>
      </c>
      <c r="I761" s="5">
        <f>IFERROR(INDEX(Raw_Orders!H761:H3189,MATCH(B761,Raw_Orders!A761:A3189,0)),0)</f>
        <v>28</v>
      </c>
      <c r="J761" s="5" t="str">
        <f t="shared" si="44"/>
        <v>Yes</v>
      </c>
      <c r="K761" s="5" t="str">
        <f t="shared" si="45"/>
        <v>Yes</v>
      </c>
      <c r="L761" s="5" t="str">
        <f t="shared" si="47"/>
        <v>Yes</v>
      </c>
      <c r="M761" s="5">
        <f t="shared" si="46"/>
        <v>1</v>
      </c>
    </row>
    <row r="762" spans="1:13" x14ac:dyDescent="0.3">
      <c r="A762" s="2" t="s">
        <v>3391</v>
      </c>
      <c r="B762" s="2" t="s">
        <v>911</v>
      </c>
      <c r="C762" s="2" t="s">
        <v>2598</v>
      </c>
      <c r="D762" s="3">
        <v>45780</v>
      </c>
      <c r="E762" s="3">
        <v>45783</v>
      </c>
      <c r="F762" s="3">
        <v>45793</v>
      </c>
      <c r="G762" s="2" t="s">
        <v>2629</v>
      </c>
      <c r="H762" s="2">
        <v>24</v>
      </c>
      <c r="I762" s="2">
        <f>IFERROR(INDEX(Raw_Orders!H762:H3190,MATCH(B762,Raw_Orders!A762:A3190,0)),0)</f>
        <v>24</v>
      </c>
      <c r="J762" s="2" t="str">
        <f t="shared" si="44"/>
        <v>No</v>
      </c>
      <c r="K762" s="2" t="str">
        <f t="shared" si="45"/>
        <v>Yes</v>
      </c>
      <c r="L762" s="2" t="str">
        <f t="shared" si="47"/>
        <v>No</v>
      </c>
      <c r="M762" s="2">
        <f t="shared" si="46"/>
        <v>0</v>
      </c>
    </row>
    <row r="763" spans="1:13" x14ac:dyDescent="0.3">
      <c r="A763" s="5" t="s">
        <v>3392</v>
      </c>
      <c r="B763" s="5" t="s">
        <v>912</v>
      </c>
      <c r="C763" s="5" t="s">
        <v>2601</v>
      </c>
      <c r="D763" s="6">
        <v>45780</v>
      </c>
      <c r="E763" s="6">
        <v>45787</v>
      </c>
      <c r="F763" s="6">
        <v>45789</v>
      </c>
      <c r="G763" s="5" t="s">
        <v>2641</v>
      </c>
      <c r="H763" s="5">
        <v>13</v>
      </c>
      <c r="I763" s="5">
        <f>IFERROR(INDEX(Raw_Orders!H763:H3191,MATCH(B763,Raw_Orders!A763:A3191,0)),0)</f>
        <v>13</v>
      </c>
      <c r="J763" s="5" t="str">
        <f t="shared" si="44"/>
        <v>No</v>
      </c>
      <c r="K763" s="5" t="str">
        <f t="shared" si="45"/>
        <v>Yes</v>
      </c>
      <c r="L763" s="5" t="str">
        <f t="shared" si="47"/>
        <v>No</v>
      </c>
      <c r="M763" s="5">
        <f t="shared" si="46"/>
        <v>0</v>
      </c>
    </row>
    <row r="764" spans="1:13" x14ac:dyDescent="0.3">
      <c r="A764" s="2" t="s">
        <v>3393</v>
      </c>
      <c r="B764" s="2" t="s">
        <v>913</v>
      </c>
      <c r="C764" s="2" t="s">
        <v>2604</v>
      </c>
      <c r="D764" s="3">
        <v>45781</v>
      </c>
      <c r="E764" s="3">
        <v>45789</v>
      </c>
      <c r="F764" s="3">
        <v>45787</v>
      </c>
      <c r="G764" s="2" t="s">
        <v>2633</v>
      </c>
      <c r="H764" s="2">
        <v>11</v>
      </c>
      <c r="I764" s="2">
        <f>IFERROR(INDEX(Raw_Orders!H764:H3192,MATCH(B764,Raw_Orders!A764:A3192,0)),0)</f>
        <v>11</v>
      </c>
      <c r="J764" s="2" t="str">
        <f t="shared" si="44"/>
        <v>Yes</v>
      </c>
      <c r="K764" s="2" t="str">
        <f t="shared" si="45"/>
        <v>Yes</v>
      </c>
      <c r="L764" s="2" t="str">
        <f t="shared" si="47"/>
        <v>Yes</v>
      </c>
      <c r="M764" s="2">
        <f t="shared" si="46"/>
        <v>1</v>
      </c>
    </row>
    <row r="765" spans="1:13" x14ac:dyDescent="0.3">
      <c r="A765" s="5" t="s">
        <v>3394</v>
      </c>
      <c r="B765" s="5" t="s">
        <v>914</v>
      </c>
      <c r="C765" s="5" t="s">
        <v>2616</v>
      </c>
      <c r="D765" s="6">
        <v>45781</v>
      </c>
      <c r="E765" s="6">
        <v>45785</v>
      </c>
      <c r="F765" s="6">
        <v>45798</v>
      </c>
      <c r="G765" s="5" t="s">
        <v>2631</v>
      </c>
      <c r="H765" s="5">
        <v>45</v>
      </c>
      <c r="I765" s="5">
        <f>IFERROR(INDEX(Raw_Orders!H765:H3193,MATCH(B765,Raw_Orders!A765:A3193,0)),0)</f>
        <v>45</v>
      </c>
      <c r="J765" s="5" t="str">
        <f t="shared" si="44"/>
        <v>No</v>
      </c>
      <c r="K765" s="5" t="str">
        <f t="shared" si="45"/>
        <v>Yes</v>
      </c>
      <c r="L765" s="5" t="str">
        <f t="shared" si="47"/>
        <v>No</v>
      </c>
      <c r="M765" s="5">
        <f t="shared" si="46"/>
        <v>0</v>
      </c>
    </row>
    <row r="766" spans="1:13" x14ac:dyDescent="0.3">
      <c r="A766" s="2" t="s">
        <v>3395</v>
      </c>
      <c r="B766" s="2" t="s">
        <v>915</v>
      </c>
      <c r="C766" s="2" t="s">
        <v>2606</v>
      </c>
      <c r="D766" s="3">
        <v>45782</v>
      </c>
      <c r="E766" s="3">
        <v>45785</v>
      </c>
      <c r="F766" s="3">
        <v>45789</v>
      </c>
      <c r="G766" s="2" t="s">
        <v>2641</v>
      </c>
      <c r="H766" s="2">
        <v>29</v>
      </c>
      <c r="I766" s="2">
        <f>IFERROR(INDEX(Raw_Orders!H766:H3194,MATCH(B766,Raw_Orders!A766:A3194,0)),0)</f>
        <v>29</v>
      </c>
      <c r="J766" s="2" t="str">
        <f t="shared" si="44"/>
        <v>No</v>
      </c>
      <c r="K766" s="2" t="str">
        <f t="shared" si="45"/>
        <v>Yes</v>
      </c>
      <c r="L766" s="2" t="str">
        <f t="shared" si="47"/>
        <v>No</v>
      </c>
      <c r="M766" s="2">
        <f t="shared" si="46"/>
        <v>0</v>
      </c>
    </row>
    <row r="767" spans="1:13" x14ac:dyDescent="0.3">
      <c r="A767" s="5" t="s">
        <v>3396</v>
      </c>
      <c r="B767" s="5" t="s">
        <v>916</v>
      </c>
      <c r="C767" s="5" t="s">
        <v>2606</v>
      </c>
      <c r="D767" s="6">
        <v>45782</v>
      </c>
      <c r="E767" s="6">
        <v>45785</v>
      </c>
      <c r="F767" s="6">
        <v>45790</v>
      </c>
      <c r="G767" s="5" t="s">
        <v>2627</v>
      </c>
      <c r="H767" s="5">
        <v>24</v>
      </c>
      <c r="I767" s="5">
        <f>IFERROR(INDEX(Raw_Orders!H767:H3195,MATCH(B767,Raw_Orders!A767:A3195,0)),0)</f>
        <v>24</v>
      </c>
      <c r="J767" s="5" t="str">
        <f t="shared" si="44"/>
        <v>No</v>
      </c>
      <c r="K767" s="5" t="str">
        <f t="shared" si="45"/>
        <v>Yes</v>
      </c>
      <c r="L767" s="5" t="str">
        <f t="shared" si="47"/>
        <v>No</v>
      </c>
      <c r="M767" s="5">
        <f t="shared" si="46"/>
        <v>0</v>
      </c>
    </row>
    <row r="768" spans="1:13" x14ac:dyDescent="0.3">
      <c r="A768" s="2" t="s">
        <v>3397</v>
      </c>
      <c r="B768" s="2" t="s">
        <v>917</v>
      </c>
      <c r="C768" s="2" t="s">
        <v>2608</v>
      </c>
      <c r="D768" s="3">
        <v>45780</v>
      </c>
      <c r="E768" s="3">
        <v>45784</v>
      </c>
      <c r="F768" s="3">
        <v>45794</v>
      </c>
      <c r="G768" s="2" t="s">
        <v>2627</v>
      </c>
      <c r="H768" s="2">
        <v>5</v>
      </c>
      <c r="I768" s="2">
        <f>IFERROR(INDEX(Raw_Orders!H768:H3196,MATCH(B768,Raw_Orders!A768:A3196,0)),0)</f>
        <v>12</v>
      </c>
      <c r="J768" s="2" t="str">
        <f t="shared" si="44"/>
        <v>No</v>
      </c>
      <c r="K768" s="2" t="str">
        <f t="shared" si="45"/>
        <v>N0</v>
      </c>
      <c r="L768" s="2" t="str">
        <f t="shared" si="47"/>
        <v>No</v>
      </c>
      <c r="M768" s="2">
        <f t="shared" si="46"/>
        <v>0</v>
      </c>
    </row>
    <row r="769" spans="1:13" x14ac:dyDescent="0.3">
      <c r="A769" s="5" t="s">
        <v>3398</v>
      </c>
      <c r="B769" s="5" t="s">
        <v>918</v>
      </c>
      <c r="C769" s="5" t="s">
        <v>2611</v>
      </c>
      <c r="D769" s="6">
        <v>45781</v>
      </c>
      <c r="E769" s="6">
        <v>45784</v>
      </c>
      <c r="F769" s="6">
        <v>45787</v>
      </c>
      <c r="G769" s="5" t="s">
        <v>2631</v>
      </c>
      <c r="H769" s="5">
        <v>20</v>
      </c>
      <c r="I769" s="5">
        <f>IFERROR(INDEX(Raw_Orders!H769:H3197,MATCH(B769,Raw_Orders!A769:A3197,0)),0)</f>
        <v>20</v>
      </c>
      <c r="J769" s="5" t="str">
        <f t="shared" si="44"/>
        <v>No</v>
      </c>
      <c r="K769" s="5" t="str">
        <f t="shared" si="45"/>
        <v>Yes</v>
      </c>
      <c r="L769" s="5" t="str">
        <f t="shared" si="47"/>
        <v>No</v>
      </c>
      <c r="M769" s="5">
        <f t="shared" si="46"/>
        <v>0</v>
      </c>
    </row>
    <row r="770" spans="1:13" x14ac:dyDescent="0.3">
      <c r="A770" s="2" t="s">
        <v>3399</v>
      </c>
      <c r="B770" s="2" t="s">
        <v>919</v>
      </c>
      <c r="C770" s="2" t="s">
        <v>2614</v>
      </c>
      <c r="D770" s="3">
        <v>45781</v>
      </c>
      <c r="E770" s="3">
        <v>45788</v>
      </c>
      <c r="F770" s="3">
        <v>45795</v>
      </c>
      <c r="G770" s="2" t="s">
        <v>2641</v>
      </c>
      <c r="H770" s="2">
        <v>8</v>
      </c>
      <c r="I770" s="2">
        <f>IFERROR(INDEX(Raw_Orders!H770:H3198,MATCH(B770,Raw_Orders!A770:A3198,0)),0)</f>
        <v>9</v>
      </c>
      <c r="J770" s="2" t="str">
        <f t="shared" si="44"/>
        <v>No</v>
      </c>
      <c r="K770" s="2" t="str">
        <f t="shared" si="45"/>
        <v>N0</v>
      </c>
      <c r="L770" s="2" t="str">
        <f t="shared" si="47"/>
        <v>No</v>
      </c>
      <c r="M770" s="2">
        <f t="shared" si="46"/>
        <v>0</v>
      </c>
    </row>
    <row r="771" spans="1:13" x14ac:dyDescent="0.3">
      <c r="A771" s="5" t="s">
        <v>3400</v>
      </c>
      <c r="B771" s="5" t="s">
        <v>920</v>
      </c>
      <c r="C771" s="5" t="s">
        <v>2601</v>
      </c>
      <c r="D771" s="6">
        <v>45783</v>
      </c>
      <c r="E771" s="6">
        <v>45786</v>
      </c>
      <c r="F771" s="6">
        <v>45787</v>
      </c>
      <c r="G771" s="5" t="s">
        <v>2633</v>
      </c>
      <c r="H771" s="5">
        <v>32</v>
      </c>
      <c r="I771" s="5">
        <f>IFERROR(INDEX(Raw_Orders!H771:H3199,MATCH(B771,Raw_Orders!A771:A3199,0)),0)</f>
        <v>32</v>
      </c>
      <c r="J771" s="5" t="str">
        <f t="shared" ref="J771:J834" si="48">IF(E771&gt;=F771,"Yes","No")</f>
        <v>No</v>
      </c>
      <c r="K771" s="5" t="str">
        <f t="shared" ref="K771:K834" si="49">IF(H771&gt;=I771,"Yes","N0")</f>
        <v>Yes</v>
      </c>
      <c r="L771" s="5" t="str">
        <f t="shared" si="47"/>
        <v>No</v>
      </c>
      <c r="M771" s="5">
        <f t="shared" ref="M771:M834" si="50">IF(L771="Yes",1,0)</f>
        <v>0</v>
      </c>
    </row>
    <row r="772" spans="1:13" x14ac:dyDescent="0.3">
      <c r="A772" s="2" t="s">
        <v>3401</v>
      </c>
      <c r="B772" s="2" t="s">
        <v>921</v>
      </c>
      <c r="C772" s="2" t="s">
        <v>2616</v>
      </c>
      <c r="D772" s="3">
        <v>45782</v>
      </c>
      <c r="E772" s="3">
        <v>45791</v>
      </c>
      <c r="F772" s="3">
        <v>45801</v>
      </c>
      <c r="G772" s="2" t="s">
        <v>2627</v>
      </c>
      <c r="H772" s="2">
        <v>22</v>
      </c>
      <c r="I772" s="2">
        <f>IFERROR(INDEX(Raw_Orders!H772:H3200,MATCH(B772,Raw_Orders!A772:A3200,0)),0)</f>
        <v>22</v>
      </c>
      <c r="J772" s="2" t="str">
        <f t="shared" si="48"/>
        <v>No</v>
      </c>
      <c r="K772" s="2" t="str">
        <f t="shared" si="49"/>
        <v>Yes</v>
      </c>
      <c r="L772" s="2" t="str">
        <f t="shared" ref="L772:L835" si="51">IF(AND(J772="Yes",K772="Yes"),"Yes","No")</f>
        <v>No</v>
      </c>
      <c r="M772" s="2">
        <f t="shared" si="50"/>
        <v>0</v>
      </c>
    </row>
    <row r="773" spans="1:13" x14ac:dyDescent="0.3">
      <c r="A773" s="5" t="s">
        <v>3402</v>
      </c>
      <c r="B773" s="5" t="s">
        <v>922</v>
      </c>
      <c r="C773" s="5" t="s">
        <v>2606</v>
      </c>
      <c r="D773" s="6">
        <v>45782</v>
      </c>
      <c r="E773" s="6">
        <v>45790</v>
      </c>
      <c r="F773" s="6">
        <v>45788</v>
      </c>
      <c r="G773" s="5" t="s">
        <v>2633</v>
      </c>
      <c r="H773" s="5">
        <v>38</v>
      </c>
      <c r="I773" s="5">
        <f>IFERROR(INDEX(Raw_Orders!H773:H3201,MATCH(B773,Raw_Orders!A773:A3201,0)),0)</f>
        <v>39</v>
      </c>
      <c r="J773" s="5" t="str">
        <f t="shared" si="48"/>
        <v>Yes</v>
      </c>
      <c r="K773" s="5" t="str">
        <f t="shared" si="49"/>
        <v>N0</v>
      </c>
      <c r="L773" s="5" t="str">
        <f t="shared" si="51"/>
        <v>No</v>
      </c>
      <c r="M773" s="5">
        <f t="shared" si="50"/>
        <v>0</v>
      </c>
    </row>
    <row r="774" spans="1:13" x14ac:dyDescent="0.3">
      <c r="A774" s="2" t="s">
        <v>3403</v>
      </c>
      <c r="B774" s="2" t="s">
        <v>923</v>
      </c>
      <c r="C774" s="2" t="s">
        <v>2606</v>
      </c>
      <c r="D774" s="3">
        <v>45782</v>
      </c>
      <c r="E774" s="3">
        <v>45784</v>
      </c>
      <c r="F774" s="3">
        <v>45789</v>
      </c>
      <c r="G774" s="2" t="s">
        <v>2627</v>
      </c>
      <c r="H774" s="2">
        <v>27</v>
      </c>
      <c r="I774" s="2">
        <f>IFERROR(INDEX(Raw_Orders!H774:H3202,MATCH(B774,Raw_Orders!A774:A3202,0)),0)</f>
        <v>27</v>
      </c>
      <c r="J774" s="2" t="str">
        <f t="shared" si="48"/>
        <v>No</v>
      </c>
      <c r="K774" s="2" t="str">
        <f t="shared" si="49"/>
        <v>Yes</v>
      </c>
      <c r="L774" s="2" t="str">
        <f t="shared" si="51"/>
        <v>No</v>
      </c>
      <c r="M774" s="2">
        <f t="shared" si="50"/>
        <v>0</v>
      </c>
    </row>
    <row r="775" spans="1:13" x14ac:dyDescent="0.3">
      <c r="A775" s="5" t="s">
        <v>3404</v>
      </c>
      <c r="B775" s="5" t="s">
        <v>924</v>
      </c>
      <c r="C775" s="5" t="s">
        <v>2608</v>
      </c>
      <c r="D775" s="6">
        <v>45783</v>
      </c>
      <c r="E775" s="6">
        <v>45787</v>
      </c>
      <c r="F775" s="6">
        <v>45798</v>
      </c>
      <c r="G775" s="5" t="s">
        <v>2629</v>
      </c>
      <c r="H775" s="5">
        <v>28</v>
      </c>
      <c r="I775" s="5">
        <f>IFERROR(INDEX(Raw_Orders!H775:H3203,MATCH(B775,Raw_Orders!A775:A3203,0)),0)</f>
        <v>28</v>
      </c>
      <c r="J775" s="5" t="str">
        <f t="shared" si="48"/>
        <v>No</v>
      </c>
      <c r="K775" s="5" t="str">
        <f t="shared" si="49"/>
        <v>Yes</v>
      </c>
      <c r="L775" s="5" t="str">
        <f t="shared" si="51"/>
        <v>No</v>
      </c>
      <c r="M775" s="5">
        <f t="shared" si="50"/>
        <v>0</v>
      </c>
    </row>
    <row r="776" spans="1:13" x14ac:dyDescent="0.3">
      <c r="A776" s="2" t="s">
        <v>3405</v>
      </c>
      <c r="B776" s="2" t="s">
        <v>925</v>
      </c>
      <c r="C776" s="2" t="s">
        <v>2608</v>
      </c>
      <c r="D776" s="3">
        <v>45782</v>
      </c>
      <c r="E776" s="3">
        <v>45791</v>
      </c>
      <c r="F776" s="3">
        <v>45796</v>
      </c>
      <c r="G776" s="2" t="s">
        <v>2629</v>
      </c>
      <c r="H776" s="2">
        <v>12</v>
      </c>
      <c r="I776" s="2">
        <f>IFERROR(INDEX(Raw_Orders!H776:H3204,MATCH(B776,Raw_Orders!A776:A3204,0)),0)</f>
        <v>12</v>
      </c>
      <c r="J776" s="2" t="str">
        <f t="shared" si="48"/>
        <v>No</v>
      </c>
      <c r="K776" s="2" t="str">
        <f t="shared" si="49"/>
        <v>Yes</v>
      </c>
      <c r="L776" s="2" t="str">
        <f t="shared" si="51"/>
        <v>No</v>
      </c>
      <c r="M776" s="2">
        <f t="shared" si="50"/>
        <v>0</v>
      </c>
    </row>
    <row r="777" spans="1:13" x14ac:dyDescent="0.3">
      <c r="A777" s="5" t="s">
        <v>3406</v>
      </c>
      <c r="B777" s="5" t="s">
        <v>926</v>
      </c>
      <c r="C777" s="5" t="s">
        <v>2611</v>
      </c>
      <c r="D777" s="6">
        <v>45782</v>
      </c>
      <c r="E777" s="6">
        <v>45785</v>
      </c>
      <c r="F777" s="6">
        <v>45789</v>
      </c>
      <c r="G777" s="5" t="s">
        <v>2629</v>
      </c>
      <c r="H777" s="5">
        <v>9</v>
      </c>
      <c r="I777" s="5">
        <f>IFERROR(INDEX(Raw_Orders!H777:H3205,MATCH(B777,Raw_Orders!A777:A3205,0)),0)</f>
        <v>9</v>
      </c>
      <c r="J777" s="5" t="str">
        <f t="shared" si="48"/>
        <v>No</v>
      </c>
      <c r="K777" s="5" t="str">
        <f t="shared" si="49"/>
        <v>Yes</v>
      </c>
      <c r="L777" s="5" t="str">
        <f t="shared" si="51"/>
        <v>No</v>
      </c>
      <c r="M777" s="5">
        <f t="shared" si="50"/>
        <v>0</v>
      </c>
    </row>
    <row r="778" spans="1:13" x14ac:dyDescent="0.3">
      <c r="A778" s="2" t="s">
        <v>3407</v>
      </c>
      <c r="B778" s="2" t="s">
        <v>927</v>
      </c>
      <c r="C778" s="2" t="s">
        <v>2614</v>
      </c>
      <c r="D778" s="3">
        <v>45783</v>
      </c>
      <c r="E778" s="3">
        <v>45785</v>
      </c>
      <c r="F778" s="3">
        <v>45799</v>
      </c>
      <c r="G778" s="2" t="s">
        <v>2627</v>
      </c>
      <c r="H778" s="2">
        <v>19</v>
      </c>
      <c r="I778" s="2">
        <f>IFERROR(INDEX(Raw_Orders!H778:H3206,MATCH(B778,Raw_Orders!A778:A3206,0)),0)</f>
        <v>19</v>
      </c>
      <c r="J778" s="2" t="str">
        <f t="shared" si="48"/>
        <v>No</v>
      </c>
      <c r="K778" s="2" t="str">
        <f t="shared" si="49"/>
        <v>Yes</v>
      </c>
      <c r="L778" s="2" t="str">
        <f t="shared" si="51"/>
        <v>No</v>
      </c>
      <c r="M778" s="2">
        <f t="shared" si="50"/>
        <v>0</v>
      </c>
    </row>
    <row r="779" spans="1:13" x14ac:dyDescent="0.3">
      <c r="A779" s="5" t="s">
        <v>3408</v>
      </c>
      <c r="B779" s="5" t="s">
        <v>928</v>
      </c>
      <c r="C779" s="5" t="s">
        <v>2616</v>
      </c>
      <c r="D779" s="6">
        <v>45782</v>
      </c>
      <c r="E779" s="6">
        <v>45788</v>
      </c>
      <c r="F779" s="6">
        <v>45796</v>
      </c>
      <c r="G779" s="5" t="s">
        <v>2627</v>
      </c>
      <c r="H779" s="5">
        <v>11</v>
      </c>
      <c r="I779" s="5">
        <f>IFERROR(INDEX(Raw_Orders!H779:H3207,MATCH(B779,Raw_Orders!A779:A3207,0)),0)</f>
        <v>11</v>
      </c>
      <c r="J779" s="5" t="str">
        <f t="shared" si="48"/>
        <v>No</v>
      </c>
      <c r="K779" s="5" t="str">
        <f t="shared" si="49"/>
        <v>Yes</v>
      </c>
      <c r="L779" s="5" t="str">
        <f t="shared" si="51"/>
        <v>No</v>
      </c>
      <c r="M779" s="5">
        <f t="shared" si="50"/>
        <v>0</v>
      </c>
    </row>
    <row r="780" spans="1:13" x14ac:dyDescent="0.3">
      <c r="A780" s="2" t="s">
        <v>3409</v>
      </c>
      <c r="B780" s="2" t="s">
        <v>929</v>
      </c>
      <c r="C780" s="2" t="s">
        <v>2616</v>
      </c>
      <c r="D780" s="3">
        <v>45784</v>
      </c>
      <c r="E780" s="3">
        <v>45785</v>
      </c>
      <c r="F780" s="3">
        <v>45799</v>
      </c>
      <c r="G780" s="2" t="s">
        <v>2633</v>
      </c>
      <c r="H780" s="2">
        <v>11</v>
      </c>
      <c r="I780" s="2">
        <f>IFERROR(INDEX(Raw_Orders!H780:H3208,MATCH(B780,Raw_Orders!A780:A3208,0)),0)</f>
        <v>11</v>
      </c>
      <c r="J780" s="2" t="str">
        <f t="shared" si="48"/>
        <v>No</v>
      </c>
      <c r="K780" s="2" t="str">
        <f t="shared" si="49"/>
        <v>Yes</v>
      </c>
      <c r="L780" s="2" t="str">
        <f t="shared" si="51"/>
        <v>No</v>
      </c>
      <c r="M780" s="2">
        <f t="shared" si="50"/>
        <v>0</v>
      </c>
    </row>
    <row r="781" spans="1:13" x14ac:dyDescent="0.3">
      <c r="A781" s="5" t="s">
        <v>3410</v>
      </c>
      <c r="B781" s="5" t="s">
        <v>930</v>
      </c>
      <c r="C781" s="5" t="s">
        <v>2606</v>
      </c>
      <c r="D781" s="6">
        <v>45783</v>
      </c>
      <c r="E781" s="6">
        <v>45789</v>
      </c>
      <c r="F781" s="6">
        <v>45790</v>
      </c>
      <c r="G781" s="5" t="s">
        <v>2641</v>
      </c>
      <c r="H781" s="5">
        <v>53</v>
      </c>
      <c r="I781" s="5">
        <f>IFERROR(INDEX(Raw_Orders!H781:H3209,MATCH(B781,Raw_Orders!A781:A3209,0)),0)</f>
        <v>53</v>
      </c>
      <c r="J781" s="5" t="str">
        <f t="shared" si="48"/>
        <v>No</v>
      </c>
      <c r="K781" s="5" t="str">
        <f t="shared" si="49"/>
        <v>Yes</v>
      </c>
      <c r="L781" s="5" t="str">
        <f t="shared" si="51"/>
        <v>No</v>
      </c>
      <c r="M781" s="5">
        <f t="shared" si="50"/>
        <v>0</v>
      </c>
    </row>
    <row r="782" spans="1:13" x14ac:dyDescent="0.3">
      <c r="A782" s="2" t="s">
        <v>3411</v>
      </c>
      <c r="B782" s="2" t="s">
        <v>931</v>
      </c>
      <c r="C782" s="2" t="s">
        <v>2606</v>
      </c>
      <c r="D782" s="3">
        <v>45783</v>
      </c>
      <c r="E782" s="3">
        <v>45787</v>
      </c>
      <c r="F782" s="3">
        <v>45788</v>
      </c>
      <c r="G782" s="2" t="s">
        <v>2641</v>
      </c>
      <c r="H782" s="2">
        <v>18</v>
      </c>
      <c r="I782" s="2">
        <f>IFERROR(INDEX(Raw_Orders!H782:H3210,MATCH(B782,Raw_Orders!A782:A3210,0)),0)</f>
        <v>24</v>
      </c>
      <c r="J782" s="2" t="str">
        <f t="shared" si="48"/>
        <v>No</v>
      </c>
      <c r="K782" s="2" t="str">
        <f t="shared" si="49"/>
        <v>N0</v>
      </c>
      <c r="L782" s="2" t="str">
        <f t="shared" si="51"/>
        <v>No</v>
      </c>
      <c r="M782" s="2">
        <f t="shared" si="50"/>
        <v>0</v>
      </c>
    </row>
    <row r="783" spans="1:13" x14ac:dyDescent="0.3">
      <c r="A783" s="5" t="s">
        <v>3412</v>
      </c>
      <c r="B783" s="5" t="s">
        <v>932</v>
      </c>
      <c r="C783" s="5" t="s">
        <v>2608</v>
      </c>
      <c r="D783" s="6">
        <v>45782</v>
      </c>
      <c r="E783" s="6">
        <v>45786</v>
      </c>
      <c r="F783" s="6">
        <v>45795</v>
      </c>
      <c r="G783" s="5" t="s">
        <v>2627</v>
      </c>
      <c r="H783" s="5">
        <v>24</v>
      </c>
      <c r="I783" s="5">
        <f>IFERROR(INDEX(Raw_Orders!H783:H3211,MATCH(B783,Raw_Orders!A783:A3211,0)),0)</f>
        <v>24</v>
      </c>
      <c r="J783" s="5" t="str">
        <f t="shared" si="48"/>
        <v>No</v>
      </c>
      <c r="K783" s="5" t="str">
        <f t="shared" si="49"/>
        <v>Yes</v>
      </c>
      <c r="L783" s="5" t="str">
        <f t="shared" si="51"/>
        <v>No</v>
      </c>
      <c r="M783" s="5">
        <f t="shared" si="50"/>
        <v>0</v>
      </c>
    </row>
    <row r="784" spans="1:13" x14ac:dyDescent="0.3">
      <c r="A784" s="2" t="s">
        <v>3413</v>
      </c>
      <c r="B784" s="2" t="s">
        <v>933</v>
      </c>
      <c r="C784" s="2" t="s">
        <v>2608</v>
      </c>
      <c r="D784" s="3">
        <v>45784</v>
      </c>
      <c r="E784" s="3">
        <v>45792</v>
      </c>
      <c r="F784" s="3">
        <v>45796</v>
      </c>
      <c r="G784" s="2" t="s">
        <v>2633</v>
      </c>
      <c r="H784" s="2">
        <v>1</v>
      </c>
      <c r="I784" s="2">
        <f>IFERROR(INDEX(Raw_Orders!H784:H3212,MATCH(B784,Raw_Orders!A784:A3212,0)),0)</f>
        <v>6</v>
      </c>
      <c r="J784" s="2" t="str">
        <f t="shared" si="48"/>
        <v>No</v>
      </c>
      <c r="K784" s="2" t="str">
        <f t="shared" si="49"/>
        <v>N0</v>
      </c>
      <c r="L784" s="2" t="str">
        <f t="shared" si="51"/>
        <v>No</v>
      </c>
      <c r="M784" s="2">
        <f t="shared" si="50"/>
        <v>0</v>
      </c>
    </row>
    <row r="785" spans="1:13" x14ac:dyDescent="0.3">
      <c r="A785" s="5" t="s">
        <v>3414</v>
      </c>
      <c r="B785" s="5" t="s">
        <v>934</v>
      </c>
      <c r="C785" s="5" t="s">
        <v>2598</v>
      </c>
      <c r="D785" s="6">
        <v>45785</v>
      </c>
      <c r="E785" s="6">
        <v>45791</v>
      </c>
      <c r="F785" s="6">
        <v>45798</v>
      </c>
      <c r="G785" s="5" t="s">
        <v>2641</v>
      </c>
      <c r="H785" s="5">
        <v>35</v>
      </c>
      <c r="I785" s="5">
        <f>IFERROR(INDEX(Raw_Orders!H785:H3213,MATCH(B785,Raw_Orders!A785:A3213,0)),0)</f>
        <v>35</v>
      </c>
      <c r="J785" s="5" t="str">
        <f t="shared" si="48"/>
        <v>No</v>
      </c>
      <c r="K785" s="5" t="str">
        <f t="shared" si="49"/>
        <v>Yes</v>
      </c>
      <c r="L785" s="5" t="str">
        <f t="shared" si="51"/>
        <v>No</v>
      </c>
      <c r="M785" s="5">
        <f t="shared" si="50"/>
        <v>0</v>
      </c>
    </row>
    <row r="786" spans="1:13" x14ac:dyDescent="0.3">
      <c r="A786" s="2" t="s">
        <v>3415</v>
      </c>
      <c r="B786" s="2" t="s">
        <v>935</v>
      </c>
      <c r="C786" s="2" t="s">
        <v>2611</v>
      </c>
      <c r="D786" s="3">
        <v>45784</v>
      </c>
      <c r="E786" s="3">
        <v>45791</v>
      </c>
      <c r="F786" s="3">
        <v>45791</v>
      </c>
      <c r="G786" s="2" t="s">
        <v>2627</v>
      </c>
      <c r="H786" s="2">
        <v>45</v>
      </c>
      <c r="I786" s="2">
        <f>IFERROR(INDEX(Raw_Orders!H786:H3214,MATCH(B786,Raw_Orders!A786:A3214,0)),0)</f>
        <v>45</v>
      </c>
      <c r="J786" s="2" t="str">
        <f t="shared" si="48"/>
        <v>Yes</v>
      </c>
      <c r="K786" s="2" t="str">
        <f t="shared" si="49"/>
        <v>Yes</v>
      </c>
      <c r="L786" s="2" t="str">
        <f t="shared" si="51"/>
        <v>Yes</v>
      </c>
      <c r="M786" s="2">
        <f t="shared" si="50"/>
        <v>1</v>
      </c>
    </row>
    <row r="787" spans="1:13" x14ac:dyDescent="0.3">
      <c r="A787" s="5" t="s">
        <v>3416</v>
      </c>
      <c r="B787" s="5" t="s">
        <v>936</v>
      </c>
      <c r="C787" s="5" t="s">
        <v>2616</v>
      </c>
      <c r="D787" s="6">
        <v>45785</v>
      </c>
      <c r="E787" s="6">
        <v>45792</v>
      </c>
      <c r="F787" s="6">
        <v>45801</v>
      </c>
      <c r="G787" s="5" t="s">
        <v>2631</v>
      </c>
      <c r="H787" s="5">
        <v>17</v>
      </c>
      <c r="I787" s="5">
        <f>IFERROR(INDEX(Raw_Orders!H787:H3215,MATCH(B787,Raw_Orders!A787:A3215,0)),0)</f>
        <v>17</v>
      </c>
      <c r="J787" s="5" t="str">
        <f t="shared" si="48"/>
        <v>No</v>
      </c>
      <c r="K787" s="5" t="str">
        <f t="shared" si="49"/>
        <v>Yes</v>
      </c>
      <c r="L787" s="5" t="str">
        <f t="shared" si="51"/>
        <v>No</v>
      </c>
      <c r="M787" s="5">
        <f t="shared" si="50"/>
        <v>0</v>
      </c>
    </row>
    <row r="788" spans="1:13" x14ac:dyDescent="0.3">
      <c r="A788" s="2" t="s">
        <v>3417</v>
      </c>
      <c r="B788" s="2" t="s">
        <v>937</v>
      </c>
      <c r="C788" s="2" t="s">
        <v>2606</v>
      </c>
      <c r="D788" s="3">
        <v>45785</v>
      </c>
      <c r="E788" s="3">
        <v>45786</v>
      </c>
      <c r="F788" s="3">
        <v>45791</v>
      </c>
      <c r="G788" s="2" t="s">
        <v>2627</v>
      </c>
      <c r="H788" s="2">
        <v>44</v>
      </c>
      <c r="I788" s="2">
        <f>IFERROR(INDEX(Raw_Orders!H788:H3216,MATCH(B788,Raw_Orders!A788:A3216,0)),0)</f>
        <v>44</v>
      </c>
      <c r="J788" s="2" t="str">
        <f t="shared" si="48"/>
        <v>No</v>
      </c>
      <c r="K788" s="2" t="str">
        <f t="shared" si="49"/>
        <v>Yes</v>
      </c>
      <c r="L788" s="2" t="str">
        <f t="shared" si="51"/>
        <v>No</v>
      </c>
      <c r="M788" s="2">
        <f t="shared" si="50"/>
        <v>0</v>
      </c>
    </row>
    <row r="789" spans="1:13" x14ac:dyDescent="0.3">
      <c r="A789" s="5" t="s">
        <v>3418</v>
      </c>
      <c r="B789" s="5" t="s">
        <v>938</v>
      </c>
      <c r="C789" s="5" t="s">
        <v>2606</v>
      </c>
      <c r="D789" s="6">
        <v>45785</v>
      </c>
      <c r="E789" s="6">
        <v>45793</v>
      </c>
      <c r="F789" s="6">
        <v>45791</v>
      </c>
      <c r="G789" s="5" t="s">
        <v>2627</v>
      </c>
      <c r="H789" s="5">
        <v>22</v>
      </c>
      <c r="I789" s="5">
        <f>IFERROR(INDEX(Raw_Orders!H789:H3217,MATCH(B789,Raw_Orders!A789:A3217,0)),0)</f>
        <v>22</v>
      </c>
      <c r="J789" s="5" t="str">
        <f t="shared" si="48"/>
        <v>Yes</v>
      </c>
      <c r="K789" s="5" t="str">
        <f t="shared" si="49"/>
        <v>Yes</v>
      </c>
      <c r="L789" s="5" t="str">
        <f t="shared" si="51"/>
        <v>Yes</v>
      </c>
      <c r="M789" s="5">
        <f t="shared" si="50"/>
        <v>1</v>
      </c>
    </row>
    <row r="790" spans="1:13" x14ac:dyDescent="0.3">
      <c r="A790" s="2" t="s">
        <v>3419</v>
      </c>
      <c r="B790" s="2" t="s">
        <v>939</v>
      </c>
      <c r="C790" s="2" t="s">
        <v>2608</v>
      </c>
      <c r="D790" s="3">
        <v>45784</v>
      </c>
      <c r="E790" s="3">
        <v>45790</v>
      </c>
      <c r="F790" s="3">
        <v>45799</v>
      </c>
      <c r="G790" s="2" t="s">
        <v>2627</v>
      </c>
      <c r="H790" s="2">
        <v>30</v>
      </c>
      <c r="I790" s="2">
        <f>IFERROR(INDEX(Raw_Orders!H790:H3218,MATCH(B790,Raw_Orders!A790:A3218,0)),0)</f>
        <v>30</v>
      </c>
      <c r="J790" s="2" t="str">
        <f t="shared" si="48"/>
        <v>No</v>
      </c>
      <c r="K790" s="2" t="str">
        <f t="shared" si="49"/>
        <v>Yes</v>
      </c>
      <c r="L790" s="2" t="str">
        <f t="shared" si="51"/>
        <v>No</v>
      </c>
      <c r="M790" s="2">
        <f t="shared" si="50"/>
        <v>0</v>
      </c>
    </row>
    <row r="791" spans="1:13" x14ac:dyDescent="0.3">
      <c r="A791" s="5" t="s">
        <v>3420</v>
      </c>
      <c r="B791" s="5" t="s">
        <v>940</v>
      </c>
      <c r="C791" s="5" t="s">
        <v>2601</v>
      </c>
      <c r="D791" s="6">
        <v>45785</v>
      </c>
      <c r="E791" s="6">
        <v>45794</v>
      </c>
      <c r="F791" s="6">
        <v>45791</v>
      </c>
      <c r="G791" s="5" t="s">
        <v>2631</v>
      </c>
      <c r="H791" s="5">
        <v>12</v>
      </c>
      <c r="I791" s="5">
        <f>IFERROR(INDEX(Raw_Orders!H791:H3219,MATCH(B791,Raw_Orders!A791:A3219,0)),0)</f>
        <v>16</v>
      </c>
      <c r="J791" s="5" t="str">
        <f t="shared" si="48"/>
        <v>Yes</v>
      </c>
      <c r="K791" s="5" t="str">
        <f t="shared" si="49"/>
        <v>N0</v>
      </c>
      <c r="L791" s="5" t="str">
        <f t="shared" si="51"/>
        <v>No</v>
      </c>
      <c r="M791" s="5">
        <f t="shared" si="50"/>
        <v>0</v>
      </c>
    </row>
    <row r="792" spans="1:13" x14ac:dyDescent="0.3">
      <c r="A792" s="2" t="s">
        <v>3421</v>
      </c>
      <c r="B792" s="2" t="s">
        <v>941</v>
      </c>
      <c r="C792" s="2" t="s">
        <v>2601</v>
      </c>
      <c r="D792" s="3">
        <v>45786</v>
      </c>
      <c r="E792" s="3">
        <v>45791</v>
      </c>
      <c r="F792" s="3">
        <v>45795</v>
      </c>
      <c r="G792" s="2" t="s">
        <v>2631</v>
      </c>
      <c r="H792" s="2">
        <v>26</v>
      </c>
      <c r="I792" s="2">
        <f>IFERROR(INDEX(Raw_Orders!H792:H3220,MATCH(B792,Raw_Orders!A792:A3220,0)),0)</f>
        <v>26</v>
      </c>
      <c r="J792" s="2" t="str">
        <f t="shared" si="48"/>
        <v>No</v>
      </c>
      <c r="K792" s="2" t="str">
        <f t="shared" si="49"/>
        <v>Yes</v>
      </c>
      <c r="L792" s="2" t="str">
        <f t="shared" si="51"/>
        <v>No</v>
      </c>
      <c r="M792" s="2">
        <f t="shared" si="50"/>
        <v>0</v>
      </c>
    </row>
    <row r="793" spans="1:13" x14ac:dyDescent="0.3">
      <c r="A793" s="5" t="s">
        <v>3422</v>
      </c>
      <c r="B793" s="5" t="s">
        <v>942</v>
      </c>
      <c r="C793" s="5" t="s">
        <v>2614</v>
      </c>
      <c r="D793" s="6">
        <v>45785</v>
      </c>
      <c r="E793" s="6">
        <v>45789</v>
      </c>
      <c r="F793" s="6">
        <v>45799</v>
      </c>
      <c r="G793" s="5" t="s">
        <v>2627</v>
      </c>
      <c r="H793" s="5">
        <v>13</v>
      </c>
      <c r="I793" s="5">
        <f>IFERROR(INDEX(Raw_Orders!H793:H3221,MATCH(B793,Raw_Orders!A793:A3221,0)),0)</f>
        <v>13</v>
      </c>
      <c r="J793" s="5" t="str">
        <f t="shared" si="48"/>
        <v>No</v>
      </c>
      <c r="K793" s="5" t="str">
        <f t="shared" si="49"/>
        <v>Yes</v>
      </c>
      <c r="L793" s="5" t="str">
        <f t="shared" si="51"/>
        <v>No</v>
      </c>
      <c r="M793" s="5">
        <f t="shared" si="50"/>
        <v>0</v>
      </c>
    </row>
    <row r="794" spans="1:13" x14ac:dyDescent="0.3">
      <c r="A794" s="2" t="s">
        <v>3423</v>
      </c>
      <c r="B794" s="2" t="s">
        <v>943</v>
      </c>
      <c r="C794" s="2" t="s">
        <v>2616</v>
      </c>
      <c r="D794" s="3">
        <v>45785</v>
      </c>
      <c r="E794" s="3">
        <v>45791</v>
      </c>
      <c r="F794" s="3">
        <v>45799</v>
      </c>
      <c r="G794" s="2" t="s">
        <v>2631</v>
      </c>
      <c r="H794" s="2">
        <v>18</v>
      </c>
      <c r="I794" s="2">
        <f>IFERROR(INDEX(Raw_Orders!H794:H3222,MATCH(B794,Raw_Orders!A794:A3222,0)),0)</f>
        <v>18</v>
      </c>
      <c r="J794" s="2" t="str">
        <f t="shared" si="48"/>
        <v>No</v>
      </c>
      <c r="K794" s="2" t="str">
        <f t="shared" si="49"/>
        <v>Yes</v>
      </c>
      <c r="L794" s="2" t="str">
        <f t="shared" si="51"/>
        <v>No</v>
      </c>
      <c r="M794" s="2">
        <f t="shared" si="50"/>
        <v>0</v>
      </c>
    </row>
    <row r="795" spans="1:13" x14ac:dyDescent="0.3">
      <c r="A795" s="5" t="s">
        <v>3424</v>
      </c>
      <c r="B795" s="5" t="s">
        <v>944</v>
      </c>
      <c r="C795" s="5" t="s">
        <v>2604</v>
      </c>
      <c r="D795" s="6">
        <v>45784</v>
      </c>
      <c r="E795" s="6">
        <v>45793</v>
      </c>
      <c r="F795" s="6">
        <v>45788</v>
      </c>
      <c r="G795" s="5" t="s">
        <v>2631</v>
      </c>
      <c r="H795" s="5">
        <v>17</v>
      </c>
      <c r="I795" s="5">
        <f>IFERROR(INDEX(Raw_Orders!H795:H3223,MATCH(B795,Raw_Orders!A795:A3223,0)),0)</f>
        <v>23</v>
      </c>
      <c r="J795" s="5" t="str">
        <f t="shared" si="48"/>
        <v>Yes</v>
      </c>
      <c r="K795" s="5" t="str">
        <f t="shared" si="49"/>
        <v>N0</v>
      </c>
      <c r="L795" s="5" t="str">
        <f t="shared" si="51"/>
        <v>No</v>
      </c>
      <c r="M795" s="5">
        <f t="shared" si="50"/>
        <v>0</v>
      </c>
    </row>
    <row r="796" spans="1:13" x14ac:dyDescent="0.3">
      <c r="A796" s="2" t="s">
        <v>3425</v>
      </c>
      <c r="B796" s="2" t="s">
        <v>945</v>
      </c>
      <c r="C796" s="2" t="s">
        <v>2608</v>
      </c>
      <c r="D796" s="3">
        <v>45784</v>
      </c>
      <c r="E796" s="3">
        <v>45787</v>
      </c>
      <c r="F796" s="3">
        <v>45798</v>
      </c>
      <c r="G796" s="2" t="s">
        <v>2641</v>
      </c>
      <c r="H796" s="2">
        <v>3</v>
      </c>
      <c r="I796" s="2">
        <f>IFERROR(INDEX(Raw_Orders!H796:H3224,MATCH(B796,Raw_Orders!A796:A3224,0)),0)</f>
        <v>3</v>
      </c>
      <c r="J796" s="2" t="str">
        <f t="shared" si="48"/>
        <v>No</v>
      </c>
      <c r="K796" s="2" t="str">
        <f t="shared" si="49"/>
        <v>Yes</v>
      </c>
      <c r="L796" s="2" t="str">
        <f t="shared" si="51"/>
        <v>No</v>
      </c>
      <c r="M796" s="2">
        <f t="shared" si="50"/>
        <v>0</v>
      </c>
    </row>
    <row r="797" spans="1:13" x14ac:dyDescent="0.3">
      <c r="A797" s="5" t="s">
        <v>3426</v>
      </c>
      <c r="B797" s="5" t="s">
        <v>946</v>
      </c>
      <c r="C797" s="5" t="s">
        <v>2608</v>
      </c>
      <c r="D797" s="6">
        <v>45784</v>
      </c>
      <c r="E797" s="6">
        <v>45793</v>
      </c>
      <c r="F797" s="6">
        <v>45797</v>
      </c>
      <c r="G797" s="5" t="s">
        <v>2631</v>
      </c>
      <c r="H797" s="5">
        <v>9</v>
      </c>
      <c r="I797" s="5">
        <f>IFERROR(INDEX(Raw_Orders!H797:H3225,MATCH(B797,Raw_Orders!A797:A3225,0)),0)</f>
        <v>10</v>
      </c>
      <c r="J797" s="5" t="str">
        <f t="shared" si="48"/>
        <v>No</v>
      </c>
      <c r="K797" s="5" t="str">
        <f t="shared" si="49"/>
        <v>N0</v>
      </c>
      <c r="L797" s="5" t="str">
        <f t="shared" si="51"/>
        <v>No</v>
      </c>
      <c r="M797" s="5">
        <f t="shared" si="50"/>
        <v>0</v>
      </c>
    </row>
    <row r="798" spans="1:13" x14ac:dyDescent="0.3">
      <c r="A798" s="2" t="s">
        <v>3427</v>
      </c>
      <c r="B798" s="2" t="s">
        <v>947</v>
      </c>
      <c r="C798" s="2" t="s">
        <v>2611</v>
      </c>
      <c r="D798" s="3">
        <v>45785</v>
      </c>
      <c r="E798" s="3">
        <v>45792</v>
      </c>
      <c r="F798" s="3">
        <v>45791</v>
      </c>
      <c r="G798" s="2" t="s">
        <v>2633</v>
      </c>
      <c r="H798" s="2">
        <v>14</v>
      </c>
      <c r="I798" s="2">
        <f>IFERROR(INDEX(Raw_Orders!H798:H3226,MATCH(B798,Raw_Orders!A798:A3226,0)),0)</f>
        <v>14</v>
      </c>
      <c r="J798" s="2" t="str">
        <f t="shared" si="48"/>
        <v>Yes</v>
      </c>
      <c r="K798" s="2" t="str">
        <f t="shared" si="49"/>
        <v>Yes</v>
      </c>
      <c r="L798" s="2" t="str">
        <f t="shared" si="51"/>
        <v>Yes</v>
      </c>
      <c r="M798" s="2">
        <f t="shared" si="50"/>
        <v>1</v>
      </c>
    </row>
    <row r="799" spans="1:13" x14ac:dyDescent="0.3">
      <c r="A799" s="5" t="s">
        <v>3428</v>
      </c>
      <c r="B799" s="5" t="s">
        <v>948</v>
      </c>
      <c r="C799" s="5" t="s">
        <v>2614</v>
      </c>
      <c r="D799" s="6">
        <v>45785</v>
      </c>
      <c r="E799" s="6">
        <v>45789</v>
      </c>
      <c r="F799" s="6">
        <v>45799</v>
      </c>
      <c r="G799" s="5" t="s">
        <v>2631</v>
      </c>
      <c r="H799" s="5">
        <v>14</v>
      </c>
      <c r="I799" s="5">
        <f>IFERROR(INDEX(Raw_Orders!H799:H3227,MATCH(B799,Raw_Orders!A799:A3227,0)),0)</f>
        <v>14</v>
      </c>
      <c r="J799" s="5" t="str">
        <f t="shared" si="48"/>
        <v>No</v>
      </c>
      <c r="K799" s="5" t="str">
        <f t="shared" si="49"/>
        <v>Yes</v>
      </c>
      <c r="L799" s="5" t="str">
        <f t="shared" si="51"/>
        <v>No</v>
      </c>
      <c r="M799" s="5">
        <f t="shared" si="50"/>
        <v>0</v>
      </c>
    </row>
    <row r="800" spans="1:13" x14ac:dyDescent="0.3">
      <c r="A800" s="2" t="s">
        <v>3429</v>
      </c>
      <c r="B800" s="2" t="s">
        <v>949</v>
      </c>
      <c r="C800" s="2" t="s">
        <v>2616</v>
      </c>
      <c r="D800" s="3">
        <v>45785</v>
      </c>
      <c r="E800" s="3">
        <v>45793</v>
      </c>
      <c r="F800" s="3">
        <v>45800</v>
      </c>
      <c r="G800" s="2" t="s">
        <v>2629</v>
      </c>
      <c r="H800" s="2">
        <v>16</v>
      </c>
      <c r="I800" s="2">
        <f>IFERROR(INDEX(Raw_Orders!H800:H3228,MATCH(B800,Raw_Orders!A800:A3228,0)),0)</f>
        <v>16</v>
      </c>
      <c r="J800" s="2" t="str">
        <f t="shared" si="48"/>
        <v>No</v>
      </c>
      <c r="K800" s="2" t="str">
        <f t="shared" si="49"/>
        <v>Yes</v>
      </c>
      <c r="L800" s="2" t="str">
        <f t="shared" si="51"/>
        <v>No</v>
      </c>
      <c r="M800" s="2">
        <f t="shared" si="50"/>
        <v>0</v>
      </c>
    </row>
    <row r="801" spans="1:13" x14ac:dyDescent="0.3">
      <c r="A801" s="5" t="s">
        <v>3430</v>
      </c>
      <c r="B801" s="5" t="s">
        <v>950</v>
      </c>
      <c r="C801" s="5" t="s">
        <v>2606</v>
      </c>
      <c r="D801" s="6">
        <v>45786</v>
      </c>
      <c r="E801" s="6">
        <v>45791</v>
      </c>
      <c r="F801" s="6">
        <v>45792</v>
      </c>
      <c r="G801" s="5" t="s">
        <v>2641</v>
      </c>
      <c r="H801" s="5">
        <v>30</v>
      </c>
      <c r="I801" s="5">
        <f>IFERROR(INDEX(Raw_Orders!H801:H3229,MATCH(B801,Raw_Orders!A801:A3229,0)),0)</f>
        <v>30</v>
      </c>
      <c r="J801" s="5" t="str">
        <f t="shared" si="48"/>
        <v>No</v>
      </c>
      <c r="K801" s="5" t="str">
        <f t="shared" si="49"/>
        <v>Yes</v>
      </c>
      <c r="L801" s="5" t="str">
        <f t="shared" si="51"/>
        <v>No</v>
      </c>
      <c r="M801" s="5">
        <f t="shared" si="50"/>
        <v>0</v>
      </c>
    </row>
    <row r="802" spans="1:13" x14ac:dyDescent="0.3">
      <c r="A802" s="2" t="s">
        <v>3431</v>
      </c>
      <c r="B802" s="2" t="s">
        <v>951</v>
      </c>
      <c r="C802" s="2" t="s">
        <v>2608</v>
      </c>
      <c r="D802" s="3">
        <v>45785</v>
      </c>
      <c r="E802" s="3">
        <v>45789</v>
      </c>
      <c r="F802" s="3">
        <v>45798</v>
      </c>
      <c r="G802" s="2" t="s">
        <v>2627</v>
      </c>
      <c r="H802" s="2">
        <v>33</v>
      </c>
      <c r="I802" s="2">
        <f>IFERROR(INDEX(Raw_Orders!H802:H3230,MATCH(B802,Raw_Orders!A802:A3230,0)),0)</f>
        <v>38</v>
      </c>
      <c r="J802" s="2" t="str">
        <f t="shared" si="48"/>
        <v>No</v>
      </c>
      <c r="K802" s="2" t="str">
        <f t="shared" si="49"/>
        <v>N0</v>
      </c>
      <c r="L802" s="2" t="str">
        <f t="shared" si="51"/>
        <v>No</v>
      </c>
      <c r="M802" s="2">
        <f t="shared" si="50"/>
        <v>0</v>
      </c>
    </row>
    <row r="803" spans="1:13" x14ac:dyDescent="0.3">
      <c r="A803" s="5" t="s">
        <v>3432</v>
      </c>
      <c r="B803" s="5" t="s">
        <v>952</v>
      </c>
      <c r="C803" s="5" t="s">
        <v>2611</v>
      </c>
      <c r="D803" s="6">
        <v>45787</v>
      </c>
      <c r="E803" s="6">
        <v>45794</v>
      </c>
      <c r="F803" s="6">
        <v>45794</v>
      </c>
      <c r="G803" s="5" t="s">
        <v>2641</v>
      </c>
      <c r="H803" s="5">
        <v>36</v>
      </c>
      <c r="I803" s="5">
        <f>IFERROR(INDEX(Raw_Orders!H803:H3231,MATCH(B803,Raw_Orders!A803:A3231,0)),0)</f>
        <v>36</v>
      </c>
      <c r="J803" s="5" t="str">
        <f t="shared" si="48"/>
        <v>Yes</v>
      </c>
      <c r="K803" s="5" t="str">
        <f t="shared" si="49"/>
        <v>Yes</v>
      </c>
      <c r="L803" s="5" t="str">
        <f t="shared" si="51"/>
        <v>Yes</v>
      </c>
      <c r="M803" s="5">
        <f t="shared" si="50"/>
        <v>1</v>
      </c>
    </row>
    <row r="804" spans="1:13" x14ac:dyDescent="0.3">
      <c r="A804" s="2" t="s">
        <v>3433</v>
      </c>
      <c r="B804" s="2" t="s">
        <v>953</v>
      </c>
      <c r="C804" s="2" t="s">
        <v>2598</v>
      </c>
      <c r="D804" s="3">
        <v>45788</v>
      </c>
      <c r="E804" s="3">
        <v>45790</v>
      </c>
      <c r="F804" s="3">
        <v>45800</v>
      </c>
      <c r="G804" s="2" t="s">
        <v>2641</v>
      </c>
      <c r="H804" s="2">
        <v>18</v>
      </c>
      <c r="I804" s="2">
        <f>IFERROR(INDEX(Raw_Orders!H804:H3232,MATCH(B804,Raw_Orders!A804:A3232,0)),0)</f>
        <v>18</v>
      </c>
      <c r="J804" s="2" t="str">
        <f t="shared" si="48"/>
        <v>No</v>
      </c>
      <c r="K804" s="2" t="str">
        <f t="shared" si="49"/>
        <v>Yes</v>
      </c>
      <c r="L804" s="2" t="str">
        <f t="shared" si="51"/>
        <v>No</v>
      </c>
      <c r="M804" s="2">
        <f t="shared" si="50"/>
        <v>0</v>
      </c>
    </row>
    <row r="805" spans="1:13" x14ac:dyDescent="0.3">
      <c r="A805" s="5" t="s">
        <v>3434</v>
      </c>
      <c r="B805" s="5" t="s">
        <v>954</v>
      </c>
      <c r="C805" s="5" t="s">
        <v>2614</v>
      </c>
      <c r="D805" s="6">
        <v>45786</v>
      </c>
      <c r="E805" s="6">
        <v>45789</v>
      </c>
      <c r="F805" s="6">
        <v>45800</v>
      </c>
      <c r="G805" s="5" t="s">
        <v>2641</v>
      </c>
      <c r="H805" s="5">
        <v>17</v>
      </c>
      <c r="I805" s="5">
        <f>IFERROR(INDEX(Raw_Orders!H805:H3233,MATCH(B805,Raw_Orders!A805:A3233,0)),0)</f>
        <v>17</v>
      </c>
      <c r="J805" s="5" t="str">
        <f t="shared" si="48"/>
        <v>No</v>
      </c>
      <c r="K805" s="5" t="str">
        <f t="shared" si="49"/>
        <v>Yes</v>
      </c>
      <c r="L805" s="5" t="str">
        <f t="shared" si="51"/>
        <v>No</v>
      </c>
      <c r="M805" s="5">
        <f t="shared" si="50"/>
        <v>0</v>
      </c>
    </row>
    <row r="806" spans="1:13" x14ac:dyDescent="0.3">
      <c r="A806" s="2" t="s">
        <v>3435</v>
      </c>
      <c r="B806" s="2" t="s">
        <v>955</v>
      </c>
      <c r="C806" s="2" t="s">
        <v>2614</v>
      </c>
      <c r="D806" s="3">
        <v>45787</v>
      </c>
      <c r="E806" s="3">
        <v>45789</v>
      </c>
      <c r="F806" s="3">
        <v>45805</v>
      </c>
      <c r="G806" s="2" t="s">
        <v>2627</v>
      </c>
      <c r="H806" s="2">
        <v>25</v>
      </c>
      <c r="I806" s="2">
        <f>IFERROR(INDEX(Raw_Orders!H806:H3234,MATCH(B806,Raw_Orders!A806:A3234,0)),0)</f>
        <v>25</v>
      </c>
      <c r="J806" s="2" t="str">
        <f t="shared" si="48"/>
        <v>No</v>
      </c>
      <c r="K806" s="2" t="str">
        <f t="shared" si="49"/>
        <v>Yes</v>
      </c>
      <c r="L806" s="2" t="str">
        <f t="shared" si="51"/>
        <v>No</v>
      </c>
      <c r="M806" s="2">
        <f t="shared" si="50"/>
        <v>0</v>
      </c>
    </row>
    <row r="807" spans="1:13" x14ac:dyDescent="0.3">
      <c r="A807" s="5" t="s">
        <v>3436</v>
      </c>
      <c r="B807" s="5" t="s">
        <v>956</v>
      </c>
      <c r="C807" s="5" t="s">
        <v>2614</v>
      </c>
      <c r="D807" s="6">
        <v>45786</v>
      </c>
      <c r="E807" s="6">
        <v>45794</v>
      </c>
      <c r="F807" s="6">
        <v>45800</v>
      </c>
      <c r="G807" s="5" t="s">
        <v>2629</v>
      </c>
      <c r="H807" s="5">
        <v>7</v>
      </c>
      <c r="I807" s="5">
        <f>IFERROR(INDEX(Raw_Orders!H807:H3235,MATCH(B807,Raw_Orders!A807:A3235,0)),0)</f>
        <v>7</v>
      </c>
      <c r="J807" s="5" t="str">
        <f t="shared" si="48"/>
        <v>No</v>
      </c>
      <c r="K807" s="5" t="str">
        <f t="shared" si="49"/>
        <v>Yes</v>
      </c>
      <c r="L807" s="5" t="str">
        <f t="shared" si="51"/>
        <v>No</v>
      </c>
      <c r="M807" s="5">
        <f t="shared" si="50"/>
        <v>0</v>
      </c>
    </row>
    <row r="808" spans="1:13" x14ac:dyDescent="0.3">
      <c r="A808" s="2" t="s">
        <v>3437</v>
      </c>
      <c r="B808" s="2" t="s">
        <v>957</v>
      </c>
      <c r="C808" s="2" t="s">
        <v>2608</v>
      </c>
      <c r="D808" s="3">
        <v>45788</v>
      </c>
      <c r="E808" s="3">
        <v>45789</v>
      </c>
      <c r="F808" s="3">
        <v>45801</v>
      </c>
      <c r="G808" s="2" t="s">
        <v>2633</v>
      </c>
      <c r="H808" s="2">
        <v>7</v>
      </c>
      <c r="I808" s="2">
        <f>IFERROR(INDEX(Raw_Orders!H808:H3236,MATCH(B808,Raw_Orders!A808:A3236,0)),0)</f>
        <v>7</v>
      </c>
      <c r="J808" s="2" t="str">
        <f t="shared" si="48"/>
        <v>No</v>
      </c>
      <c r="K808" s="2" t="str">
        <f t="shared" si="49"/>
        <v>Yes</v>
      </c>
      <c r="L808" s="2" t="str">
        <f t="shared" si="51"/>
        <v>No</v>
      </c>
      <c r="M808" s="2">
        <f t="shared" si="50"/>
        <v>0</v>
      </c>
    </row>
    <row r="809" spans="1:13" x14ac:dyDescent="0.3">
      <c r="A809" s="5" t="s">
        <v>3438</v>
      </c>
      <c r="B809" s="5" t="s">
        <v>958</v>
      </c>
      <c r="C809" s="5" t="s">
        <v>2598</v>
      </c>
      <c r="D809" s="6">
        <v>45787</v>
      </c>
      <c r="E809" s="6">
        <v>45795</v>
      </c>
      <c r="F809" s="6">
        <v>45800</v>
      </c>
      <c r="G809" s="5" t="s">
        <v>2631</v>
      </c>
      <c r="H809" s="5">
        <v>23</v>
      </c>
      <c r="I809" s="5">
        <f>IFERROR(INDEX(Raw_Orders!H809:H3237,MATCH(B809,Raw_Orders!A809:A3237,0)),0)</f>
        <v>23</v>
      </c>
      <c r="J809" s="5" t="str">
        <f t="shared" si="48"/>
        <v>No</v>
      </c>
      <c r="K809" s="5" t="str">
        <f t="shared" si="49"/>
        <v>Yes</v>
      </c>
      <c r="L809" s="5" t="str">
        <f t="shared" si="51"/>
        <v>No</v>
      </c>
      <c r="M809" s="5">
        <f t="shared" si="50"/>
        <v>0</v>
      </c>
    </row>
    <row r="810" spans="1:13" x14ac:dyDescent="0.3">
      <c r="A810" s="2" t="s">
        <v>3439</v>
      </c>
      <c r="B810" s="2" t="s">
        <v>959</v>
      </c>
      <c r="C810" s="2" t="s">
        <v>2614</v>
      </c>
      <c r="D810" s="3">
        <v>45787</v>
      </c>
      <c r="E810" s="3">
        <v>45792</v>
      </c>
      <c r="F810" s="3">
        <v>45801</v>
      </c>
      <c r="G810" s="2" t="s">
        <v>2629</v>
      </c>
      <c r="H810" s="2">
        <v>54</v>
      </c>
      <c r="I810" s="2">
        <f>IFERROR(INDEX(Raw_Orders!H810:H3238,MATCH(B810,Raw_Orders!A810:A3238,0)),0)</f>
        <v>54</v>
      </c>
      <c r="J810" s="2" t="str">
        <f t="shared" si="48"/>
        <v>No</v>
      </c>
      <c r="K810" s="2" t="str">
        <f t="shared" si="49"/>
        <v>Yes</v>
      </c>
      <c r="L810" s="2" t="str">
        <f t="shared" si="51"/>
        <v>No</v>
      </c>
      <c r="M810" s="2">
        <f t="shared" si="50"/>
        <v>0</v>
      </c>
    </row>
    <row r="811" spans="1:13" x14ac:dyDescent="0.3">
      <c r="A811" s="5" t="s">
        <v>3440</v>
      </c>
      <c r="B811" s="5" t="s">
        <v>960</v>
      </c>
      <c r="C811" s="5" t="s">
        <v>2614</v>
      </c>
      <c r="D811" s="6">
        <v>45787</v>
      </c>
      <c r="E811" s="6">
        <v>45791</v>
      </c>
      <c r="F811" s="6">
        <v>45800</v>
      </c>
      <c r="G811" s="5" t="s">
        <v>2633</v>
      </c>
      <c r="H811" s="5">
        <v>10</v>
      </c>
      <c r="I811" s="5">
        <f>IFERROR(INDEX(Raw_Orders!H811:H3239,MATCH(B811,Raw_Orders!A811:A3239,0)),0)</f>
        <v>16</v>
      </c>
      <c r="J811" s="5" t="str">
        <f t="shared" si="48"/>
        <v>No</v>
      </c>
      <c r="K811" s="5" t="str">
        <f t="shared" si="49"/>
        <v>N0</v>
      </c>
      <c r="L811" s="5" t="str">
        <f t="shared" si="51"/>
        <v>No</v>
      </c>
      <c r="M811" s="5">
        <f t="shared" si="50"/>
        <v>0</v>
      </c>
    </row>
    <row r="812" spans="1:13" x14ac:dyDescent="0.3">
      <c r="A812" s="2" t="s">
        <v>3441</v>
      </c>
      <c r="B812" s="2" t="s">
        <v>961</v>
      </c>
      <c r="C812" s="2" t="s">
        <v>2604</v>
      </c>
      <c r="D812" s="3">
        <v>45788</v>
      </c>
      <c r="E812" s="3">
        <v>45797</v>
      </c>
      <c r="F812" s="3">
        <v>45792</v>
      </c>
      <c r="G812" s="2" t="s">
        <v>2629</v>
      </c>
      <c r="H812" s="2">
        <v>54</v>
      </c>
      <c r="I812" s="2">
        <f>IFERROR(INDEX(Raw_Orders!H812:H3240,MATCH(B812,Raw_Orders!A812:A3240,0)),0)</f>
        <v>54</v>
      </c>
      <c r="J812" s="2" t="str">
        <f t="shared" si="48"/>
        <v>Yes</v>
      </c>
      <c r="K812" s="2" t="str">
        <f t="shared" si="49"/>
        <v>Yes</v>
      </c>
      <c r="L812" s="2" t="str">
        <f t="shared" si="51"/>
        <v>Yes</v>
      </c>
      <c r="M812" s="2">
        <f t="shared" si="50"/>
        <v>1</v>
      </c>
    </row>
    <row r="813" spans="1:13" x14ac:dyDescent="0.3">
      <c r="A813" s="5" t="s">
        <v>3442</v>
      </c>
      <c r="B813" s="5" t="s">
        <v>962</v>
      </c>
      <c r="C813" s="5" t="s">
        <v>2606</v>
      </c>
      <c r="D813" s="6">
        <v>45789</v>
      </c>
      <c r="E813" s="6">
        <v>45794</v>
      </c>
      <c r="F813" s="6">
        <v>45797</v>
      </c>
      <c r="G813" s="5" t="s">
        <v>2641</v>
      </c>
      <c r="H813" s="5">
        <v>37</v>
      </c>
      <c r="I813" s="5">
        <f>IFERROR(INDEX(Raw_Orders!H813:H3241,MATCH(B813,Raw_Orders!A813:A3241,0)),0)</f>
        <v>41</v>
      </c>
      <c r="J813" s="5" t="str">
        <f t="shared" si="48"/>
        <v>No</v>
      </c>
      <c r="K813" s="5" t="str">
        <f t="shared" si="49"/>
        <v>N0</v>
      </c>
      <c r="L813" s="5" t="str">
        <f t="shared" si="51"/>
        <v>No</v>
      </c>
      <c r="M813" s="5">
        <f t="shared" si="50"/>
        <v>0</v>
      </c>
    </row>
    <row r="814" spans="1:13" x14ac:dyDescent="0.3">
      <c r="A814" s="2" t="s">
        <v>3443</v>
      </c>
      <c r="B814" s="2" t="s">
        <v>963</v>
      </c>
      <c r="C814" s="2" t="s">
        <v>2606</v>
      </c>
      <c r="D814" s="3">
        <v>45788</v>
      </c>
      <c r="E814" s="3">
        <v>45791</v>
      </c>
      <c r="F814" s="3">
        <v>45794</v>
      </c>
      <c r="G814" s="2" t="s">
        <v>2629</v>
      </c>
      <c r="H814" s="2">
        <v>32</v>
      </c>
      <c r="I814" s="2">
        <f>IFERROR(INDEX(Raw_Orders!H814:H3242,MATCH(B814,Raw_Orders!A814:A3242,0)),0)</f>
        <v>32</v>
      </c>
      <c r="J814" s="2" t="str">
        <f t="shared" si="48"/>
        <v>No</v>
      </c>
      <c r="K814" s="2" t="str">
        <f t="shared" si="49"/>
        <v>Yes</v>
      </c>
      <c r="L814" s="2" t="str">
        <f t="shared" si="51"/>
        <v>No</v>
      </c>
      <c r="M814" s="2">
        <f t="shared" si="50"/>
        <v>0</v>
      </c>
    </row>
    <row r="815" spans="1:13" x14ac:dyDescent="0.3">
      <c r="A815" s="5" t="s">
        <v>3444</v>
      </c>
      <c r="B815" s="5" t="s">
        <v>964</v>
      </c>
      <c r="C815" s="5" t="s">
        <v>2608</v>
      </c>
      <c r="D815" s="6">
        <v>45789</v>
      </c>
      <c r="E815" s="6">
        <v>45795</v>
      </c>
      <c r="F815" s="6">
        <v>45801</v>
      </c>
      <c r="G815" s="5" t="s">
        <v>2629</v>
      </c>
      <c r="H815" s="5">
        <v>5</v>
      </c>
      <c r="I815" s="5">
        <f>IFERROR(INDEX(Raw_Orders!H815:H3243,MATCH(B815,Raw_Orders!A815:A3243,0)),0)</f>
        <v>9</v>
      </c>
      <c r="J815" s="5" t="str">
        <f t="shared" si="48"/>
        <v>No</v>
      </c>
      <c r="K815" s="5" t="str">
        <f t="shared" si="49"/>
        <v>N0</v>
      </c>
      <c r="L815" s="5" t="str">
        <f t="shared" si="51"/>
        <v>No</v>
      </c>
      <c r="M815" s="5">
        <f t="shared" si="50"/>
        <v>0</v>
      </c>
    </row>
    <row r="816" spans="1:13" x14ac:dyDescent="0.3">
      <c r="A816" s="2" t="s">
        <v>3445</v>
      </c>
      <c r="B816" s="2" t="s">
        <v>965</v>
      </c>
      <c r="C816" s="2" t="s">
        <v>2611</v>
      </c>
      <c r="D816" s="3">
        <v>45790</v>
      </c>
      <c r="E816" s="3">
        <v>45793</v>
      </c>
      <c r="F816" s="3">
        <v>45799</v>
      </c>
      <c r="G816" s="2" t="s">
        <v>2629</v>
      </c>
      <c r="H816" s="2">
        <v>25</v>
      </c>
      <c r="I816" s="2">
        <f>IFERROR(INDEX(Raw_Orders!H816:H3244,MATCH(B816,Raw_Orders!A816:A3244,0)),0)</f>
        <v>25</v>
      </c>
      <c r="J816" s="2" t="str">
        <f t="shared" si="48"/>
        <v>No</v>
      </c>
      <c r="K816" s="2" t="str">
        <f t="shared" si="49"/>
        <v>Yes</v>
      </c>
      <c r="L816" s="2" t="str">
        <f t="shared" si="51"/>
        <v>No</v>
      </c>
      <c r="M816" s="2">
        <f t="shared" si="50"/>
        <v>0</v>
      </c>
    </row>
    <row r="817" spans="1:13" x14ac:dyDescent="0.3">
      <c r="A817" s="5" t="s">
        <v>3446</v>
      </c>
      <c r="B817" s="5" t="s">
        <v>966</v>
      </c>
      <c r="C817" s="5" t="s">
        <v>2601</v>
      </c>
      <c r="D817" s="6">
        <v>45788</v>
      </c>
      <c r="E817" s="6">
        <v>45791</v>
      </c>
      <c r="F817" s="6">
        <v>45794</v>
      </c>
      <c r="G817" s="5" t="s">
        <v>2627</v>
      </c>
      <c r="H817" s="5">
        <v>7</v>
      </c>
      <c r="I817" s="5">
        <f>IFERROR(INDEX(Raw_Orders!H817:H3245,MATCH(B817,Raw_Orders!A817:A3245,0)),0)</f>
        <v>7</v>
      </c>
      <c r="J817" s="5" t="str">
        <f t="shared" si="48"/>
        <v>No</v>
      </c>
      <c r="K817" s="5" t="str">
        <f t="shared" si="49"/>
        <v>Yes</v>
      </c>
      <c r="L817" s="5" t="str">
        <f t="shared" si="51"/>
        <v>No</v>
      </c>
      <c r="M817" s="5">
        <f t="shared" si="50"/>
        <v>0</v>
      </c>
    </row>
    <row r="818" spans="1:13" x14ac:dyDescent="0.3">
      <c r="A818" s="2" t="s">
        <v>3447</v>
      </c>
      <c r="B818" s="2" t="s">
        <v>967</v>
      </c>
      <c r="C818" s="2" t="s">
        <v>2604</v>
      </c>
      <c r="D818" s="3">
        <v>45790</v>
      </c>
      <c r="E818" s="3">
        <v>45795</v>
      </c>
      <c r="F818" s="3">
        <v>45798</v>
      </c>
      <c r="G818" s="2" t="s">
        <v>2631</v>
      </c>
      <c r="H818" s="2">
        <v>15</v>
      </c>
      <c r="I818" s="2">
        <f>IFERROR(INDEX(Raw_Orders!H818:H3246,MATCH(B818,Raw_Orders!A818:A3246,0)),0)</f>
        <v>15</v>
      </c>
      <c r="J818" s="2" t="str">
        <f t="shared" si="48"/>
        <v>No</v>
      </c>
      <c r="K818" s="2" t="str">
        <f t="shared" si="49"/>
        <v>Yes</v>
      </c>
      <c r="L818" s="2" t="str">
        <f t="shared" si="51"/>
        <v>No</v>
      </c>
      <c r="M818" s="2">
        <f t="shared" si="50"/>
        <v>0</v>
      </c>
    </row>
    <row r="819" spans="1:13" x14ac:dyDescent="0.3">
      <c r="A819" s="5" t="s">
        <v>3448</v>
      </c>
      <c r="B819" s="5" t="s">
        <v>968</v>
      </c>
      <c r="C819" s="5" t="s">
        <v>2604</v>
      </c>
      <c r="D819" s="6">
        <v>45788</v>
      </c>
      <c r="E819" s="6">
        <v>45794</v>
      </c>
      <c r="F819" s="6">
        <v>45796</v>
      </c>
      <c r="G819" s="5" t="s">
        <v>2629</v>
      </c>
      <c r="H819" s="5">
        <v>17</v>
      </c>
      <c r="I819" s="5">
        <f>IFERROR(INDEX(Raw_Orders!H819:H3247,MATCH(B819,Raw_Orders!A819:A3247,0)),0)</f>
        <v>17</v>
      </c>
      <c r="J819" s="5" t="str">
        <f t="shared" si="48"/>
        <v>No</v>
      </c>
      <c r="K819" s="5" t="str">
        <f t="shared" si="49"/>
        <v>Yes</v>
      </c>
      <c r="L819" s="5" t="str">
        <f t="shared" si="51"/>
        <v>No</v>
      </c>
      <c r="M819" s="5">
        <f t="shared" si="50"/>
        <v>0</v>
      </c>
    </row>
    <row r="820" spans="1:13" x14ac:dyDescent="0.3">
      <c r="A820" s="2" t="s">
        <v>3449</v>
      </c>
      <c r="B820" s="2" t="s">
        <v>969</v>
      </c>
      <c r="C820" s="2" t="s">
        <v>2606</v>
      </c>
      <c r="D820" s="3">
        <v>45789</v>
      </c>
      <c r="E820" s="3">
        <v>45792</v>
      </c>
      <c r="F820" s="3">
        <v>45794</v>
      </c>
      <c r="G820" s="2" t="s">
        <v>2641</v>
      </c>
      <c r="H820" s="2">
        <v>32</v>
      </c>
      <c r="I820" s="2">
        <f>IFERROR(INDEX(Raw_Orders!H820:H3248,MATCH(B820,Raw_Orders!A820:A3248,0)),0)</f>
        <v>32</v>
      </c>
      <c r="J820" s="2" t="str">
        <f t="shared" si="48"/>
        <v>No</v>
      </c>
      <c r="K820" s="2" t="str">
        <f t="shared" si="49"/>
        <v>Yes</v>
      </c>
      <c r="L820" s="2" t="str">
        <f t="shared" si="51"/>
        <v>No</v>
      </c>
      <c r="M820" s="2">
        <f t="shared" si="50"/>
        <v>0</v>
      </c>
    </row>
    <row r="821" spans="1:13" x14ac:dyDescent="0.3">
      <c r="A821" s="5" t="s">
        <v>3450</v>
      </c>
      <c r="B821" s="5" t="s">
        <v>970</v>
      </c>
      <c r="C821" s="5" t="s">
        <v>2606</v>
      </c>
      <c r="D821" s="6">
        <v>45789</v>
      </c>
      <c r="E821" s="6">
        <v>45792</v>
      </c>
      <c r="F821" s="6">
        <v>45795</v>
      </c>
      <c r="G821" s="5" t="s">
        <v>2633</v>
      </c>
      <c r="H821" s="5">
        <v>51</v>
      </c>
      <c r="I821" s="5">
        <f>IFERROR(INDEX(Raw_Orders!H821:H3249,MATCH(B821,Raw_Orders!A821:A3249,0)),0)</f>
        <v>51</v>
      </c>
      <c r="J821" s="5" t="str">
        <f t="shared" si="48"/>
        <v>No</v>
      </c>
      <c r="K821" s="5" t="str">
        <f t="shared" si="49"/>
        <v>Yes</v>
      </c>
      <c r="L821" s="5" t="str">
        <f t="shared" si="51"/>
        <v>No</v>
      </c>
      <c r="M821" s="5">
        <f t="shared" si="50"/>
        <v>0</v>
      </c>
    </row>
    <row r="822" spans="1:13" x14ac:dyDescent="0.3">
      <c r="A822" s="2" t="s">
        <v>3451</v>
      </c>
      <c r="B822" s="2" t="s">
        <v>971</v>
      </c>
      <c r="C822" s="2" t="s">
        <v>2606</v>
      </c>
      <c r="D822" s="3">
        <v>45788</v>
      </c>
      <c r="E822" s="3">
        <v>45793</v>
      </c>
      <c r="F822" s="3">
        <v>45795</v>
      </c>
      <c r="G822" s="2" t="s">
        <v>2627</v>
      </c>
      <c r="H822" s="2">
        <v>21</v>
      </c>
      <c r="I822" s="2">
        <f>IFERROR(INDEX(Raw_Orders!H822:H3250,MATCH(B822,Raw_Orders!A822:A3250,0)),0)</f>
        <v>21</v>
      </c>
      <c r="J822" s="2" t="str">
        <f t="shared" si="48"/>
        <v>No</v>
      </c>
      <c r="K822" s="2" t="str">
        <f t="shared" si="49"/>
        <v>Yes</v>
      </c>
      <c r="L822" s="2" t="str">
        <f t="shared" si="51"/>
        <v>No</v>
      </c>
      <c r="M822" s="2">
        <f t="shared" si="50"/>
        <v>0</v>
      </c>
    </row>
    <row r="823" spans="1:13" x14ac:dyDescent="0.3">
      <c r="A823" s="5" t="s">
        <v>3452</v>
      </c>
      <c r="B823" s="5" t="s">
        <v>972</v>
      </c>
      <c r="C823" s="5" t="s">
        <v>2608</v>
      </c>
      <c r="D823" s="6">
        <v>45788</v>
      </c>
      <c r="E823" s="6">
        <v>45795</v>
      </c>
      <c r="F823" s="6">
        <v>45801</v>
      </c>
      <c r="G823" s="5" t="s">
        <v>2631</v>
      </c>
      <c r="H823" s="5">
        <v>8</v>
      </c>
      <c r="I823" s="5">
        <f>IFERROR(INDEX(Raw_Orders!H823:H3251,MATCH(B823,Raw_Orders!A823:A3251,0)),0)</f>
        <v>8</v>
      </c>
      <c r="J823" s="5" t="str">
        <f t="shared" si="48"/>
        <v>No</v>
      </c>
      <c r="K823" s="5" t="str">
        <f t="shared" si="49"/>
        <v>Yes</v>
      </c>
      <c r="L823" s="5" t="str">
        <f t="shared" si="51"/>
        <v>No</v>
      </c>
      <c r="M823" s="5">
        <f t="shared" si="50"/>
        <v>0</v>
      </c>
    </row>
    <row r="824" spans="1:13" x14ac:dyDescent="0.3">
      <c r="A824" s="2" t="s">
        <v>3453</v>
      </c>
      <c r="B824" s="2" t="s">
        <v>973</v>
      </c>
      <c r="C824" s="2" t="s">
        <v>2611</v>
      </c>
      <c r="D824" s="3">
        <v>45790</v>
      </c>
      <c r="E824" s="3">
        <v>45792</v>
      </c>
      <c r="F824" s="3">
        <v>45797</v>
      </c>
      <c r="G824" s="2" t="s">
        <v>2629</v>
      </c>
      <c r="H824" s="2">
        <v>58</v>
      </c>
      <c r="I824" s="2">
        <f>IFERROR(INDEX(Raw_Orders!H824:H3252,MATCH(B824,Raw_Orders!A824:A3252,0)),0)</f>
        <v>58</v>
      </c>
      <c r="J824" s="2" t="str">
        <f t="shared" si="48"/>
        <v>No</v>
      </c>
      <c r="K824" s="2" t="str">
        <f t="shared" si="49"/>
        <v>Yes</v>
      </c>
      <c r="L824" s="2" t="str">
        <f t="shared" si="51"/>
        <v>No</v>
      </c>
      <c r="M824" s="2">
        <f t="shared" si="50"/>
        <v>0</v>
      </c>
    </row>
    <row r="825" spans="1:13" x14ac:dyDescent="0.3">
      <c r="A825" s="5" t="s">
        <v>3454</v>
      </c>
      <c r="B825" s="5" t="s">
        <v>974</v>
      </c>
      <c r="C825" s="5" t="s">
        <v>2611</v>
      </c>
      <c r="D825" s="6">
        <v>45791</v>
      </c>
      <c r="E825" s="6">
        <v>45798</v>
      </c>
      <c r="F825" s="6">
        <v>45802</v>
      </c>
      <c r="G825" s="5" t="s">
        <v>2641</v>
      </c>
      <c r="H825" s="5">
        <v>19</v>
      </c>
      <c r="I825" s="5">
        <f>IFERROR(INDEX(Raw_Orders!H825:H3253,MATCH(B825,Raw_Orders!A825:A3253,0)),0)</f>
        <v>19</v>
      </c>
      <c r="J825" s="5" t="str">
        <f t="shared" si="48"/>
        <v>No</v>
      </c>
      <c r="K825" s="5" t="str">
        <f t="shared" si="49"/>
        <v>Yes</v>
      </c>
      <c r="L825" s="5" t="str">
        <f t="shared" si="51"/>
        <v>No</v>
      </c>
      <c r="M825" s="5">
        <f t="shared" si="50"/>
        <v>0</v>
      </c>
    </row>
    <row r="826" spans="1:13" x14ac:dyDescent="0.3">
      <c r="A826" s="2" t="s">
        <v>3455</v>
      </c>
      <c r="B826" s="2" t="s">
        <v>975</v>
      </c>
      <c r="C826" s="2" t="s">
        <v>2604</v>
      </c>
      <c r="D826" s="3">
        <v>45789</v>
      </c>
      <c r="E826" s="3">
        <v>45795</v>
      </c>
      <c r="F826" s="3">
        <v>45793</v>
      </c>
      <c r="G826" s="2" t="s">
        <v>2641</v>
      </c>
      <c r="H826" s="2">
        <v>11</v>
      </c>
      <c r="I826" s="2">
        <f>IFERROR(INDEX(Raw_Orders!H826:H3254,MATCH(B826,Raw_Orders!A826:A3254,0)),0)</f>
        <v>11</v>
      </c>
      <c r="J826" s="2" t="str">
        <f t="shared" si="48"/>
        <v>Yes</v>
      </c>
      <c r="K826" s="2" t="str">
        <f t="shared" si="49"/>
        <v>Yes</v>
      </c>
      <c r="L826" s="2" t="str">
        <f t="shared" si="51"/>
        <v>Yes</v>
      </c>
      <c r="M826" s="2">
        <f t="shared" si="50"/>
        <v>1</v>
      </c>
    </row>
    <row r="827" spans="1:13" x14ac:dyDescent="0.3">
      <c r="A827" s="5" t="s">
        <v>3456</v>
      </c>
      <c r="B827" s="5" t="s">
        <v>976</v>
      </c>
      <c r="C827" s="5" t="s">
        <v>2606</v>
      </c>
      <c r="D827" s="6">
        <v>45789</v>
      </c>
      <c r="E827" s="6">
        <v>45799</v>
      </c>
      <c r="F827" s="6">
        <v>45795</v>
      </c>
      <c r="G827" s="5" t="s">
        <v>2629</v>
      </c>
      <c r="H827" s="5">
        <v>42</v>
      </c>
      <c r="I827" s="5">
        <f>IFERROR(INDEX(Raw_Orders!H827:H3255,MATCH(B827,Raw_Orders!A827:A3255,0)),0)</f>
        <v>48</v>
      </c>
      <c r="J827" s="5" t="str">
        <f t="shared" si="48"/>
        <v>Yes</v>
      </c>
      <c r="K827" s="5" t="str">
        <f t="shared" si="49"/>
        <v>N0</v>
      </c>
      <c r="L827" s="5" t="str">
        <f t="shared" si="51"/>
        <v>No</v>
      </c>
      <c r="M827" s="5">
        <f t="shared" si="50"/>
        <v>0</v>
      </c>
    </row>
    <row r="828" spans="1:13" x14ac:dyDescent="0.3">
      <c r="A828" s="2" t="s">
        <v>3457</v>
      </c>
      <c r="B828" s="2" t="s">
        <v>977</v>
      </c>
      <c r="C828" s="2" t="s">
        <v>2606</v>
      </c>
      <c r="D828" s="3">
        <v>45789</v>
      </c>
      <c r="E828" s="3">
        <v>45799</v>
      </c>
      <c r="F828" s="3">
        <v>45795</v>
      </c>
      <c r="G828" s="2" t="s">
        <v>2641</v>
      </c>
      <c r="H828" s="2">
        <v>16</v>
      </c>
      <c r="I828" s="2">
        <f>IFERROR(INDEX(Raw_Orders!H828:H3256,MATCH(B828,Raw_Orders!A828:A3256,0)),0)</f>
        <v>16</v>
      </c>
      <c r="J828" s="2" t="str">
        <f t="shared" si="48"/>
        <v>Yes</v>
      </c>
      <c r="K828" s="2" t="str">
        <f t="shared" si="49"/>
        <v>Yes</v>
      </c>
      <c r="L828" s="2" t="str">
        <f t="shared" si="51"/>
        <v>Yes</v>
      </c>
      <c r="M828" s="2">
        <f t="shared" si="50"/>
        <v>1</v>
      </c>
    </row>
    <row r="829" spans="1:13" x14ac:dyDescent="0.3">
      <c r="A829" s="5" t="s">
        <v>3458</v>
      </c>
      <c r="B829" s="5" t="s">
        <v>978</v>
      </c>
      <c r="C829" s="5" t="s">
        <v>2608</v>
      </c>
      <c r="D829" s="6">
        <v>45789</v>
      </c>
      <c r="E829" s="6">
        <v>45796</v>
      </c>
      <c r="F829" s="6">
        <v>45802</v>
      </c>
      <c r="G829" s="5" t="s">
        <v>2629</v>
      </c>
      <c r="H829" s="5">
        <v>14</v>
      </c>
      <c r="I829" s="5">
        <f>IFERROR(INDEX(Raw_Orders!H829:H3257,MATCH(B829,Raw_Orders!A829:A3257,0)),0)</f>
        <v>14</v>
      </c>
      <c r="J829" s="5" t="str">
        <f t="shared" si="48"/>
        <v>No</v>
      </c>
      <c r="K829" s="5" t="str">
        <f t="shared" si="49"/>
        <v>Yes</v>
      </c>
      <c r="L829" s="5" t="str">
        <f t="shared" si="51"/>
        <v>No</v>
      </c>
      <c r="M829" s="5">
        <f t="shared" si="50"/>
        <v>0</v>
      </c>
    </row>
    <row r="830" spans="1:13" x14ac:dyDescent="0.3">
      <c r="A830" s="2" t="s">
        <v>3459</v>
      </c>
      <c r="B830" s="2" t="s">
        <v>979</v>
      </c>
      <c r="C830" s="2" t="s">
        <v>2608</v>
      </c>
      <c r="D830" s="3">
        <v>45789</v>
      </c>
      <c r="E830" s="3">
        <v>45797</v>
      </c>
      <c r="F830" s="3">
        <v>45804</v>
      </c>
      <c r="G830" s="2" t="s">
        <v>2629</v>
      </c>
      <c r="H830" s="2">
        <v>8</v>
      </c>
      <c r="I830" s="2">
        <f>IFERROR(INDEX(Raw_Orders!H830:H3258,MATCH(B830,Raw_Orders!A830:A3258,0)),0)</f>
        <v>8</v>
      </c>
      <c r="J830" s="2" t="str">
        <f t="shared" si="48"/>
        <v>No</v>
      </c>
      <c r="K830" s="2" t="str">
        <f t="shared" si="49"/>
        <v>Yes</v>
      </c>
      <c r="L830" s="2" t="str">
        <f t="shared" si="51"/>
        <v>No</v>
      </c>
      <c r="M830" s="2">
        <f t="shared" si="50"/>
        <v>0</v>
      </c>
    </row>
    <row r="831" spans="1:13" x14ac:dyDescent="0.3">
      <c r="A831" s="5" t="s">
        <v>3460</v>
      </c>
      <c r="B831" s="5" t="s">
        <v>980</v>
      </c>
      <c r="C831" s="5" t="s">
        <v>2608</v>
      </c>
      <c r="D831" s="6">
        <v>45790</v>
      </c>
      <c r="E831" s="6">
        <v>45799</v>
      </c>
      <c r="F831" s="6">
        <v>45807</v>
      </c>
      <c r="G831" s="5" t="s">
        <v>2641</v>
      </c>
      <c r="H831" s="5">
        <v>1</v>
      </c>
      <c r="I831" s="5">
        <f>IFERROR(INDEX(Raw_Orders!H831:H3259,MATCH(B831,Raw_Orders!A831:A3259,0)),0)</f>
        <v>7</v>
      </c>
      <c r="J831" s="5" t="str">
        <f t="shared" si="48"/>
        <v>No</v>
      </c>
      <c r="K831" s="5" t="str">
        <f t="shared" si="49"/>
        <v>N0</v>
      </c>
      <c r="L831" s="5" t="str">
        <f t="shared" si="51"/>
        <v>No</v>
      </c>
      <c r="M831" s="5">
        <f t="shared" si="50"/>
        <v>0</v>
      </c>
    </row>
    <row r="832" spans="1:13" x14ac:dyDescent="0.3">
      <c r="A832" s="2" t="s">
        <v>3461</v>
      </c>
      <c r="B832" s="2" t="s">
        <v>981</v>
      </c>
      <c r="C832" s="2" t="s">
        <v>2611</v>
      </c>
      <c r="D832" s="3">
        <v>45792</v>
      </c>
      <c r="E832" s="3">
        <v>45794</v>
      </c>
      <c r="F832" s="3">
        <v>45800</v>
      </c>
      <c r="G832" s="2" t="s">
        <v>2627</v>
      </c>
      <c r="H832" s="2">
        <v>26</v>
      </c>
      <c r="I832" s="2">
        <f>IFERROR(INDEX(Raw_Orders!H832:H3260,MATCH(B832,Raw_Orders!A832:A3260,0)),0)</f>
        <v>26</v>
      </c>
      <c r="J832" s="2" t="str">
        <f t="shared" si="48"/>
        <v>No</v>
      </c>
      <c r="K832" s="2" t="str">
        <f t="shared" si="49"/>
        <v>Yes</v>
      </c>
      <c r="L832" s="2" t="str">
        <f t="shared" si="51"/>
        <v>No</v>
      </c>
      <c r="M832" s="2">
        <f t="shared" si="50"/>
        <v>0</v>
      </c>
    </row>
    <row r="833" spans="1:13" x14ac:dyDescent="0.3">
      <c r="A833" s="5" t="s">
        <v>3462</v>
      </c>
      <c r="B833" s="5" t="s">
        <v>982</v>
      </c>
      <c r="C833" s="5" t="s">
        <v>2601</v>
      </c>
      <c r="D833" s="6">
        <v>45792</v>
      </c>
      <c r="E833" s="6">
        <v>45794</v>
      </c>
      <c r="F833" s="6">
        <v>45796</v>
      </c>
      <c r="G833" s="5" t="s">
        <v>2641</v>
      </c>
      <c r="H833" s="5">
        <v>13</v>
      </c>
      <c r="I833" s="5">
        <f>IFERROR(INDEX(Raw_Orders!H833:H3261,MATCH(B833,Raw_Orders!A833:A3261,0)),0)</f>
        <v>19</v>
      </c>
      <c r="J833" s="5" t="str">
        <f t="shared" si="48"/>
        <v>No</v>
      </c>
      <c r="K833" s="5" t="str">
        <f t="shared" si="49"/>
        <v>N0</v>
      </c>
      <c r="L833" s="5" t="str">
        <f t="shared" si="51"/>
        <v>No</v>
      </c>
      <c r="M833" s="5">
        <f t="shared" si="50"/>
        <v>0</v>
      </c>
    </row>
    <row r="834" spans="1:13" x14ac:dyDescent="0.3">
      <c r="A834" s="2" t="s">
        <v>3463</v>
      </c>
      <c r="B834" s="2" t="s">
        <v>983</v>
      </c>
      <c r="C834" s="2" t="s">
        <v>2601</v>
      </c>
      <c r="D834" s="3">
        <v>45790</v>
      </c>
      <c r="E834" s="3">
        <v>45795</v>
      </c>
      <c r="F834" s="3">
        <v>45795</v>
      </c>
      <c r="G834" s="2" t="s">
        <v>2631</v>
      </c>
      <c r="H834" s="2">
        <v>16</v>
      </c>
      <c r="I834" s="2">
        <f>IFERROR(INDEX(Raw_Orders!H834:H3262,MATCH(B834,Raw_Orders!A834:A3262,0)),0)</f>
        <v>16</v>
      </c>
      <c r="J834" s="2" t="str">
        <f t="shared" si="48"/>
        <v>Yes</v>
      </c>
      <c r="K834" s="2" t="str">
        <f t="shared" si="49"/>
        <v>Yes</v>
      </c>
      <c r="L834" s="2" t="str">
        <f t="shared" si="51"/>
        <v>Yes</v>
      </c>
      <c r="M834" s="2">
        <f t="shared" si="50"/>
        <v>1</v>
      </c>
    </row>
    <row r="835" spans="1:13" x14ac:dyDescent="0.3">
      <c r="A835" s="5" t="s">
        <v>3464</v>
      </c>
      <c r="B835" s="5" t="s">
        <v>984</v>
      </c>
      <c r="C835" s="5" t="s">
        <v>2614</v>
      </c>
      <c r="D835" s="6">
        <v>45791</v>
      </c>
      <c r="E835" s="6">
        <v>45796</v>
      </c>
      <c r="F835" s="6">
        <v>45805</v>
      </c>
      <c r="G835" s="5" t="s">
        <v>2641</v>
      </c>
      <c r="H835" s="5">
        <v>17</v>
      </c>
      <c r="I835" s="5">
        <f>IFERROR(INDEX(Raw_Orders!H835:H3263,MATCH(B835,Raw_Orders!A835:A3263,0)),0)</f>
        <v>17</v>
      </c>
      <c r="J835" s="5" t="str">
        <f t="shared" ref="J835:J898" si="52">IF(E835&gt;=F835,"Yes","No")</f>
        <v>No</v>
      </c>
      <c r="K835" s="5" t="str">
        <f t="shared" ref="K835:K898" si="53">IF(H835&gt;=I835,"Yes","N0")</f>
        <v>Yes</v>
      </c>
      <c r="L835" s="5" t="str">
        <f t="shared" si="51"/>
        <v>No</v>
      </c>
      <c r="M835" s="5">
        <f t="shared" ref="M835:M898" si="54">IF(L835="Yes",1,0)</f>
        <v>0</v>
      </c>
    </row>
    <row r="836" spans="1:13" x14ac:dyDescent="0.3">
      <c r="A836" s="2" t="s">
        <v>3465</v>
      </c>
      <c r="B836" s="2" t="s">
        <v>985</v>
      </c>
      <c r="C836" s="2" t="s">
        <v>2616</v>
      </c>
      <c r="D836" s="3">
        <v>45792</v>
      </c>
      <c r="E836" s="3">
        <v>45796</v>
      </c>
      <c r="F836" s="3">
        <v>45811</v>
      </c>
      <c r="G836" s="2" t="s">
        <v>2631</v>
      </c>
      <c r="H836" s="2">
        <v>41</v>
      </c>
      <c r="I836" s="2">
        <f>IFERROR(INDEX(Raw_Orders!H836:H3264,MATCH(B836,Raw_Orders!A836:A3264,0)),0)</f>
        <v>44</v>
      </c>
      <c r="J836" s="2" t="str">
        <f t="shared" si="52"/>
        <v>No</v>
      </c>
      <c r="K836" s="2" t="str">
        <f t="shared" si="53"/>
        <v>N0</v>
      </c>
      <c r="L836" s="2" t="str">
        <f t="shared" ref="L836:L899" si="55">IF(AND(J836="Yes",K836="Yes"),"Yes","No")</f>
        <v>No</v>
      </c>
      <c r="M836" s="2">
        <f t="shared" si="54"/>
        <v>0</v>
      </c>
    </row>
    <row r="837" spans="1:13" x14ac:dyDescent="0.3">
      <c r="A837" s="5" t="s">
        <v>3466</v>
      </c>
      <c r="B837" s="5" t="s">
        <v>986</v>
      </c>
      <c r="C837" s="5" t="s">
        <v>2606</v>
      </c>
      <c r="D837" s="6">
        <v>45791</v>
      </c>
      <c r="E837" s="6">
        <v>45800</v>
      </c>
      <c r="F837" s="6">
        <v>45796</v>
      </c>
      <c r="G837" s="5" t="s">
        <v>2631</v>
      </c>
      <c r="H837" s="5">
        <v>15</v>
      </c>
      <c r="I837" s="5">
        <f>IFERROR(INDEX(Raw_Orders!H837:H3265,MATCH(B837,Raw_Orders!A837:A3265,0)),0)</f>
        <v>15</v>
      </c>
      <c r="J837" s="5" t="str">
        <f t="shared" si="52"/>
        <v>Yes</v>
      </c>
      <c r="K837" s="5" t="str">
        <f t="shared" si="53"/>
        <v>Yes</v>
      </c>
      <c r="L837" s="5" t="str">
        <f t="shared" si="55"/>
        <v>Yes</v>
      </c>
      <c r="M837" s="5">
        <f t="shared" si="54"/>
        <v>1</v>
      </c>
    </row>
    <row r="838" spans="1:13" x14ac:dyDescent="0.3">
      <c r="A838" s="2" t="s">
        <v>3467</v>
      </c>
      <c r="B838" s="2" t="s">
        <v>987</v>
      </c>
      <c r="C838" s="2" t="s">
        <v>2608</v>
      </c>
      <c r="D838" s="3">
        <v>45790</v>
      </c>
      <c r="E838" s="3">
        <v>45794</v>
      </c>
      <c r="F838" s="3">
        <v>45803</v>
      </c>
      <c r="G838" s="2" t="s">
        <v>2641</v>
      </c>
      <c r="H838" s="2">
        <v>7</v>
      </c>
      <c r="I838" s="2">
        <f>IFERROR(INDEX(Raw_Orders!H838:H3266,MATCH(B838,Raw_Orders!A838:A3266,0)),0)</f>
        <v>7</v>
      </c>
      <c r="J838" s="2" t="str">
        <f t="shared" si="52"/>
        <v>No</v>
      </c>
      <c r="K838" s="2" t="str">
        <f t="shared" si="53"/>
        <v>Yes</v>
      </c>
      <c r="L838" s="2" t="str">
        <f t="shared" si="55"/>
        <v>No</v>
      </c>
      <c r="M838" s="2">
        <f t="shared" si="54"/>
        <v>0</v>
      </c>
    </row>
    <row r="839" spans="1:13" x14ac:dyDescent="0.3">
      <c r="A839" s="5" t="s">
        <v>3468</v>
      </c>
      <c r="B839" s="5" t="s">
        <v>988</v>
      </c>
      <c r="C839" s="5" t="s">
        <v>2608</v>
      </c>
      <c r="D839" s="6">
        <v>45791</v>
      </c>
      <c r="E839" s="6">
        <v>45793</v>
      </c>
      <c r="F839" s="6">
        <v>45803</v>
      </c>
      <c r="G839" s="5" t="s">
        <v>2633</v>
      </c>
      <c r="H839" s="5">
        <v>8</v>
      </c>
      <c r="I839" s="5">
        <f>IFERROR(INDEX(Raw_Orders!H839:H3267,MATCH(B839,Raw_Orders!A839:A3267,0)),0)</f>
        <v>8</v>
      </c>
      <c r="J839" s="5" t="str">
        <f t="shared" si="52"/>
        <v>No</v>
      </c>
      <c r="K839" s="5" t="str">
        <f t="shared" si="53"/>
        <v>Yes</v>
      </c>
      <c r="L839" s="5" t="str">
        <f t="shared" si="55"/>
        <v>No</v>
      </c>
      <c r="M839" s="5">
        <f t="shared" si="54"/>
        <v>0</v>
      </c>
    </row>
    <row r="840" spans="1:13" x14ac:dyDescent="0.3">
      <c r="A840" s="2" t="s">
        <v>3469</v>
      </c>
      <c r="B840" s="2" t="s">
        <v>989</v>
      </c>
      <c r="C840" s="2" t="s">
        <v>2614</v>
      </c>
      <c r="D840" s="3">
        <v>45793</v>
      </c>
      <c r="E840" s="3">
        <v>45798</v>
      </c>
      <c r="F840" s="3">
        <v>45807</v>
      </c>
      <c r="G840" s="2" t="s">
        <v>2627</v>
      </c>
      <c r="H840" s="2">
        <v>30</v>
      </c>
      <c r="I840" s="2">
        <f>IFERROR(INDEX(Raw_Orders!H840:H3268,MATCH(B840,Raw_Orders!A840:A3268,0)),0)</f>
        <v>30</v>
      </c>
      <c r="J840" s="2" t="str">
        <f t="shared" si="52"/>
        <v>No</v>
      </c>
      <c r="K840" s="2" t="str">
        <f t="shared" si="53"/>
        <v>Yes</v>
      </c>
      <c r="L840" s="2" t="str">
        <f t="shared" si="55"/>
        <v>No</v>
      </c>
      <c r="M840" s="2">
        <f t="shared" si="54"/>
        <v>0</v>
      </c>
    </row>
    <row r="841" spans="1:13" x14ac:dyDescent="0.3">
      <c r="A841" s="5" t="s">
        <v>3470</v>
      </c>
      <c r="B841" s="5" t="s">
        <v>990</v>
      </c>
      <c r="C841" s="5" t="s">
        <v>2614</v>
      </c>
      <c r="D841" s="6">
        <v>45793</v>
      </c>
      <c r="E841" s="6">
        <v>45799</v>
      </c>
      <c r="F841" s="6">
        <v>45811</v>
      </c>
      <c r="G841" s="5" t="s">
        <v>2629</v>
      </c>
      <c r="H841" s="5">
        <v>16</v>
      </c>
      <c r="I841" s="5">
        <f>IFERROR(INDEX(Raw_Orders!H841:H3269,MATCH(B841,Raw_Orders!A841:A3269,0)),0)</f>
        <v>16</v>
      </c>
      <c r="J841" s="5" t="str">
        <f t="shared" si="52"/>
        <v>No</v>
      </c>
      <c r="K841" s="5" t="str">
        <f t="shared" si="53"/>
        <v>Yes</v>
      </c>
      <c r="L841" s="5" t="str">
        <f t="shared" si="55"/>
        <v>No</v>
      </c>
      <c r="M841" s="5">
        <f t="shared" si="54"/>
        <v>0</v>
      </c>
    </row>
    <row r="842" spans="1:13" x14ac:dyDescent="0.3">
      <c r="A842" s="2" t="s">
        <v>3471</v>
      </c>
      <c r="B842" s="2" t="s">
        <v>991</v>
      </c>
      <c r="C842" s="2" t="s">
        <v>2611</v>
      </c>
      <c r="D842" s="3">
        <v>45793</v>
      </c>
      <c r="E842" s="3">
        <v>45795</v>
      </c>
      <c r="F842" s="3">
        <v>45804</v>
      </c>
      <c r="G842" s="2" t="s">
        <v>2633</v>
      </c>
      <c r="H842" s="2">
        <v>30</v>
      </c>
      <c r="I842" s="2">
        <f>IFERROR(INDEX(Raw_Orders!H842:H3270,MATCH(B842,Raw_Orders!A842:A3270,0)),0)</f>
        <v>30</v>
      </c>
      <c r="J842" s="2" t="str">
        <f t="shared" si="52"/>
        <v>No</v>
      </c>
      <c r="K842" s="2" t="str">
        <f t="shared" si="53"/>
        <v>Yes</v>
      </c>
      <c r="L842" s="2" t="str">
        <f t="shared" si="55"/>
        <v>No</v>
      </c>
      <c r="M842" s="2">
        <f t="shared" si="54"/>
        <v>0</v>
      </c>
    </row>
    <row r="843" spans="1:13" x14ac:dyDescent="0.3">
      <c r="A843" s="5" t="s">
        <v>3472</v>
      </c>
      <c r="B843" s="5" t="s">
        <v>992</v>
      </c>
      <c r="C843" s="5" t="s">
        <v>2598</v>
      </c>
      <c r="D843" s="6">
        <v>45793</v>
      </c>
      <c r="E843" s="6">
        <v>45799</v>
      </c>
      <c r="F843" s="6">
        <v>45805</v>
      </c>
      <c r="G843" s="5" t="s">
        <v>2631</v>
      </c>
      <c r="H843" s="5">
        <v>16</v>
      </c>
      <c r="I843" s="5">
        <f>IFERROR(INDEX(Raw_Orders!H843:H3271,MATCH(B843,Raw_Orders!A843:A3271,0)),0)</f>
        <v>16</v>
      </c>
      <c r="J843" s="5" t="str">
        <f t="shared" si="52"/>
        <v>No</v>
      </c>
      <c r="K843" s="5" t="str">
        <f t="shared" si="53"/>
        <v>Yes</v>
      </c>
      <c r="L843" s="5" t="str">
        <f t="shared" si="55"/>
        <v>No</v>
      </c>
      <c r="M843" s="5">
        <f t="shared" si="54"/>
        <v>0</v>
      </c>
    </row>
    <row r="844" spans="1:13" x14ac:dyDescent="0.3">
      <c r="A844" s="2" t="s">
        <v>3473</v>
      </c>
      <c r="B844" s="2" t="s">
        <v>993</v>
      </c>
      <c r="C844" s="2" t="s">
        <v>2601</v>
      </c>
      <c r="D844" s="3">
        <v>45794</v>
      </c>
      <c r="E844" s="3">
        <v>45801</v>
      </c>
      <c r="F844" s="3">
        <v>45803</v>
      </c>
      <c r="G844" s="2" t="s">
        <v>2641</v>
      </c>
      <c r="H844" s="2">
        <v>8</v>
      </c>
      <c r="I844" s="2">
        <f>IFERROR(INDEX(Raw_Orders!H844:H3272,MATCH(B844,Raw_Orders!A844:A3272,0)),0)</f>
        <v>8</v>
      </c>
      <c r="J844" s="2" t="str">
        <f t="shared" si="52"/>
        <v>No</v>
      </c>
      <c r="K844" s="2" t="str">
        <f t="shared" si="53"/>
        <v>Yes</v>
      </c>
      <c r="L844" s="2" t="str">
        <f t="shared" si="55"/>
        <v>No</v>
      </c>
      <c r="M844" s="2">
        <f t="shared" si="54"/>
        <v>0</v>
      </c>
    </row>
    <row r="845" spans="1:13" x14ac:dyDescent="0.3">
      <c r="A845" s="5" t="s">
        <v>3474</v>
      </c>
      <c r="B845" s="5" t="s">
        <v>994</v>
      </c>
      <c r="C845" s="5" t="s">
        <v>2614</v>
      </c>
      <c r="D845" s="6">
        <v>45794</v>
      </c>
      <c r="E845" s="6">
        <v>45798</v>
      </c>
      <c r="F845" s="6">
        <v>45808</v>
      </c>
      <c r="G845" s="5" t="s">
        <v>2633</v>
      </c>
      <c r="H845" s="5">
        <v>20</v>
      </c>
      <c r="I845" s="5">
        <f>IFERROR(INDEX(Raw_Orders!H845:H3273,MATCH(B845,Raw_Orders!A845:A3273,0)),0)</f>
        <v>20</v>
      </c>
      <c r="J845" s="5" t="str">
        <f t="shared" si="52"/>
        <v>No</v>
      </c>
      <c r="K845" s="5" t="str">
        <f t="shared" si="53"/>
        <v>Yes</v>
      </c>
      <c r="L845" s="5" t="str">
        <f t="shared" si="55"/>
        <v>No</v>
      </c>
      <c r="M845" s="5">
        <f t="shared" si="54"/>
        <v>0</v>
      </c>
    </row>
    <row r="846" spans="1:13" x14ac:dyDescent="0.3">
      <c r="A846" s="2" t="s">
        <v>3475</v>
      </c>
      <c r="B846" s="2" t="s">
        <v>995</v>
      </c>
      <c r="C846" s="2" t="s">
        <v>2604</v>
      </c>
      <c r="D846" s="3">
        <v>45792</v>
      </c>
      <c r="E846" s="3">
        <v>45801</v>
      </c>
      <c r="F846" s="3">
        <v>45796</v>
      </c>
      <c r="G846" s="2" t="s">
        <v>2631</v>
      </c>
      <c r="H846" s="2">
        <v>5</v>
      </c>
      <c r="I846" s="2">
        <f>IFERROR(INDEX(Raw_Orders!H846:H3274,MATCH(B846,Raw_Orders!A846:A3274,0)),0)</f>
        <v>5</v>
      </c>
      <c r="J846" s="2" t="str">
        <f t="shared" si="52"/>
        <v>Yes</v>
      </c>
      <c r="K846" s="2" t="str">
        <f t="shared" si="53"/>
        <v>Yes</v>
      </c>
      <c r="L846" s="2" t="str">
        <f t="shared" si="55"/>
        <v>Yes</v>
      </c>
      <c r="M846" s="2">
        <f t="shared" si="54"/>
        <v>1</v>
      </c>
    </row>
    <row r="847" spans="1:13" x14ac:dyDescent="0.3">
      <c r="A847" s="5" t="s">
        <v>3476</v>
      </c>
      <c r="B847" s="5" t="s">
        <v>996</v>
      </c>
      <c r="C847" s="5" t="s">
        <v>2606</v>
      </c>
      <c r="D847" s="6">
        <v>45793</v>
      </c>
      <c r="E847" s="6">
        <v>45796</v>
      </c>
      <c r="F847" s="6">
        <v>45799</v>
      </c>
      <c r="G847" s="5" t="s">
        <v>2627</v>
      </c>
      <c r="H847" s="5">
        <v>58</v>
      </c>
      <c r="I847" s="5">
        <f>IFERROR(INDEX(Raw_Orders!H847:H3275,MATCH(B847,Raw_Orders!A847:A3275,0)),0)</f>
        <v>58</v>
      </c>
      <c r="J847" s="5" t="str">
        <f t="shared" si="52"/>
        <v>No</v>
      </c>
      <c r="K847" s="5" t="str">
        <f t="shared" si="53"/>
        <v>Yes</v>
      </c>
      <c r="L847" s="5" t="str">
        <f t="shared" si="55"/>
        <v>No</v>
      </c>
      <c r="M847" s="5">
        <f t="shared" si="54"/>
        <v>0</v>
      </c>
    </row>
    <row r="848" spans="1:13" x14ac:dyDescent="0.3">
      <c r="A848" s="2" t="s">
        <v>3477</v>
      </c>
      <c r="B848" s="2" t="s">
        <v>997</v>
      </c>
      <c r="C848" s="2" t="s">
        <v>2606</v>
      </c>
      <c r="D848" s="3">
        <v>45794</v>
      </c>
      <c r="E848" s="3">
        <v>45797</v>
      </c>
      <c r="F848" s="3">
        <v>45802</v>
      </c>
      <c r="G848" s="2" t="s">
        <v>2641</v>
      </c>
      <c r="H848" s="2">
        <v>53</v>
      </c>
      <c r="I848" s="2">
        <f>IFERROR(INDEX(Raw_Orders!H848:H3276,MATCH(B848,Raw_Orders!A848:A3276,0)),0)</f>
        <v>53</v>
      </c>
      <c r="J848" s="2" t="str">
        <f t="shared" si="52"/>
        <v>No</v>
      </c>
      <c r="K848" s="2" t="str">
        <f t="shared" si="53"/>
        <v>Yes</v>
      </c>
      <c r="L848" s="2" t="str">
        <f t="shared" si="55"/>
        <v>No</v>
      </c>
      <c r="M848" s="2">
        <f t="shared" si="54"/>
        <v>0</v>
      </c>
    </row>
    <row r="849" spans="1:13" x14ac:dyDescent="0.3">
      <c r="A849" s="5" t="s">
        <v>3478</v>
      </c>
      <c r="B849" s="5" t="s">
        <v>998</v>
      </c>
      <c r="C849" s="5" t="s">
        <v>2608</v>
      </c>
      <c r="D849" s="6">
        <v>45792</v>
      </c>
      <c r="E849" s="6">
        <v>45802</v>
      </c>
      <c r="F849" s="6">
        <v>45807</v>
      </c>
      <c r="G849" s="5" t="s">
        <v>2631</v>
      </c>
      <c r="H849" s="5">
        <v>17</v>
      </c>
      <c r="I849" s="5">
        <f>IFERROR(INDEX(Raw_Orders!H849:H3277,MATCH(B849,Raw_Orders!A849:A3277,0)),0)</f>
        <v>17</v>
      </c>
      <c r="J849" s="5" t="str">
        <f t="shared" si="52"/>
        <v>No</v>
      </c>
      <c r="K849" s="5" t="str">
        <f t="shared" si="53"/>
        <v>Yes</v>
      </c>
      <c r="L849" s="5" t="str">
        <f t="shared" si="55"/>
        <v>No</v>
      </c>
      <c r="M849" s="5">
        <f t="shared" si="54"/>
        <v>0</v>
      </c>
    </row>
    <row r="850" spans="1:13" x14ac:dyDescent="0.3">
      <c r="A850" s="2" t="s">
        <v>3479</v>
      </c>
      <c r="B850" s="2" t="s">
        <v>999</v>
      </c>
      <c r="C850" s="2" t="s">
        <v>2598</v>
      </c>
      <c r="D850" s="3">
        <v>45793</v>
      </c>
      <c r="E850" s="3">
        <v>45799</v>
      </c>
      <c r="F850" s="3">
        <v>45805</v>
      </c>
      <c r="G850" s="2" t="s">
        <v>2633</v>
      </c>
      <c r="H850" s="2">
        <v>36</v>
      </c>
      <c r="I850" s="2">
        <f>IFERROR(INDEX(Raw_Orders!H850:H3278,MATCH(B850,Raw_Orders!A850:A3278,0)),0)</f>
        <v>38</v>
      </c>
      <c r="J850" s="2" t="str">
        <f t="shared" si="52"/>
        <v>No</v>
      </c>
      <c r="K850" s="2" t="str">
        <f t="shared" si="53"/>
        <v>N0</v>
      </c>
      <c r="L850" s="2" t="str">
        <f t="shared" si="55"/>
        <v>No</v>
      </c>
      <c r="M850" s="2">
        <f t="shared" si="54"/>
        <v>0</v>
      </c>
    </row>
    <row r="851" spans="1:13" x14ac:dyDescent="0.3">
      <c r="A851" s="5" t="s">
        <v>3480</v>
      </c>
      <c r="B851" s="5" t="s">
        <v>1000</v>
      </c>
      <c r="C851" s="5" t="s">
        <v>2601</v>
      </c>
      <c r="D851" s="6">
        <v>45795</v>
      </c>
      <c r="E851" s="6">
        <v>45800</v>
      </c>
      <c r="F851" s="6">
        <v>45800</v>
      </c>
      <c r="G851" s="5" t="s">
        <v>2633</v>
      </c>
      <c r="H851" s="5">
        <v>19</v>
      </c>
      <c r="I851" s="5">
        <f>IFERROR(INDEX(Raw_Orders!H851:H3279,MATCH(B851,Raw_Orders!A851:A3279,0)),0)</f>
        <v>19</v>
      </c>
      <c r="J851" s="5" t="str">
        <f t="shared" si="52"/>
        <v>Yes</v>
      </c>
      <c r="K851" s="5" t="str">
        <f t="shared" si="53"/>
        <v>Yes</v>
      </c>
      <c r="L851" s="5" t="str">
        <f t="shared" si="55"/>
        <v>Yes</v>
      </c>
      <c r="M851" s="5">
        <f t="shared" si="54"/>
        <v>1</v>
      </c>
    </row>
    <row r="852" spans="1:13" x14ac:dyDescent="0.3">
      <c r="A852" s="2" t="s">
        <v>3481</v>
      </c>
      <c r="B852" s="2" t="s">
        <v>1001</v>
      </c>
      <c r="C852" s="2" t="s">
        <v>2601</v>
      </c>
      <c r="D852" s="3">
        <v>45795</v>
      </c>
      <c r="E852" s="3">
        <v>45801</v>
      </c>
      <c r="F852" s="3">
        <v>45800</v>
      </c>
      <c r="G852" s="2" t="s">
        <v>2631</v>
      </c>
      <c r="H852" s="2">
        <v>19</v>
      </c>
      <c r="I852" s="2">
        <f>IFERROR(INDEX(Raw_Orders!H852:H3280,MATCH(B852,Raw_Orders!A852:A3280,0)),0)</f>
        <v>19</v>
      </c>
      <c r="J852" s="2" t="str">
        <f t="shared" si="52"/>
        <v>Yes</v>
      </c>
      <c r="K852" s="2" t="str">
        <f t="shared" si="53"/>
        <v>Yes</v>
      </c>
      <c r="L852" s="2" t="str">
        <f t="shared" si="55"/>
        <v>Yes</v>
      </c>
      <c r="M852" s="2">
        <f t="shared" si="54"/>
        <v>1</v>
      </c>
    </row>
    <row r="853" spans="1:13" x14ac:dyDescent="0.3">
      <c r="A853" s="5" t="s">
        <v>3482</v>
      </c>
      <c r="B853" s="5" t="s">
        <v>1002</v>
      </c>
      <c r="C853" s="5" t="s">
        <v>2616</v>
      </c>
      <c r="D853" s="6">
        <v>45795</v>
      </c>
      <c r="E853" s="6">
        <v>45800</v>
      </c>
      <c r="F853" s="6">
        <v>45811</v>
      </c>
      <c r="G853" s="5" t="s">
        <v>2629</v>
      </c>
      <c r="H853" s="5">
        <v>42</v>
      </c>
      <c r="I853" s="5">
        <f>IFERROR(INDEX(Raw_Orders!H853:H3281,MATCH(B853,Raw_Orders!A853:A3281,0)),0)</f>
        <v>44</v>
      </c>
      <c r="J853" s="5" t="str">
        <f t="shared" si="52"/>
        <v>No</v>
      </c>
      <c r="K853" s="5" t="str">
        <f t="shared" si="53"/>
        <v>N0</v>
      </c>
      <c r="L853" s="5" t="str">
        <f t="shared" si="55"/>
        <v>No</v>
      </c>
      <c r="M853" s="5">
        <f t="shared" si="54"/>
        <v>0</v>
      </c>
    </row>
    <row r="854" spans="1:13" x14ac:dyDescent="0.3">
      <c r="A854" s="2" t="s">
        <v>3483</v>
      </c>
      <c r="B854" s="2" t="s">
        <v>1003</v>
      </c>
      <c r="C854" s="2" t="s">
        <v>2606</v>
      </c>
      <c r="D854" s="3">
        <v>45794</v>
      </c>
      <c r="E854" s="3">
        <v>45797</v>
      </c>
      <c r="F854" s="3">
        <v>45800</v>
      </c>
      <c r="G854" s="2" t="s">
        <v>2641</v>
      </c>
      <c r="H854" s="2">
        <v>25</v>
      </c>
      <c r="I854" s="2">
        <f>IFERROR(INDEX(Raw_Orders!H854:H3282,MATCH(B854,Raw_Orders!A854:A3282,0)),0)</f>
        <v>25</v>
      </c>
      <c r="J854" s="2" t="str">
        <f t="shared" si="52"/>
        <v>No</v>
      </c>
      <c r="K854" s="2" t="str">
        <f t="shared" si="53"/>
        <v>Yes</v>
      </c>
      <c r="L854" s="2" t="str">
        <f t="shared" si="55"/>
        <v>No</v>
      </c>
      <c r="M854" s="2">
        <f t="shared" si="54"/>
        <v>0</v>
      </c>
    </row>
    <row r="855" spans="1:13" x14ac:dyDescent="0.3">
      <c r="A855" s="5" t="s">
        <v>3484</v>
      </c>
      <c r="B855" s="5" t="s">
        <v>1004</v>
      </c>
      <c r="C855" s="5" t="s">
        <v>2608</v>
      </c>
      <c r="D855" s="6">
        <v>45794</v>
      </c>
      <c r="E855" s="6">
        <v>45803</v>
      </c>
      <c r="F855" s="6">
        <v>45806</v>
      </c>
      <c r="G855" s="5" t="s">
        <v>2631</v>
      </c>
      <c r="H855" s="5">
        <v>5</v>
      </c>
      <c r="I855" s="5">
        <f>IFERROR(INDEX(Raw_Orders!H855:H3283,MATCH(B855,Raw_Orders!A855:A3283,0)),0)</f>
        <v>5</v>
      </c>
      <c r="J855" s="5" t="str">
        <f t="shared" si="52"/>
        <v>No</v>
      </c>
      <c r="K855" s="5" t="str">
        <f t="shared" si="53"/>
        <v>Yes</v>
      </c>
      <c r="L855" s="5" t="str">
        <f t="shared" si="55"/>
        <v>No</v>
      </c>
      <c r="M855" s="5">
        <f t="shared" si="54"/>
        <v>0</v>
      </c>
    </row>
    <row r="856" spans="1:13" x14ac:dyDescent="0.3">
      <c r="A856" s="2" t="s">
        <v>3485</v>
      </c>
      <c r="B856" s="2" t="s">
        <v>1005</v>
      </c>
      <c r="C856" s="2" t="s">
        <v>2611</v>
      </c>
      <c r="D856" s="3">
        <v>45796</v>
      </c>
      <c r="E856" s="3">
        <v>45801</v>
      </c>
      <c r="F856" s="3">
        <v>45803</v>
      </c>
      <c r="G856" s="2" t="s">
        <v>2633</v>
      </c>
      <c r="H856" s="2">
        <v>1</v>
      </c>
      <c r="I856" s="2">
        <f>IFERROR(INDEX(Raw_Orders!H856:H3284,MATCH(B856,Raw_Orders!A856:A3284,0)),0)</f>
        <v>7</v>
      </c>
      <c r="J856" s="2" t="str">
        <f t="shared" si="52"/>
        <v>No</v>
      </c>
      <c r="K856" s="2" t="str">
        <f t="shared" si="53"/>
        <v>N0</v>
      </c>
      <c r="L856" s="2" t="str">
        <f t="shared" si="55"/>
        <v>No</v>
      </c>
      <c r="M856" s="2">
        <f t="shared" si="54"/>
        <v>0</v>
      </c>
    </row>
    <row r="857" spans="1:13" x14ac:dyDescent="0.3">
      <c r="A857" s="5" t="s">
        <v>3486</v>
      </c>
      <c r="B857" s="5" t="s">
        <v>1006</v>
      </c>
      <c r="C857" s="5" t="s">
        <v>2611</v>
      </c>
      <c r="D857" s="6">
        <v>45794</v>
      </c>
      <c r="E857" s="6">
        <v>45801</v>
      </c>
      <c r="F857" s="6">
        <v>45801</v>
      </c>
      <c r="G857" s="5" t="s">
        <v>2629</v>
      </c>
      <c r="H857" s="5">
        <v>54</v>
      </c>
      <c r="I857" s="5">
        <f>IFERROR(INDEX(Raw_Orders!H857:H3285,MATCH(B857,Raw_Orders!A857:A3285,0)),0)</f>
        <v>62</v>
      </c>
      <c r="J857" s="5" t="str">
        <f t="shared" si="52"/>
        <v>Yes</v>
      </c>
      <c r="K857" s="5" t="str">
        <f t="shared" si="53"/>
        <v>N0</v>
      </c>
      <c r="L857" s="5" t="str">
        <f t="shared" si="55"/>
        <v>No</v>
      </c>
      <c r="M857" s="5">
        <f t="shared" si="54"/>
        <v>0</v>
      </c>
    </row>
    <row r="858" spans="1:13" x14ac:dyDescent="0.3">
      <c r="A858" s="2" t="s">
        <v>3487</v>
      </c>
      <c r="B858" s="2" t="s">
        <v>1007</v>
      </c>
      <c r="C858" s="2" t="s">
        <v>2614</v>
      </c>
      <c r="D858" s="3">
        <v>45794</v>
      </c>
      <c r="E858" s="3">
        <v>45797</v>
      </c>
      <c r="F858" s="3">
        <v>45808</v>
      </c>
      <c r="G858" s="2" t="s">
        <v>2641</v>
      </c>
      <c r="H858" s="2">
        <v>11</v>
      </c>
      <c r="I858" s="2">
        <f>IFERROR(INDEX(Raw_Orders!H858:H3286,MATCH(B858,Raw_Orders!A858:A3286,0)),0)</f>
        <v>11</v>
      </c>
      <c r="J858" s="2" t="str">
        <f t="shared" si="52"/>
        <v>No</v>
      </c>
      <c r="K858" s="2" t="str">
        <f t="shared" si="53"/>
        <v>Yes</v>
      </c>
      <c r="L858" s="2" t="str">
        <f t="shared" si="55"/>
        <v>No</v>
      </c>
      <c r="M858" s="2">
        <f t="shared" si="54"/>
        <v>0</v>
      </c>
    </row>
    <row r="859" spans="1:13" x14ac:dyDescent="0.3">
      <c r="A859" s="5" t="s">
        <v>3488</v>
      </c>
      <c r="B859" s="5" t="s">
        <v>1008</v>
      </c>
      <c r="C859" s="5" t="s">
        <v>2604</v>
      </c>
      <c r="D859" s="6">
        <v>45794</v>
      </c>
      <c r="E859" s="6">
        <v>45798</v>
      </c>
      <c r="F859" s="6">
        <v>45798</v>
      </c>
      <c r="G859" s="5" t="s">
        <v>2641</v>
      </c>
      <c r="H859" s="5">
        <v>14</v>
      </c>
      <c r="I859" s="5">
        <f>IFERROR(INDEX(Raw_Orders!H859:H3287,MATCH(B859,Raw_Orders!A859:A3287,0)),0)</f>
        <v>14</v>
      </c>
      <c r="J859" s="5" t="str">
        <f t="shared" si="52"/>
        <v>Yes</v>
      </c>
      <c r="K859" s="5" t="str">
        <f t="shared" si="53"/>
        <v>Yes</v>
      </c>
      <c r="L859" s="5" t="str">
        <f t="shared" si="55"/>
        <v>Yes</v>
      </c>
      <c r="M859" s="5">
        <f t="shared" si="54"/>
        <v>1</v>
      </c>
    </row>
    <row r="860" spans="1:13" x14ac:dyDescent="0.3">
      <c r="A860" s="2" t="s">
        <v>3489</v>
      </c>
      <c r="B860" s="2" t="s">
        <v>1009</v>
      </c>
      <c r="C860" s="2" t="s">
        <v>2604</v>
      </c>
      <c r="D860" s="3">
        <v>45794</v>
      </c>
      <c r="E860" s="3">
        <v>45801</v>
      </c>
      <c r="F860" s="3">
        <v>45798</v>
      </c>
      <c r="G860" s="2" t="s">
        <v>2627</v>
      </c>
      <c r="H860" s="2">
        <v>17</v>
      </c>
      <c r="I860" s="2">
        <f>IFERROR(INDEX(Raw_Orders!H860:H3288,MATCH(B860,Raw_Orders!A860:A3288,0)),0)</f>
        <v>23</v>
      </c>
      <c r="J860" s="2" t="str">
        <f t="shared" si="52"/>
        <v>Yes</v>
      </c>
      <c r="K860" s="2" t="str">
        <f t="shared" si="53"/>
        <v>N0</v>
      </c>
      <c r="L860" s="2" t="str">
        <f t="shared" si="55"/>
        <v>No</v>
      </c>
      <c r="M860" s="2">
        <f t="shared" si="54"/>
        <v>0</v>
      </c>
    </row>
    <row r="861" spans="1:13" x14ac:dyDescent="0.3">
      <c r="A861" s="5" t="s">
        <v>3490</v>
      </c>
      <c r="B861" s="5" t="s">
        <v>1010</v>
      </c>
      <c r="C861" s="5" t="s">
        <v>2608</v>
      </c>
      <c r="D861" s="6">
        <v>45794</v>
      </c>
      <c r="E861" s="6">
        <v>45799</v>
      </c>
      <c r="F861" s="6">
        <v>45807</v>
      </c>
      <c r="G861" s="5" t="s">
        <v>2633</v>
      </c>
      <c r="H861" s="5">
        <v>7</v>
      </c>
      <c r="I861" s="5">
        <f>IFERROR(INDEX(Raw_Orders!H861:H3289,MATCH(B861,Raw_Orders!A861:A3289,0)),0)</f>
        <v>7</v>
      </c>
      <c r="J861" s="5" t="str">
        <f t="shared" si="52"/>
        <v>No</v>
      </c>
      <c r="K861" s="5" t="str">
        <f t="shared" si="53"/>
        <v>Yes</v>
      </c>
      <c r="L861" s="5" t="str">
        <f t="shared" si="55"/>
        <v>No</v>
      </c>
      <c r="M861" s="5">
        <f t="shared" si="54"/>
        <v>0</v>
      </c>
    </row>
    <row r="862" spans="1:13" x14ac:dyDescent="0.3">
      <c r="A862" s="2" t="s">
        <v>3491</v>
      </c>
      <c r="B862" s="2" t="s">
        <v>1011</v>
      </c>
      <c r="C862" s="2" t="s">
        <v>2598</v>
      </c>
      <c r="D862" s="3">
        <v>45795</v>
      </c>
      <c r="E862" s="3">
        <v>45800</v>
      </c>
      <c r="F862" s="3">
        <v>45808</v>
      </c>
      <c r="G862" s="2" t="s">
        <v>2629</v>
      </c>
      <c r="H862" s="2">
        <v>41</v>
      </c>
      <c r="I862" s="2">
        <f>IFERROR(INDEX(Raw_Orders!H862:H3290,MATCH(B862,Raw_Orders!A862:A3290,0)),0)</f>
        <v>41</v>
      </c>
      <c r="J862" s="2" t="str">
        <f t="shared" si="52"/>
        <v>No</v>
      </c>
      <c r="K862" s="2" t="str">
        <f t="shared" si="53"/>
        <v>Yes</v>
      </c>
      <c r="L862" s="2" t="str">
        <f t="shared" si="55"/>
        <v>No</v>
      </c>
      <c r="M862" s="2">
        <f t="shared" si="54"/>
        <v>0</v>
      </c>
    </row>
    <row r="863" spans="1:13" x14ac:dyDescent="0.3">
      <c r="A863" s="5" t="s">
        <v>3492</v>
      </c>
      <c r="B863" s="5" t="s">
        <v>1012</v>
      </c>
      <c r="C863" s="5" t="s">
        <v>2601</v>
      </c>
      <c r="D863" s="6">
        <v>45796</v>
      </c>
      <c r="E863" s="6">
        <v>45805</v>
      </c>
      <c r="F863" s="6">
        <v>45802</v>
      </c>
      <c r="G863" s="5" t="s">
        <v>2629</v>
      </c>
      <c r="H863" s="5">
        <v>30</v>
      </c>
      <c r="I863" s="5">
        <f>IFERROR(INDEX(Raw_Orders!H863:H3291,MATCH(B863,Raw_Orders!A863:A3291,0)),0)</f>
        <v>30</v>
      </c>
      <c r="J863" s="5" t="str">
        <f t="shared" si="52"/>
        <v>Yes</v>
      </c>
      <c r="K863" s="5" t="str">
        <f t="shared" si="53"/>
        <v>Yes</v>
      </c>
      <c r="L863" s="5" t="str">
        <f t="shared" si="55"/>
        <v>Yes</v>
      </c>
      <c r="M863" s="5">
        <f t="shared" si="54"/>
        <v>1</v>
      </c>
    </row>
    <row r="864" spans="1:13" x14ac:dyDescent="0.3">
      <c r="A864" s="2" t="s">
        <v>3493</v>
      </c>
      <c r="B864" s="2" t="s">
        <v>1013</v>
      </c>
      <c r="C864" s="2" t="s">
        <v>2614</v>
      </c>
      <c r="D864" s="3">
        <v>45795</v>
      </c>
      <c r="E864" s="3">
        <v>45802</v>
      </c>
      <c r="F864" s="3">
        <v>45809</v>
      </c>
      <c r="G864" s="2" t="s">
        <v>2641</v>
      </c>
      <c r="H864" s="2">
        <v>13</v>
      </c>
      <c r="I864" s="2">
        <f>IFERROR(INDEX(Raw_Orders!H864:H3292,MATCH(B864,Raw_Orders!A864:A3292,0)),0)</f>
        <v>13</v>
      </c>
      <c r="J864" s="2" t="str">
        <f t="shared" si="52"/>
        <v>No</v>
      </c>
      <c r="K864" s="2" t="str">
        <f t="shared" si="53"/>
        <v>Yes</v>
      </c>
      <c r="L864" s="2" t="str">
        <f t="shared" si="55"/>
        <v>No</v>
      </c>
      <c r="M864" s="2">
        <f t="shared" si="54"/>
        <v>0</v>
      </c>
    </row>
    <row r="865" spans="1:13" x14ac:dyDescent="0.3">
      <c r="A865" s="5" t="s">
        <v>3494</v>
      </c>
      <c r="B865" s="5" t="s">
        <v>1014</v>
      </c>
      <c r="C865" s="5" t="s">
        <v>2604</v>
      </c>
      <c r="D865" s="6">
        <v>45796</v>
      </c>
      <c r="E865" s="6">
        <v>45805</v>
      </c>
      <c r="F865" s="6">
        <v>45801</v>
      </c>
      <c r="G865" s="5" t="s">
        <v>2631</v>
      </c>
      <c r="H865" s="5">
        <v>9</v>
      </c>
      <c r="I865" s="5">
        <f>IFERROR(INDEX(Raw_Orders!H865:H3293,MATCH(B865,Raw_Orders!A865:A3293,0)),0)</f>
        <v>9</v>
      </c>
      <c r="J865" s="5" t="str">
        <f t="shared" si="52"/>
        <v>Yes</v>
      </c>
      <c r="K865" s="5" t="str">
        <f t="shared" si="53"/>
        <v>Yes</v>
      </c>
      <c r="L865" s="5" t="str">
        <f t="shared" si="55"/>
        <v>Yes</v>
      </c>
      <c r="M865" s="5">
        <f t="shared" si="54"/>
        <v>1</v>
      </c>
    </row>
    <row r="866" spans="1:13" x14ac:dyDescent="0.3">
      <c r="A866" s="2" t="s">
        <v>3495</v>
      </c>
      <c r="B866" s="2" t="s">
        <v>1015</v>
      </c>
      <c r="C866" s="2" t="s">
        <v>2616</v>
      </c>
      <c r="D866" s="3">
        <v>45795</v>
      </c>
      <c r="E866" s="3">
        <v>45801</v>
      </c>
      <c r="F866" s="3">
        <v>45811</v>
      </c>
      <c r="G866" s="2" t="s">
        <v>2627</v>
      </c>
      <c r="H866" s="2">
        <v>39</v>
      </c>
      <c r="I866" s="2">
        <f>IFERROR(INDEX(Raw_Orders!H866:H3294,MATCH(B866,Raw_Orders!A866:A3294,0)),0)</f>
        <v>39</v>
      </c>
      <c r="J866" s="2" t="str">
        <f t="shared" si="52"/>
        <v>No</v>
      </c>
      <c r="K866" s="2" t="str">
        <f t="shared" si="53"/>
        <v>Yes</v>
      </c>
      <c r="L866" s="2" t="str">
        <f t="shared" si="55"/>
        <v>No</v>
      </c>
      <c r="M866" s="2">
        <f t="shared" si="54"/>
        <v>0</v>
      </c>
    </row>
    <row r="867" spans="1:13" x14ac:dyDescent="0.3">
      <c r="A867" s="5" t="s">
        <v>3496</v>
      </c>
      <c r="B867" s="5" t="s">
        <v>1016</v>
      </c>
      <c r="C867" s="5" t="s">
        <v>2606</v>
      </c>
      <c r="D867" s="6">
        <v>45797</v>
      </c>
      <c r="E867" s="6">
        <v>45804</v>
      </c>
      <c r="F867" s="6">
        <v>45803</v>
      </c>
      <c r="G867" s="5" t="s">
        <v>2631</v>
      </c>
      <c r="H867" s="5">
        <v>16</v>
      </c>
      <c r="I867" s="5">
        <f>IFERROR(INDEX(Raw_Orders!H867:H3295,MATCH(B867,Raw_Orders!A867:A3295,0)),0)</f>
        <v>16</v>
      </c>
      <c r="J867" s="5" t="str">
        <f t="shared" si="52"/>
        <v>Yes</v>
      </c>
      <c r="K867" s="5" t="str">
        <f t="shared" si="53"/>
        <v>Yes</v>
      </c>
      <c r="L867" s="5" t="str">
        <f t="shared" si="55"/>
        <v>Yes</v>
      </c>
      <c r="M867" s="5">
        <f t="shared" si="54"/>
        <v>1</v>
      </c>
    </row>
    <row r="868" spans="1:13" x14ac:dyDescent="0.3">
      <c r="A868" s="2" t="s">
        <v>3497</v>
      </c>
      <c r="B868" s="2" t="s">
        <v>1017</v>
      </c>
      <c r="C868" s="2" t="s">
        <v>2606</v>
      </c>
      <c r="D868" s="3">
        <v>45796</v>
      </c>
      <c r="E868" s="3">
        <v>45798</v>
      </c>
      <c r="F868" s="3">
        <v>45802</v>
      </c>
      <c r="G868" s="2" t="s">
        <v>2641</v>
      </c>
      <c r="H868" s="2">
        <v>16</v>
      </c>
      <c r="I868" s="2">
        <f>IFERROR(INDEX(Raw_Orders!H868:H3296,MATCH(B868,Raw_Orders!A868:A3296,0)),0)</f>
        <v>16</v>
      </c>
      <c r="J868" s="2" t="str">
        <f t="shared" si="52"/>
        <v>No</v>
      </c>
      <c r="K868" s="2" t="str">
        <f t="shared" si="53"/>
        <v>Yes</v>
      </c>
      <c r="L868" s="2" t="str">
        <f t="shared" si="55"/>
        <v>No</v>
      </c>
      <c r="M868" s="2">
        <f t="shared" si="54"/>
        <v>0</v>
      </c>
    </row>
    <row r="869" spans="1:13" x14ac:dyDescent="0.3">
      <c r="A869" s="5" t="s">
        <v>3498</v>
      </c>
      <c r="B869" s="5" t="s">
        <v>1018</v>
      </c>
      <c r="C869" s="5" t="s">
        <v>2608</v>
      </c>
      <c r="D869" s="6">
        <v>45797</v>
      </c>
      <c r="E869" s="6">
        <v>45802</v>
      </c>
      <c r="F869" s="6">
        <v>45812</v>
      </c>
      <c r="G869" s="5" t="s">
        <v>2641</v>
      </c>
      <c r="H869" s="5">
        <v>1</v>
      </c>
      <c r="I869" s="5">
        <f>IFERROR(INDEX(Raw_Orders!H869:H3297,MATCH(B869,Raw_Orders!A869:A3297,0)),0)</f>
        <v>1</v>
      </c>
      <c r="J869" s="5" t="str">
        <f t="shared" si="52"/>
        <v>No</v>
      </c>
      <c r="K869" s="5" t="str">
        <f t="shared" si="53"/>
        <v>Yes</v>
      </c>
      <c r="L869" s="5" t="str">
        <f t="shared" si="55"/>
        <v>No</v>
      </c>
      <c r="M869" s="5">
        <f t="shared" si="54"/>
        <v>0</v>
      </c>
    </row>
    <row r="870" spans="1:13" x14ac:dyDescent="0.3">
      <c r="A870" s="2" t="s">
        <v>3499</v>
      </c>
      <c r="B870" s="2" t="s">
        <v>1019</v>
      </c>
      <c r="C870" s="2" t="s">
        <v>2608</v>
      </c>
      <c r="D870" s="3">
        <v>45795</v>
      </c>
      <c r="E870" s="3">
        <v>45804</v>
      </c>
      <c r="F870" s="3">
        <v>45808</v>
      </c>
      <c r="G870" s="2" t="s">
        <v>2629</v>
      </c>
      <c r="H870" s="2">
        <v>12</v>
      </c>
      <c r="I870" s="2">
        <f>IFERROR(INDEX(Raw_Orders!H870:H3298,MATCH(B870,Raw_Orders!A870:A3298,0)),0)</f>
        <v>12</v>
      </c>
      <c r="J870" s="2" t="str">
        <f t="shared" si="52"/>
        <v>No</v>
      </c>
      <c r="K870" s="2" t="str">
        <f t="shared" si="53"/>
        <v>Yes</v>
      </c>
      <c r="L870" s="2" t="str">
        <f t="shared" si="55"/>
        <v>No</v>
      </c>
      <c r="M870" s="2">
        <f t="shared" si="54"/>
        <v>0</v>
      </c>
    </row>
    <row r="871" spans="1:13" x14ac:dyDescent="0.3">
      <c r="A871" s="5" t="s">
        <v>3500</v>
      </c>
      <c r="B871" s="5" t="s">
        <v>1020</v>
      </c>
      <c r="C871" s="5" t="s">
        <v>2611</v>
      </c>
      <c r="D871" s="6">
        <v>45796</v>
      </c>
      <c r="E871" s="6">
        <v>45804</v>
      </c>
      <c r="F871" s="6">
        <v>45803</v>
      </c>
      <c r="G871" s="5" t="s">
        <v>2631</v>
      </c>
      <c r="H871" s="5">
        <v>46</v>
      </c>
      <c r="I871" s="5">
        <f>IFERROR(INDEX(Raw_Orders!H871:H3299,MATCH(B871,Raw_Orders!A871:A3299,0)),0)</f>
        <v>46</v>
      </c>
      <c r="J871" s="5" t="str">
        <f t="shared" si="52"/>
        <v>Yes</v>
      </c>
      <c r="K871" s="5" t="str">
        <f t="shared" si="53"/>
        <v>Yes</v>
      </c>
      <c r="L871" s="5" t="str">
        <f t="shared" si="55"/>
        <v>Yes</v>
      </c>
      <c r="M871" s="5">
        <f t="shared" si="54"/>
        <v>1</v>
      </c>
    </row>
    <row r="872" spans="1:13" x14ac:dyDescent="0.3">
      <c r="A872" s="2" t="s">
        <v>3501</v>
      </c>
      <c r="B872" s="2" t="s">
        <v>1021</v>
      </c>
      <c r="C872" s="2" t="s">
        <v>2601</v>
      </c>
      <c r="D872" s="3">
        <v>45796</v>
      </c>
      <c r="E872" s="3">
        <v>45800</v>
      </c>
      <c r="F872" s="3">
        <v>45801</v>
      </c>
      <c r="G872" s="2" t="s">
        <v>2627</v>
      </c>
      <c r="H872" s="2">
        <v>7</v>
      </c>
      <c r="I872" s="2">
        <f>IFERROR(INDEX(Raw_Orders!H872:H3300,MATCH(B872,Raw_Orders!A872:A3300,0)),0)</f>
        <v>14</v>
      </c>
      <c r="J872" s="2" t="str">
        <f t="shared" si="52"/>
        <v>No</v>
      </c>
      <c r="K872" s="2" t="str">
        <f t="shared" si="53"/>
        <v>N0</v>
      </c>
      <c r="L872" s="2" t="str">
        <f t="shared" si="55"/>
        <v>No</v>
      </c>
      <c r="M872" s="2">
        <f t="shared" si="54"/>
        <v>0</v>
      </c>
    </row>
    <row r="873" spans="1:13" x14ac:dyDescent="0.3">
      <c r="A873" s="5" t="s">
        <v>3502</v>
      </c>
      <c r="B873" s="5" t="s">
        <v>1022</v>
      </c>
      <c r="C873" s="5" t="s">
        <v>2601</v>
      </c>
      <c r="D873" s="6">
        <v>45796</v>
      </c>
      <c r="E873" s="6">
        <v>45800</v>
      </c>
      <c r="F873" s="6">
        <v>45805</v>
      </c>
      <c r="G873" s="5" t="s">
        <v>2633</v>
      </c>
      <c r="H873" s="5">
        <v>27</v>
      </c>
      <c r="I873" s="5">
        <f>IFERROR(INDEX(Raw_Orders!H873:H3301,MATCH(B873,Raw_Orders!A873:A3301,0)),0)</f>
        <v>27</v>
      </c>
      <c r="J873" s="5" t="str">
        <f t="shared" si="52"/>
        <v>No</v>
      </c>
      <c r="K873" s="5" t="str">
        <f t="shared" si="53"/>
        <v>Yes</v>
      </c>
      <c r="L873" s="5" t="str">
        <f t="shared" si="55"/>
        <v>No</v>
      </c>
      <c r="M873" s="5">
        <f t="shared" si="54"/>
        <v>0</v>
      </c>
    </row>
    <row r="874" spans="1:13" x14ac:dyDescent="0.3">
      <c r="A874" s="2" t="s">
        <v>3503</v>
      </c>
      <c r="B874" s="2" t="s">
        <v>1023</v>
      </c>
      <c r="C874" s="2" t="s">
        <v>2614</v>
      </c>
      <c r="D874" s="3">
        <v>45798</v>
      </c>
      <c r="E874" s="3">
        <v>45799</v>
      </c>
      <c r="F874" s="3">
        <v>45814</v>
      </c>
      <c r="G874" s="2" t="s">
        <v>2641</v>
      </c>
      <c r="H874" s="2">
        <v>13</v>
      </c>
      <c r="I874" s="2">
        <f>IFERROR(INDEX(Raw_Orders!H874:H3302,MATCH(B874,Raw_Orders!A874:A3302,0)),0)</f>
        <v>13</v>
      </c>
      <c r="J874" s="2" t="str">
        <f t="shared" si="52"/>
        <v>No</v>
      </c>
      <c r="K874" s="2" t="str">
        <f t="shared" si="53"/>
        <v>Yes</v>
      </c>
      <c r="L874" s="2" t="str">
        <f t="shared" si="55"/>
        <v>No</v>
      </c>
      <c r="M874" s="2">
        <f t="shared" si="54"/>
        <v>0</v>
      </c>
    </row>
    <row r="875" spans="1:13" x14ac:dyDescent="0.3">
      <c r="A875" s="5" t="s">
        <v>3504</v>
      </c>
      <c r="B875" s="5" t="s">
        <v>1024</v>
      </c>
      <c r="C875" s="5" t="s">
        <v>2616</v>
      </c>
      <c r="D875" s="6">
        <v>45796</v>
      </c>
      <c r="E875" s="6">
        <v>45802</v>
      </c>
      <c r="F875" s="6">
        <v>45810</v>
      </c>
      <c r="G875" s="5" t="s">
        <v>2629</v>
      </c>
      <c r="H875" s="5">
        <v>10</v>
      </c>
      <c r="I875" s="5">
        <f>IFERROR(INDEX(Raw_Orders!H875:H3303,MATCH(B875,Raw_Orders!A875:A3303,0)),0)</f>
        <v>10</v>
      </c>
      <c r="J875" s="5" t="str">
        <f t="shared" si="52"/>
        <v>No</v>
      </c>
      <c r="K875" s="5" t="str">
        <f t="shared" si="53"/>
        <v>Yes</v>
      </c>
      <c r="L875" s="5" t="str">
        <f t="shared" si="55"/>
        <v>No</v>
      </c>
      <c r="M875" s="5">
        <f t="shared" si="54"/>
        <v>0</v>
      </c>
    </row>
    <row r="876" spans="1:13" x14ac:dyDescent="0.3">
      <c r="A876" s="2" t="s">
        <v>3505</v>
      </c>
      <c r="B876" s="2" t="s">
        <v>1025</v>
      </c>
      <c r="C876" s="2" t="s">
        <v>2604</v>
      </c>
      <c r="D876" s="3">
        <v>45796</v>
      </c>
      <c r="E876" s="3">
        <v>45801</v>
      </c>
      <c r="F876" s="3">
        <v>45800</v>
      </c>
      <c r="G876" s="2" t="s">
        <v>2627</v>
      </c>
      <c r="H876" s="2">
        <v>21</v>
      </c>
      <c r="I876" s="2">
        <f>IFERROR(INDEX(Raw_Orders!H876:H3304,MATCH(B876,Raw_Orders!A876:A3304,0)),0)</f>
        <v>21</v>
      </c>
      <c r="J876" s="2" t="str">
        <f t="shared" si="52"/>
        <v>Yes</v>
      </c>
      <c r="K876" s="2" t="str">
        <f t="shared" si="53"/>
        <v>Yes</v>
      </c>
      <c r="L876" s="2" t="str">
        <f t="shared" si="55"/>
        <v>Yes</v>
      </c>
      <c r="M876" s="2">
        <f t="shared" si="54"/>
        <v>1</v>
      </c>
    </row>
    <row r="877" spans="1:13" x14ac:dyDescent="0.3">
      <c r="A877" s="5" t="s">
        <v>3506</v>
      </c>
      <c r="B877" s="5" t="s">
        <v>1026</v>
      </c>
      <c r="C877" s="5" t="s">
        <v>2606</v>
      </c>
      <c r="D877" s="6">
        <v>45796</v>
      </c>
      <c r="E877" s="6">
        <v>45806</v>
      </c>
      <c r="F877" s="6">
        <v>45802</v>
      </c>
      <c r="G877" s="5" t="s">
        <v>2641</v>
      </c>
      <c r="H877" s="5">
        <v>32</v>
      </c>
      <c r="I877" s="5">
        <f>IFERROR(INDEX(Raw_Orders!H877:H3305,MATCH(B877,Raw_Orders!A877:A3305,0)),0)</f>
        <v>32</v>
      </c>
      <c r="J877" s="5" t="str">
        <f t="shared" si="52"/>
        <v>Yes</v>
      </c>
      <c r="K877" s="5" t="str">
        <f t="shared" si="53"/>
        <v>Yes</v>
      </c>
      <c r="L877" s="5" t="str">
        <f t="shared" si="55"/>
        <v>Yes</v>
      </c>
      <c r="M877" s="5">
        <f t="shared" si="54"/>
        <v>1</v>
      </c>
    </row>
    <row r="878" spans="1:13" x14ac:dyDescent="0.3">
      <c r="A878" s="2" t="s">
        <v>3507</v>
      </c>
      <c r="B878" s="2" t="s">
        <v>1027</v>
      </c>
      <c r="C878" s="2" t="s">
        <v>2608</v>
      </c>
      <c r="D878" s="3">
        <v>45796</v>
      </c>
      <c r="E878" s="3">
        <v>45804</v>
      </c>
      <c r="F878" s="3">
        <v>45813</v>
      </c>
      <c r="G878" s="2" t="s">
        <v>2627</v>
      </c>
      <c r="H878" s="2">
        <v>8</v>
      </c>
      <c r="I878" s="2">
        <f>IFERROR(INDEX(Raw_Orders!H878:H3306,MATCH(B878,Raw_Orders!A878:A3306,0)),0)</f>
        <v>8</v>
      </c>
      <c r="J878" s="2" t="str">
        <f t="shared" si="52"/>
        <v>No</v>
      </c>
      <c r="K878" s="2" t="str">
        <f t="shared" si="53"/>
        <v>Yes</v>
      </c>
      <c r="L878" s="2" t="str">
        <f t="shared" si="55"/>
        <v>No</v>
      </c>
      <c r="M878" s="2">
        <f t="shared" si="54"/>
        <v>0</v>
      </c>
    </row>
    <row r="879" spans="1:13" x14ac:dyDescent="0.3">
      <c r="A879" s="5" t="s">
        <v>3508</v>
      </c>
      <c r="B879" s="5" t="s">
        <v>1028</v>
      </c>
      <c r="C879" s="5" t="s">
        <v>2608</v>
      </c>
      <c r="D879" s="6">
        <v>45796</v>
      </c>
      <c r="E879" s="6">
        <v>45799</v>
      </c>
      <c r="F879" s="6">
        <v>45809</v>
      </c>
      <c r="G879" s="5" t="s">
        <v>2627</v>
      </c>
      <c r="H879" s="5">
        <v>11</v>
      </c>
      <c r="I879" s="5">
        <f>IFERROR(INDEX(Raw_Orders!H879:H3307,MATCH(B879,Raw_Orders!A879:A3307,0)),0)</f>
        <v>11</v>
      </c>
      <c r="J879" s="5" t="str">
        <f t="shared" si="52"/>
        <v>No</v>
      </c>
      <c r="K879" s="5" t="str">
        <f t="shared" si="53"/>
        <v>Yes</v>
      </c>
      <c r="L879" s="5" t="str">
        <f t="shared" si="55"/>
        <v>No</v>
      </c>
      <c r="M879" s="5">
        <f t="shared" si="54"/>
        <v>0</v>
      </c>
    </row>
    <row r="880" spans="1:13" x14ac:dyDescent="0.3">
      <c r="A880" s="2" t="s">
        <v>3509</v>
      </c>
      <c r="B880" s="2" t="s">
        <v>1029</v>
      </c>
      <c r="C880" s="2" t="s">
        <v>2611</v>
      </c>
      <c r="D880" s="3">
        <v>45799</v>
      </c>
      <c r="E880" s="3">
        <v>45804</v>
      </c>
      <c r="F880" s="3">
        <v>45807</v>
      </c>
      <c r="G880" s="2" t="s">
        <v>2633</v>
      </c>
      <c r="H880" s="2">
        <v>54</v>
      </c>
      <c r="I880" s="2">
        <f>IFERROR(INDEX(Raw_Orders!H880:H3308,MATCH(B880,Raw_Orders!A880:A3308,0)),0)</f>
        <v>60</v>
      </c>
      <c r="J880" s="2" t="str">
        <f t="shared" si="52"/>
        <v>No</v>
      </c>
      <c r="K880" s="2" t="str">
        <f t="shared" si="53"/>
        <v>N0</v>
      </c>
      <c r="L880" s="2" t="str">
        <f t="shared" si="55"/>
        <v>No</v>
      </c>
      <c r="M880" s="2">
        <f t="shared" si="54"/>
        <v>0</v>
      </c>
    </row>
    <row r="881" spans="1:13" x14ac:dyDescent="0.3">
      <c r="A881" s="5" t="s">
        <v>3510</v>
      </c>
      <c r="B881" s="5" t="s">
        <v>1030</v>
      </c>
      <c r="C881" s="5" t="s">
        <v>2598</v>
      </c>
      <c r="D881" s="6">
        <v>45797</v>
      </c>
      <c r="E881" s="6">
        <v>45803</v>
      </c>
      <c r="F881" s="6">
        <v>45812</v>
      </c>
      <c r="G881" s="5" t="s">
        <v>2633</v>
      </c>
      <c r="H881" s="5">
        <v>21</v>
      </c>
      <c r="I881" s="5">
        <f>IFERROR(INDEX(Raw_Orders!H881:H3309,MATCH(B881,Raw_Orders!A881:A3309,0)),0)</f>
        <v>22</v>
      </c>
      <c r="J881" s="5" t="str">
        <f t="shared" si="52"/>
        <v>No</v>
      </c>
      <c r="K881" s="5" t="str">
        <f t="shared" si="53"/>
        <v>N0</v>
      </c>
      <c r="L881" s="5" t="str">
        <f t="shared" si="55"/>
        <v>No</v>
      </c>
      <c r="M881" s="5">
        <f t="shared" si="54"/>
        <v>0</v>
      </c>
    </row>
    <row r="882" spans="1:13" x14ac:dyDescent="0.3">
      <c r="A882" s="2" t="s">
        <v>3511</v>
      </c>
      <c r="B882" s="2" t="s">
        <v>1031</v>
      </c>
      <c r="C882" s="2" t="s">
        <v>2611</v>
      </c>
      <c r="D882" s="3">
        <v>45799</v>
      </c>
      <c r="E882" s="3">
        <v>45806</v>
      </c>
      <c r="F882" s="3">
        <v>45807</v>
      </c>
      <c r="G882" s="2" t="s">
        <v>2641</v>
      </c>
      <c r="H882" s="2">
        <v>28</v>
      </c>
      <c r="I882" s="2">
        <f>IFERROR(INDEX(Raw_Orders!H882:H3310,MATCH(B882,Raw_Orders!A882:A3310,0)),0)</f>
        <v>28</v>
      </c>
      <c r="J882" s="2" t="str">
        <f t="shared" si="52"/>
        <v>No</v>
      </c>
      <c r="K882" s="2" t="str">
        <f t="shared" si="53"/>
        <v>Yes</v>
      </c>
      <c r="L882" s="2" t="str">
        <f t="shared" si="55"/>
        <v>No</v>
      </c>
      <c r="M882" s="2">
        <f t="shared" si="54"/>
        <v>0</v>
      </c>
    </row>
    <row r="883" spans="1:13" x14ac:dyDescent="0.3">
      <c r="A883" s="5" t="s">
        <v>3512</v>
      </c>
      <c r="B883" s="5" t="s">
        <v>1032</v>
      </c>
      <c r="C883" s="5" t="s">
        <v>2601</v>
      </c>
      <c r="D883" s="6">
        <v>45797</v>
      </c>
      <c r="E883" s="6">
        <v>45801</v>
      </c>
      <c r="F883" s="6">
        <v>45806</v>
      </c>
      <c r="G883" s="5" t="s">
        <v>2641</v>
      </c>
      <c r="H883" s="5">
        <v>14</v>
      </c>
      <c r="I883" s="5">
        <f>IFERROR(INDEX(Raw_Orders!H883:H3311,MATCH(B883,Raw_Orders!A883:A3311,0)),0)</f>
        <v>14</v>
      </c>
      <c r="J883" s="5" t="str">
        <f t="shared" si="52"/>
        <v>No</v>
      </c>
      <c r="K883" s="5" t="str">
        <f t="shared" si="53"/>
        <v>Yes</v>
      </c>
      <c r="L883" s="5" t="str">
        <f t="shared" si="55"/>
        <v>No</v>
      </c>
      <c r="M883" s="5">
        <f t="shared" si="54"/>
        <v>0</v>
      </c>
    </row>
    <row r="884" spans="1:13" x14ac:dyDescent="0.3">
      <c r="A884" s="2" t="s">
        <v>3513</v>
      </c>
      <c r="B884" s="2" t="s">
        <v>1033</v>
      </c>
      <c r="C884" s="2" t="s">
        <v>2604</v>
      </c>
      <c r="D884" s="3">
        <v>45797</v>
      </c>
      <c r="E884" s="3">
        <v>45800</v>
      </c>
      <c r="F884" s="3">
        <v>45805</v>
      </c>
      <c r="G884" s="2" t="s">
        <v>2627</v>
      </c>
      <c r="H884" s="2">
        <v>18</v>
      </c>
      <c r="I884" s="2">
        <f>IFERROR(INDEX(Raw_Orders!H884:H3312,MATCH(B884,Raw_Orders!A884:A3312,0)),0)</f>
        <v>20</v>
      </c>
      <c r="J884" s="2" t="str">
        <f t="shared" si="52"/>
        <v>No</v>
      </c>
      <c r="K884" s="2" t="str">
        <f t="shared" si="53"/>
        <v>N0</v>
      </c>
      <c r="L884" s="2" t="str">
        <f t="shared" si="55"/>
        <v>No</v>
      </c>
      <c r="M884" s="2">
        <f t="shared" si="54"/>
        <v>0</v>
      </c>
    </row>
    <row r="885" spans="1:13" x14ac:dyDescent="0.3">
      <c r="A885" s="5" t="s">
        <v>3514</v>
      </c>
      <c r="B885" s="5" t="s">
        <v>1034</v>
      </c>
      <c r="C885" s="5" t="s">
        <v>2616</v>
      </c>
      <c r="D885" s="6">
        <v>45799</v>
      </c>
      <c r="E885" s="6">
        <v>45805</v>
      </c>
      <c r="F885" s="6">
        <v>45816</v>
      </c>
      <c r="G885" s="5" t="s">
        <v>2633</v>
      </c>
      <c r="H885" s="5">
        <v>19</v>
      </c>
      <c r="I885" s="5">
        <f>IFERROR(INDEX(Raw_Orders!H885:H3313,MATCH(B885,Raw_Orders!A885:A3313,0)),0)</f>
        <v>19</v>
      </c>
      <c r="J885" s="5" t="str">
        <f t="shared" si="52"/>
        <v>No</v>
      </c>
      <c r="K885" s="5" t="str">
        <f t="shared" si="53"/>
        <v>Yes</v>
      </c>
      <c r="L885" s="5" t="str">
        <f t="shared" si="55"/>
        <v>No</v>
      </c>
      <c r="M885" s="5">
        <f t="shared" si="54"/>
        <v>0</v>
      </c>
    </row>
    <row r="886" spans="1:13" x14ac:dyDescent="0.3">
      <c r="A886" s="2" t="s">
        <v>3515</v>
      </c>
      <c r="B886" s="2" t="s">
        <v>1035</v>
      </c>
      <c r="C886" s="2" t="s">
        <v>2608</v>
      </c>
      <c r="D886" s="3">
        <v>45799</v>
      </c>
      <c r="E886" s="3">
        <v>45801</v>
      </c>
      <c r="F886" s="3">
        <v>45812</v>
      </c>
      <c r="G886" s="2" t="s">
        <v>2631</v>
      </c>
      <c r="H886" s="2">
        <v>34</v>
      </c>
      <c r="I886" s="2">
        <f>IFERROR(INDEX(Raw_Orders!H886:H3314,MATCH(B886,Raw_Orders!A886:A3314,0)),0)</f>
        <v>34</v>
      </c>
      <c r="J886" s="2" t="str">
        <f t="shared" si="52"/>
        <v>No</v>
      </c>
      <c r="K886" s="2" t="str">
        <f t="shared" si="53"/>
        <v>Yes</v>
      </c>
      <c r="L886" s="2" t="str">
        <f t="shared" si="55"/>
        <v>No</v>
      </c>
      <c r="M886" s="2">
        <f t="shared" si="54"/>
        <v>0</v>
      </c>
    </row>
    <row r="887" spans="1:13" x14ac:dyDescent="0.3">
      <c r="A887" s="5" t="s">
        <v>3516</v>
      </c>
      <c r="B887" s="5" t="s">
        <v>1036</v>
      </c>
      <c r="C887" s="5" t="s">
        <v>2608</v>
      </c>
      <c r="D887" s="6">
        <v>45799</v>
      </c>
      <c r="E887" s="6">
        <v>45807</v>
      </c>
      <c r="F887" s="6">
        <v>45812</v>
      </c>
      <c r="G887" s="5" t="s">
        <v>2627</v>
      </c>
      <c r="H887" s="5">
        <v>3</v>
      </c>
      <c r="I887" s="5">
        <f>IFERROR(INDEX(Raw_Orders!H887:H3315,MATCH(B887,Raw_Orders!A887:A3315,0)),0)</f>
        <v>3</v>
      </c>
      <c r="J887" s="5" t="str">
        <f t="shared" si="52"/>
        <v>No</v>
      </c>
      <c r="K887" s="5" t="str">
        <f t="shared" si="53"/>
        <v>Yes</v>
      </c>
      <c r="L887" s="5" t="str">
        <f t="shared" si="55"/>
        <v>No</v>
      </c>
      <c r="M887" s="5">
        <f t="shared" si="54"/>
        <v>0</v>
      </c>
    </row>
    <row r="888" spans="1:13" x14ac:dyDescent="0.3">
      <c r="A888" s="2" t="s">
        <v>3517</v>
      </c>
      <c r="B888" s="2" t="s">
        <v>1037</v>
      </c>
      <c r="C888" s="2" t="s">
        <v>2608</v>
      </c>
      <c r="D888" s="3">
        <v>45797</v>
      </c>
      <c r="E888" s="3">
        <v>45801</v>
      </c>
      <c r="F888" s="3">
        <v>45814</v>
      </c>
      <c r="G888" s="2" t="s">
        <v>2631</v>
      </c>
      <c r="H888" s="2">
        <v>8</v>
      </c>
      <c r="I888" s="2">
        <f>IFERROR(INDEX(Raw_Orders!H888:H3316,MATCH(B888,Raw_Orders!A888:A3316,0)),0)</f>
        <v>8</v>
      </c>
      <c r="J888" s="2" t="str">
        <f t="shared" si="52"/>
        <v>No</v>
      </c>
      <c r="K888" s="2" t="str">
        <f t="shared" si="53"/>
        <v>Yes</v>
      </c>
      <c r="L888" s="2" t="str">
        <f t="shared" si="55"/>
        <v>No</v>
      </c>
      <c r="M888" s="2">
        <f t="shared" si="54"/>
        <v>0</v>
      </c>
    </row>
    <row r="889" spans="1:13" x14ac:dyDescent="0.3">
      <c r="A889" s="5" t="s">
        <v>3518</v>
      </c>
      <c r="B889" s="5" t="s">
        <v>1038</v>
      </c>
      <c r="C889" s="5" t="s">
        <v>2611</v>
      </c>
      <c r="D889" s="6">
        <v>45799</v>
      </c>
      <c r="E889" s="6">
        <v>45808</v>
      </c>
      <c r="F889" s="6">
        <v>45807</v>
      </c>
      <c r="G889" s="5" t="s">
        <v>2629</v>
      </c>
      <c r="H889" s="5">
        <v>37</v>
      </c>
      <c r="I889" s="5">
        <f>IFERROR(INDEX(Raw_Orders!H889:H3317,MATCH(B889,Raw_Orders!A889:A3317,0)),0)</f>
        <v>37</v>
      </c>
      <c r="J889" s="5" t="str">
        <f t="shared" si="52"/>
        <v>Yes</v>
      </c>
      <c r="K889" s="5" t="str">
        <f t="shared" si="53"/>
        <v>Yes</v>
      </c>
      <c r="L889" s="5" t="str">
        <f t="shared" si="55"/>
        <v>Yes</v>
      </c>
      <c r="M889" s="5">
        <f t="shared" si="54"/>
        <v>1</v>
      </c>
    </row>
    <row r="890" spans="1:13" x14ac:dyDescent="0.3">
      <c r="A890" s="2" t="s">
        <v>3519</v>
      </c>
      <c r="B890" s="2" t="s">
        <v>1039</v>
      </c>
      <c r="C890" s="2" t="s">
        <v>2611</v>
      </c>
      <c r="D890" s="3">
        <v>45799</v>
      </c>
      <c r="E890" s="3">
        <v>45804</v>
      </c>
      <c r="F890" s="3">
        <v>45810</v>
      </c>
      <c r="G890" s="2" t="s">
        <v>2633</v>
      </c>
      <c r="H890" s="2">
        <v>46</v>
      </c>
      <c r="I890" s="2">
        <f>IFERROR(INDEX(Raw_Orders!H890:H3318,MATCH(B890,Raw_Orders!A890:A3318,0)),0)</f>
        <v>47</v>
      </c>
      <c r="J890" s="2" t="str">
        <f t="shared" si="52"/>
        <v>No</v>
      </c>
      <c r="K890" s="2" t="str">
        <f t="shared" si="53"/>
        <v>N0</v>
      </c>
      <c r="L890" s="2" t="str">
        <f t="shared" si="55"/>
        <v>No</v>
      </c>
      <c r="M890" s="2">
        <f t="shared" si="54"/>
        <v>0</v>
      </c>
    </row>
    <row r="891" spans="1:13" x14ac:dyDescent="0.3">
      <c r="A891" s="5" t="s">
        <v>3520</v>
      </c>
      <c r="B891" s="5" t="s">
        <v>1040</v>
      </c>
      <c r="C891" s="5" t="s">
        <v>2614</v>
      </c>
      <c r="D891" s="6">
        <v>45798</v>
      </c>
      <c r="E891" s="6">
        <v>45802</v>
      </c>
      <c r="F891" s="6">
        <v>45813</v>
      </c>
      <c r="G891" s="5" t="s">
        <v>2629</v>
      </c>
      <c r="H891" s="5">
        <v>15</v>
      </c>
      <c r="I891" s="5">
        <f>IFERROR(INDEX(Raw_Orders!H891:H3319,MATCH(B891,Raw_Orders!A891:A3319,0)),0)</f>
        <v>15</v>
      </c>
      <c r="J891" s="5" t="str">
        <f t="shared" si="52"/>
        <v>No</v>
      </c>
      <c r="K891" s="5" t="str">
        <f t="shared" si="53"/>
        <v>Yes</v>
      </c>
      <c r="L891" s="5" t="str">
        <f t="shared" si="55"/>
        <v>No</v>
      </c>
      <c r="M891" s="5">
        <f t="shared" si="54"/>
        <v>0</v>
      </c>
    </row>
    <row r="892" spans="1:13" x14ac:dyDescent="0.3">
      <c r="A892" s="2" t="s">
        <v>3521</v>
      </c>
      <c r="B892" s="2" t="s">
        <v>1041</v>
      </c>
      <c r="C892" s="2" t="s">
        <v>2616</v>
      </c>
      <c r="D892" s="3">
        <v>45800</v>
      </c>
      <c r="E892" s="3">
        <v>45804</v>
      </c>
      <c r="F892" s="3">
        <v>45816</v>
      </c>
      <c r="G892" s="2" t="s">
        <v>2627</v>
      </c>
      <c r="H892" s="2">
        <v>48</v>
      </c>
      <c r="I892" s="2">
        <f>IFERROR(INDEX(Raw_Orders!H892:H3320,MATCH(B892,Raw_Orders!A892:A3320,0)),0)</f>
        <v>48</v>
      </c>
      <c r="J892" s="2" t="str">
        <f t="shared" si="52"/>
        <v>No</v>
      </c>
      <c r="K892" s="2" t="str">
        <f t="shared" si="53"/>
        <v>Yes</v>
      </c>
      <c r="L892" s="2" t="str">
        <f t="shared" si="55"/>
        <v>No</v>
      </c>
      <c r="M892" s="2">
        <f t="shared" si="54"/>
        <v>0</v>
      </c>
    </row>
    <row r="893" spans="1:13" x14ac:dyDescent="0.3">
      <c r="A893" s="5" t="s">
        <v>3522</v>
      </c>
      <c r="B893" s="5" t="s">
        <v>1042</v>
      </c>
      <c r="C893" s="5" t="s">
        <v>2616</v>
      </c>
      <c r="D893" s="6">
        <v>45800</v>
      </c>
      <c r="E893" s="6">
        <v>45805</v>
      </c>
      <c r="F893" s="6">
        <v>45815</v>
      </c>
      <c r="G893" s="5" t="s">
        <v>2627</v>
      </c>
      <c r="H893" s="5">
        <v>29</v>
      </c>
      <c r="I893" s="5">
        <f>IFERROR(INDEX(Raw_Orders!H893:H3321,MATCH(B893,Raw_Orders!A893:A3321,0)),0)</f>
        <v>29</v>
      </c>
      <c r="J893" s="5" t="str">
        <f t="shared" si="52"/>
        <v>No</v>
      </c>
      <c r="K893" s="5" t="str">
        <f t="shared" si="53"/>
        <v>Yes</v>
      </c>
      <c r="L893" s="5" t="str">
        <f t="shared" si="55"/>
        <v>No</v>
      </c>
      <c r="M893" s="5">
        <f t="shared" si="54"/>
        <v>0</v>
      </c>
    </row>
    <row r="894" spans="1:13" x14ac:dyDescent="0.3">
      <c r="A894" s="2" t="s">
        <v>3523</v>
      </c>
      <c r="B894" s="2" t="s">
        <v>1043</v>
      </c>
      <c r="C894" s="2" t="s">
        <v>2606</v>
      </c>
      <c r="D894" s="3">
        <v>45800</v>
      </c>
      <c r="E894" s="3">
        <v>45801</v>
      </c>
      <c r="F894" s="3">
        <v>45806</v>
      </c>
      <c r="G894" s="2" t="s">
        <v>2633</v>
      </c>
      <c r="H894" s="2">
        <v>32</v>
      </c>
      <c r="I894" s="2">
        <f>IFERROR(INDEX(Raw_Orders!H894:H3322,MATCH(B894,Raw_Orders!A894:A3322,0)),0)</f>
        <v>32</v>
      </c>
      <c r="J894" s="2" t="str">
        <f t="shared" si="52"/>
        <v>No</v>
      </c>
      <c r="K894" s="2" t="str">
        <f t="shared" si="53"/>
        <v>Yes</v>
      </c>
      <c r="L894" s="2" t="str">
        <f t="shared" si="55"/>
        <v>No</v>
      </c>
      <c r="M894" s="2">
        <f t="shared" si="54"/>
        <v>0</v>
      </c>
    </row>
    <row r="895" spans="1:13" x14ac:dyDescent="0.3">
      <c r="A895" s="5" t="s">
        <v>3524</v>
      </c>
      <c r="B895" s="5" t="s">
        <v>1044</v>
      </c>
      <c r="C895" s="5" t="s">
        <v>2606</v>
      </c>
      <c r="D895" s="6">
        <v>45800</v>
      </c>
      <c r="E895" s="6">
        <v>45808</v>
      </c>
      <c r="F895" s="6">
        <v>45806</v>
      </c>
      <c r="G895" s="5" t="s">
        <v>2641</v>
      </c>
      <c r="H895" s="5">
        <v>33</v>
      </c>
      <c r="I895" s="5">
        <f>IFERROR(INDEX(Raw_Orders!H895:H3323,MATCH(B895,Raw_Orders!A895:A3323,0)),0)</f>
        <v>33</v>
      </c>
      <c r="J895" s="5" t="str">
        <f t="shared" si="52"/>
        <v>Yes</v>
      </c>
      <c r="K895" s="5" t="str">
        <f t="shared" si="53"/>
        <v>Yes</v>
      </c>
      <c r="L895" s="5" t="str">
        <f t="shared" si="55"/>
        <v>Yes</v>
      </c>
      <c r="M895" s="5">
        <f t="shared" si="54"/>
        <v>1</v>
      </c>
    </row>
    <row r="896" spans="1:13" x14ac:dyDescent="0.3">
      <c r="A896" s="2" t="s">
        <v>3525</v>
      </c>
      <c r="B896" s="2" t="s">
        <v>1045</v>
      </c>
      <c r="C896" s="2" t="s">
        <v>2608</v>
      </c>
      <c r="D896" s="3">
        <v>45800</v>
      </c>
      <c r="E896" s="3">
        <v>45808</v>
      </c>
      <c r="F896" s="3">
        <v>45813</v>
      </c>
      <c r="G896" s="2" t="s">
        <v>2629</v>
      </c>
      <c r="H896" s="2">
        <v>9</v>
      </c>
      <c r="I896" s="2">
        <f>IFERROR(INDEX(Raw_Orders!H896:H3324,MATCH(B896,Raw_Orders!A896:A3324,0)),0)</f>
        <v>9</v>
      </c>
      <c r="J896" s="2" t="str">
        <f t="shared" si="52"/>
        <v>No</v>
      </c>
      <c r="K896" s="2" t="str">
        <f t="shared" si="53"/>
        <v>Yes</v>
      </c>
      <c r="L896" s="2" t="str">
        <f t="shared" si="55"/>
        <v>No</v>
      </c>
      <c r="M896" s="2">
        <f t="shared" si="54"/>
        <v>0</v>
      </c>
    </row>
    <row r="897" spans="1:13" x14ac:dyDescent="0.3">
      <c r="A897" s="5" t="s">
        <v>3526</v>
      </c>
      <c r="B897" s="5" t="s">
        <v>1046</v>
      </c>
      <c r="C897" s="5" t="s">
        <v>2598</v>
      </c>
      <c r="D897" s="6">
        <v>45799</v>
      </c>
      <c r="E897" s="6">
        <v>45804</v>
      </c>
      <c r="F897" s="6">
        <v>45811</v>
      </c>
      <c r="G897" s="5" t="s">
        <v>2633</v>
      </c>
      <c r="H897" s="5">
        <v>21</v>
      </c>
      <c r="I897" s="5">
        <f>IFERROR(INDEX(Raw_Orders!H897:H3325,MATCH(B897,Raw_Orders!A897:A3325,0)),0)</f>
        <v>21</v>
      </c>
      <c r="J897" s="5" t="str">
        <f t="shared" si="52"/>
        <v>No</v>
      </c>
      <c r="K897" s="5" t="str">
        <f t="shared" si="53"/>
        <v>Yes</v>
      </c>
      <c r="L897" s="5" t="str">
        <f t="shared" si="55"/>
        <v>No</v>
      </c>
      <c r="M897" s="5">
        <f t="shared" si="54"/>
        <v>0</v>
      </c>
    </row>
    <row r="898" spans="1:13" x14ac:dyDescent="0.3">
      <c r="A898" s="2" t="s">
        <v>3527</v>
      </c>
      <c r="B898" s="2" t="s">
        <v>1047</v>
      </c>
      <c r="C898" s="2" t="s">
        <v>2614</v>
      </c>
      <c r="D898" s="3">
        <v>45801</v>
      </c>
      <c r="E898" s="3">
        <v>45803</v>
      </c>
      <c r="F898" s="3">
        <v>45814</v>
      </c>
      <c r="G898" s="2" t="s">
        <v>2631</v>
      </c>
      <c r="H898" s="2">
        <v>4</v>
      </c>
      <c r="I898" s="2">
        <f>IFERROR(INDEX(Raw_Orders!H898:H3326,MATCH(B898,Raw_Orders!A898:A3326,0)),0)</f>
        <v>7</v>
      </c>
      <c r="J898" s="2" t="str">
        <f t="shared" si="52"/>
        <v>No</v>
      </c>
      <c r="K898" s="2" t="str">
        <f t="shared" si="53"/>
        <v>N0</v>
      </c>
      <c r="L898" s="2" t="str">
        <f t="shared" si="55"/>
        <v>No</v>
      </c>
      <c r="M898" s="2">
        <f t="shared" si="54"/>
        <v>0</v>
      </c>
    </row>
    <row r="899" spans="1:13" x14ac:dyDescent="0.3">
      <c r="A899" s="5" t="s">
        <v>3528</v>
      </c>
      <c r="B899" s="5" t="s">
        <v>1048</v>
      </c>
      <c r="C899" s="5" t="s">
        <v>2616</v>
      </c>
      <c r="D899" s="6">
        <v>45801</v>
      </c>
      <c r="E899" s="6">
        <v>45805</v>
      </c>
      <c r="F899" s="6">
        <v>45816</v>
      </c>
      <c r="G899" s="5" t="s">
        <v>2633</v>
      </c>
      <c r="H899" s="5">
        <v>11</v>
      </c>
      <c r="I899" s="5">
        <f>IFERROR(INDEX(Raw_Orders!H899:H3327,MATCH(B899,Raw_Orders!A899:A3327,0)),0)</f>
        <v>11</v>
      </c>
      <c r="J899" s="5" t="str">
        <f t="shared" ref="J899:J962" si="56">IF(E899&gt;=F899,"Yes","No")</f>
        <v>No</v>
      </c>
      <c r="K899" s="5" t="str">
        <f t="shared" ref="K899:K962" si="57">IF(H899&gt;=I899,"Yes","N0")</f>
        <v>Yes</v>
      </c>
      <c r="L899" s="5" t="str">
        <f t="shared" si="55"/>
        <v>No</v>
      </c>
      <c r="M899" s="5">
        <f t="shared" ref="M899:M962" si="58">IF(L899="Yes",1,0)</f>
        <v>0</v>
      </c>
    </row>
    <row r="900" spans="1:13" x14ac:dyDescent="0.3">
      <c r="A900" s="2" t="s">
        <v>3529</v>
      </c>
      <c r="B900" s="2" t="s">
        <v>1049</v>
      </c>
      <c r="C900" s="2" t="s">
        <v>2608</v>
      </c>
      <c r="D900" s="3">
        <v>45801</v>
      </c>
      <c r="E900" s="3">
        <v>45804</v>
      </c>
      <c r="F900" s="3">
        <v>45814</v>
      </c>
      <c r="G900" s="2" t="s">
        <v>2631</v>
      </c>
      <c r="H900" s="2">
        <v>37</v>
      </c>
      <c r="I900" s="2">
        <f>IFERROR(INDEX(Raw_Orders!H900:H3328,MATCH(B900,Raw_Orders!A900:A3328,0)),0)</f>
        <v>37</v>
      </c>
      <c r="J900" s="2" t="str">
        <f t="shared" si="56"/>
        <v>No</v>
      </c>
      <c r="K900" s="2" t="str">
        <f t="shared" si="57"/>
        <v>Yes</v>
      </c>
      <c r="L900" s="2" t="str">
        <f t="shared" ref="L900:L963" si="59">IF(AND(J900="Yes",K900="Yes"),"Yes","No")</f>
        <v>No</v>
      </c>
      <c r="M900" s="2">
        <f t="shared" si="58"/>
        <v>0</v>
      </c>
    </row>
    <row r="901" spans="1:13" x14ac:dyDescent="0.3">
      <c r="A901" s="5" t="s">
        <v>3530</v>
      </c>
      <c r="B901" s="5" t="s">
        <v>1050</v>
      </c>
      <c r="C901" s="5" t="s">
        <v>2598</v>
      </c>
      <c r="D901" s="6">
        <v>45800</v>
      </c>
      <c r="E901" s="6">
        <v>45804</v>
      </c>
      <c r="F901" s="6">
        <v>45813</v>
      </c>
      <c r="G901" s="5" t="s">
        <v>2629</v>
      </c>
      <c r="H901" s="5">
        <v>31</v>
      </c>
      <c r="I901" s="5">
        <f>IFERROR(INDEX(Raw_Orders!H901:H3329,MATCH(B901,Raw_Orders!A901:A3329,0)),0)</f>
        <v>31</v>
      </c>
      <c r="J901" s="5" t="str">
        <f t="shared" si="56"/>
        <v>No</v>
      </c>
      <c r="K901" s="5" t="str">
        <f t="shared" si="57"/>
        <v>Yes</v>
      </c>
      <c r="L901" s="5" t="str">
        <f t="shared" si="59"/>
        <v>No</v>
      </c>
      <c r="M901" s="5">
        <f t="shared" si="58"/>
        <v>0</v>
      </c>
    </row>
    <row r="902" spans="1:13" x14ac:dyDescent="0.3">
      <c r="A902" s="2" t="s">
        <v>3531</v>
      </c>
      <c r="B902" s="2" t="s">
        <v>1051</v>
      </c>
      <c r="C902" s="2" t="s">
        <v>2598</v>
      </c>
      <c r="D902" s="3">
        <v>45801</v>
      </c>
      <c r="E902" s="3">
        <v>45806</v>
      </c>
      <c r="F902" s="3">
        <v>45815</v>
      </c>
      <c r="G902" s="2" t="s">
        <v>2631</v>
      </c>
      <c r="H902" s="2">
        <v>30</v>
      </c>
      <c r="I902" s="2">
        <f>IFERROR(INDEX(Raw_Orders!H902:H3330,MATCH(B902,Raw_Orders!A902:A3330,0)),0)</f>
        <v>30</v>
      </c>
      <c r="J902" s="2" t="str">
        <f t="shared" si="56"/>
        <v>No</v>
      </c>
      <c r="K902" s="2" t="str">
        <f t="shared" si="57"/>
        <v>Yes</v>
      </c>
      <c r="L902" s="2" t="str">
        <f t="shared" si="59"/>
        <v>No</v>
      </c>
      <c r="M902" s="2">
        <f t="shared" si="58"/>
        <v>0</v>
      </c>
    </row>
    <row r="903" spans="1:13" x14ac:dyDescent="0.3">
      <c r="A903" s="5" t="s">
        <v>3532</v>
      </c>
      <c r="B903" s="5" t="s">
        <v>1052</v>
      </c>
      <c r="C903" s="5" t="s">
        <v>2614</v>
      </c>
      <c r="D903" s="6">
        <v>45802</v>
      </c>
      <c r="E903" s="6">
        <v>45809</v>
      </c>
      <c r="F903" s="6">
        <v>45818</v>
      </c>
      <c r="G903" s="5" t="s">
        <v>2641</v>
      </c>
      <c r="H903" s="5">
        <v>16</v>
      </c>
      <c r="I903" s="5">
        <f>IFERROR(INDEX(Raw_Orders!H903:H3331,MATCH(B903,Raw_Orders!A903:A3331,0)),0)</f>
        <v>16</v>
      </c>
      <c r="J903" s="5" t="str">
        <f t="shared" si="56"/>
        <v>No</v>
      </c>
      <c r="K903" s="5" t="str">
        <f t="shared" si="57"/>
        <v>Yes</v>
      </c>
      <c r="L903" s="5" t="str">
        <f t="shared" si="59"/>
        <v>No</v>
      </c>
      <c r="M903" s="5">
        <f t="shared" si="58"/>
        <v>0</v>
      </c>
    </row>
    <row r="904" spans="1:13" x14ac:dyDescent="0.3">
      <c r="A904" s="2" t="s">
        <v>3533</v>
      </c>
      <c r="B904" s="2" t="s">
        <v>1053</v>
      </c>
      <c r="C904" s="2" t="s">
        <v>2601</v>
      </c>
      <c r="D904" s="3">
        <v>45800</v>
      </c>
      <c r="E904" s="3">
        <v>45805</v>
      </c>
      <c r="F904" s="3">
        <v>45807</v>
      </c>
      <c r="G904" s="2" t="s">
        <v>2633</v>
      </c>
      <c r="H904" s="2">
        <v>26</v>
      </c>
      <c r="I904" s="2">
        <f>IFERROR(INDEX(Raw_Orders!H904:H3332,MATCH(B904,Raw_Orders!A904:A3332,0)),0)</f>
        <v>26</v>
      </c>
      <c r="J904" s="2" t="str">
        <f t="shared" si="56"/>
        <v>No</v>
      </c>
      <c r="K904" s="2" t="str">
        <f t="shared" si="57"/>
        <v>Yes</v>
      </c>
      <c r="L904" s="2" t="str">
        <f t="shared" si="59"/>
        <v>No</v>
      </c>
      <c r="M904" s="2">
        <f t="shared" si="58"/>
        <v>0</v>
      </c>
    </row>
    <row r="905" spans="1:13" x14ac:dyDescent="0.3">
      <c r="A905" s="5" t="s">
        <v>3534</v>
      </c>
      <c r="B905" s="5" t="s">
        <v>1054</v>
      </c>
      <c r="C905" s="5" t="s">
        <v>2601</v>
      </c>
      <c r="D905" s="6">
        <v>45801</v>
      </c>
      <c r="E905" s="6">
        <v>45810</v>
      </c>
      <c r="F905" s="6">
        <v>45806</v>
      </c>
      <c r="G905" s="5" t="s">
        <v>2641</v>
      </c>
      <c r="H905" s="5">
        <v>14</v>
      </c>
      <c r="I905" s="5">
        <f>IFERROR(INDEX(Raw_Orders!H905:H3333,MATCH(B905,Raw_Orders!A905:A3333,0)),0)</f>
        <v>14</v>
      </c>
      <c r="J905" s="5" t="str">
        <f t="shared" si="56"/>
        <v>Yes</v>
      </c>
      <c r="K905" s="5" t="str">
        <f t="shared" si="57"/>
        <v>Yes</v>
      </c>
      <c r="L905" s="5" t="str">
        <f t="shared" si="59"/>
        <v>Yes</v>
      </c>
      <c r="M905" s="5">
        <f t="shared" si="58"/>
        <v>1</v>
      </c>
    </row>
    <row r="906" spans="1:13" x14ac:dyDescent="0.3">
      <c r="A906" s="2" t="s">
        <v>3535</v>
      </c>
      <c r="B906" s="2" t="s">
        <v>1055</v>
      </c>
      <c r="C906" s="2" t="s">
        <v>2604</v>
      </c>
      <c r="D906" s="3">
        <v>45800</v>
      </c>
      <c r="E906" s="3">
        <v>45809</v>
      </c>
      <c r="F906" s="3">
        <v>45803</v>
      </c>
      <c r="G906" s="2" t="s">
        <v>2641</v>
      </c>
      <c r="H906" s="2">
        <v>10</v>
      </c>
      <c r="I906" s="2">
        <f>IFERROR(INDEX(Raw_Orders!H906:H3334,MATCH(B906,Raw_Orders!A906:A3334,0)),0)</f>
        <v>10</v>
      </c>
      <c r="J906" s="2" t="str">
        <f t="shared" si="56"/>
        <v>Yes</v>
      </c>
      <c r="K906" s="2" t="str">
        <f t="shared" si="57"/>
        <v>Yes</v>
      </c>
      <c r="L906" s="2" t="str">
        <f t="shared" si="59"/>
        <v>Yes</v>
      </c>
      <c r="M906" s="2">
        <f t="shared" si="58"/>
        <v>1</v>
      </c>
    </row>
    <row r="907" spans="1:13" x14ac:dyDescent="0.3">
      <c r="A907" s="5" t="s">
        <v>3536</v>
      </c>
      <c r="B907" s="5" t="s">
        <v>1056</v>
      </c>
      <c r="C907" s="5" t="s">
        <v>2604</v>
      </c>
      <c r="D907" s="6">
        <v>45802</v>
      </c>
      <c r="E907" s="6">
        <v>45805</v>
      </c>
      <c r="F907" s="6">
        <v>45806</v>
      </c>
      <c r="G907" s="5" t="s">
        <v>2629</v>
      </c>
      <c r="H907" s="5">
        <v>13</v>
      </c>
      <c r="I907" s="5">
        <f>IFERROR(INDEX(Raw_Orders!H907:H3335,MATCH(B907,Raw_Orders!A907:A3335,0)),0)</f>
        <v>13</v>
      </c>
      <c r="J907" s="5" t="str">
        <f t="shared" si="56"/>
        <v>No</v>
      </c>
      <c r="K907" s="5" t="str">
        <f t="shared" si="57"/>
        <v>Yes</v>
      </c>
      <c r="L907" s="5" t="str">
        <f t="shared" si="59"/>
        <v>No</v>
      </c>
      <c r="M907" s="5">
        <f t="shared" si="58"/>
        <v>0</v>
      </c>
    </row>
    <row r="908" spans="1:13" x14ac:dyDescent="0.3">
      <c r="A908" s="2" t="s">
        <v>3537</v>
      </c>
      <c r="B908" s="2" t="s">
        <v>1057</v>
      </c>
      <c r="C908" s="2" t="s">
        <v>2606</v>
      </c>
      <c r="D908" s="3">
        <v>45800</v>
      </c>
      <c r="E908" s="3">
        <v>45809</v>
      </c>
      <c r="F908" s="3">
        <v>45805</v>
      </c>
      <c r="G908" s="2" t="s">
        <v>2633</v>
      </c>
      <c r="H908" s="2">
        <v>44</v>
      </c>
      <c r="I908" s="2">
        <f>IFERROR(INDEX(Raw_Orders!H908:H3336,MATCH(B908,Raw_Orders!A908:A3336,0)),0)</f>
        <v>44</v>
      </c>
      <c r="J908" s="2" t="str">
        <f t="shared" si="56"/>
        <v>Yes</v>
      </c>
      <c r="K908" s="2" t="str">
        <f t="shared" si="57"/>
        <v>Yes</v>
      </c>
      <c r="L908" s="2" t="str">
        <f t="shared" si="59"/>
        <v>Yes</v>
      </c>
      <c r="M908" s="2">
        <f t="shared" si="58"/>
        <v>1</v>
      </c>
    </row>
    <row r="909" spans="1:13" x14ac:dyDescent="0.3">
      <c r="A909" s="5" t="s">
        <v>3538</v>
      </c>
      <c r="B909" s="5" t="s">
        <v>1058</v>
      </c>
      <c r="C909" s="5" t="s">
        <v>2606</v>
      </c>
      <c r="D909" s="6">
        <v>45800</v>
      </c>
      <c r="E909" s="6">
        <v>45804</v>
      </c>
      <c r="F909" s="6">
        <v>45806</v>
      </c>
      <c r="G909" s="5" t="s">
        <v>2631</v>
      </c>
      <c r="H909" s="5">
        <v>19</v>
      </c>
      <c r="I909" s="5">
        <f>IFERROR(INDEX(Raw_Orders!H909:H3337,MATCH(B909,Raw_Orders!A909:A3337,0)),0)</f>
        <v>19</v>
      </c>
      <c r="J909" s="5" t="str">
        <f t="shared" si="56"/>
        <v>No</v>
      </c>
      <c r="K909" s="5" t="str">
        <f t="shared" si="57"/>
        <v>Yes</v>
      </c>
      <c r="L909" s="5" t="str">
        <f t="shared" si="59"/>
        <v>No</v>
      </c>
      <c r="M909" s="5">
        <f t="shared" si="58"/>
        <v>0</v>
      </c>
    </row>
    <row r="910" spans="1:13" x14ac:dyDescent="0.3">
      <c r="A910" s="2" t="s">
        <v>3539</v>
      </c>
      <c r="B910" s="2" t="s">
        <v>1059</v>
      </c>
      <c r="C910" s="2" t="s">
        <v>2598</v>
      </c>
      <c r="D910" s="3">
        <v>45803</v>
      </c>
      <c r="E910" s="3">
        <v>45806</v>
      </c>
      <c r="F910" s="3">
        <v>45818</v>
      </c>
      <c r="G910" s="2" t="s">
        <v>2631</v>
      </c>
      <c r="H910" s="2">
        <v>35</v>
      </c>
      <c r="I910" s="2">
        <f>IFERROR(INDEX(Raw_Orders!H910:H3338,MATCH(B910,Raw_Orders!A910:A3338,0)),0)</f>
        <v>41</v>
      </c>
      <c r="J910" s="2" t="str">
        <f t="shared" si="56"/>
        <v>No</v>
      </c>
      <c r="K910" s="2" t="str">
        <f t="shared" si="57"/>
        <v>N0</v>
      </c>
      <c r="L910" s="2" t="str">
        <f t="shared" si="59"/>
        <v>No</v>
      </c>
      <c r="M910" s="2">
        <f t="shared" si="58"/>
        <v>0</v>
      </c>
    </row>
    <row r="911" spans="1:13" x14ac:dyDescent="0.3">
      <c r="A911" s="5" t="s">
        <v>3540</v>
      </c>
      <c r="B911" s="5" t="s">
        <v>1060</v>
      </c>
      <c r="C911" s="5" t="s">
        <v>2601</v>
      </c>
      <c r="D911" s="6">
        <v>45802</v>
      </c>
      <c r="E911" s="6">
        <v>45804</v>
      </c>
      <c r="F911" s="6">
        <v>45811</v>
      </c>
      <c r="G911" s="5" t="s">
        <v>2641</v>
      </c>
      <c r="H911" s="5">
        <v>29</v>
      </c>
      <c r="I911" s="5">
        <f>IFERROR(INDEX(Raw_Orders!H911:H3339,MATCH(B911,Raw_Orders!A911:A3339,0)),0)</f>
        <v>29</v>
      </c>
      <c r="J911" s="5" t="str">
        <f t="shared" si="56"/>
        <v>No</v>
      </c>
      <c r="K911" s="5" t="str">
        <f t="shared" si="57"/>
        <v>Yes</v>
      </c>
      <c r="L911" s="5" t="str">
        <f t="shared" si="59"/>
        <v>No</v>
      </c>
      <c r="M911" s="5">
        <f t="shared" si="58"/>
        <v>0</v>
      </c>
    </row>
    <row r="912" spans="1:13" x14ac:dyDescent="0.3">
      <c r="A912" s="2" t="s">
        <v>3541</v>
      </c>
      <c r="B912" s="2" t="s">
        <v>1061</v>
      </c>
      <c r="C912" s="2" t="s">
        <v>2601</v>
      </c>
      <c r="D912" s="3">
        <v>45801</v>
      </c>
      <c r="E912" s="3">
        <v>45811</v>
      </c>
      <c r="F912" s="3">
        <v>45806</v>
      </c>
      <c r="G912" s="2" t="s">
        <v>2629</v>
      </c>
      <c r="H912" s="2">
        <v>10</v>
      </c>
      <c r="I912" s="2">
        <f>IFERROR(INDEX(Raw_Orders!H912:H3340,MATCH(B912,Raw_Orders!A912:A3340,0)),0)</f>
        <v>10</v>
      </c>
      <c r="J912" s="2" t="str">
        <f t="shared" si="56"/>
        <v>Yes</v>
      </c>
      <c r="K912" s="2" t="str">
        <f t="shared" si="57"/>
        <v>Yes</v>
      </c>
      <c r="L912" s="2" t="str">
        <f t="shared" si="59"/>
        <v>Yes</v>
      </c>
      <c r="M912" s="2">
        <f t="shared" si="58"/>
        <v>1</v>
      </c>
    </row>
    <row r="913" spans="1:13" x14ac:dyDescent="0.3">
      <c r="A913" s="5" t="s">
        <v>3542</v>
      </c>
      <c r="B913" s="5" t="s">
        <v>1062</v>
      </c>
      <c r="C913" s="5" t="s">
        <v>2604</v>
      </c>
      <c r="D913" s="6">
        <v>45802</v>
      </c>
      <c r="E913" s="6">
        <v>45804</v>
      </c>
      <c r="F913" s="6">
        <v>45810</v>
      </c>
      <c r="G913" s="5" t="s">
        <v>2641</v>
      </c>
      <c r="H913" s="5">
        <v>22</v>
      </c>
      <c r="I913" s="5">
        <f>IFERROR(INDEX(Raw_Orders!H913:H3341,MATCH(B913,Raw_Orders!A913:A3341,0)),0)</f>
        <v>22</v>
      </c>
      <c r="J913" s="5" t="str">
        <f t="shared" si="56"/>
        <v>No</v>
      </c>
      <c r="K913" s="5" t="str">
        <f t="shared" si="57"/>
        <v>Yes</v>
      </c>
      <c r="L913" s="5" t="str">
        <f t="shared" si="59"/>
        <v>No</v>
      </c>
      <c r="M913" s="5">
        <f t="shared" si="58"/>
        <v>0</v>
      </c>
    </row>
    <row r="914" spans="1:13" x14ac:dyDescent="0.3">
      <c r="A914" s="2" t="s">
        <v>3543</v>
      </c>
      <c r="B914" s="2" t="s">
        <v>1063</v>
      </c>
      <c r="C914" s="2" t="s">
        <v>2606</v>
      </c>
      <c r="D914" s="3">
        <v>45801</v>
      </c>
      <c r="E914" s="3">
        <v>45809</v>
      </c>
      <c r="F914" s="3">
        <v>45811</v>
      </c>
      <c r="G914" s="2" t="s">
        <v>2641</v>
      </c>
      <c r="H914" s="2">
        <v>39</v>
      </c>
      <c r="I914" s="2">
        <f>IFERROR(INDEX(Raw_Orders!H914:H3342,MATCH(B914,Raw_Orders!A914:A3342,0)),0)</f>
        <v>39</v>
      </c>
      <c r="J914" s="2" t="str">
        <f t="shared" si="56"/>
        <v>No</v>
      </c>
      <c r="K914" s="2" t="str">
        <f t="shared" si="57"/>
        <v>Yes</v>
      </c>
      <c r="L914" s="2" t="str">
        <f t="shared" si="59"/>
        <v>No</v>
      </c>
      <c r="M914" s="2">
        <f t="shared" si="58"/>
        <v>0</v>
      </c>
    </row>
    <row r="915" spans="1:13" x14ac:dyDescent="0.3">
      <c r="A915" s="5" t="s">
        <v>3544</v>
      </c>
      <c r="B915" s="5" t="s">
        <v>1064</v>
      </c>
      <c r="C915" s="5" t="s">
        <v>2608</v>
      </c>
      <c r="D915" s="6">
        <v>45803</v>
      </c>
      <c r="E915" s="6">
        <v>45805</v>
      </c>
      <c r="F915" s="6">
        <v>45820</v>
      </c>
      <c r="G915" s="5" t="s">
        <v>2641</v>
      </c>
      <c r="H915" s="5">
        <v>35</v>
      </c>
      <c r="I915" s="5">
        <f>IFERROR(INDEX(Raw_Orders!H915:H3343,MATCH(B915,Raw_Orders!A915:A3343,0)),0)</f>
        <v>35</v>
      </c>
      <c r="J915" s="5" t="str">
        <f t="shared" si="56"/>
        <v>No</v>
      </c>
      <c r="K915" s="5" t="str">
        <f t="shared" si="57"/>
        <v>Yes</v>
      </c>
      <c r="L915" s="5" t="str">
        <f t="shared" si="59"/>
        <v>No</v>
      </c>
      <c r="M915" s="5">
        <f t="shared" si="58"/>
        <v>0</v>
      </c>
    </row>
    <row r="916" spans="1:13" x14ac:dyDescent="0.3">
      <c r="A916" s="2" t="s">
        <v>3545</v>
      </c>
      <c r="B916" s="2" t="s">
        <v>1065</v>
      </c>
      <c r="C916" s="2" t="s">
        <v>2608</v>
      </c>
      <c r="D916" s="3">
        <v>45802</v>
      </c>
      <c r="E916" s="3">
        <v>45810</v>
      </c>
      <c r="F916" s="3">
        <v>45815</v>
      </c>
      <c r="G916" s="2" t="s">
        <v>2633</v>
      </c>
      <c r="H916" s="2">
        <v>6</v>
      </c>
      <c r="I916" s="2">
        <f>IFERROR(INDEX(Raw_Orders!H916:H3344,MATCH(B916,Raw_Orders!A916:A3344,0)),0)</f>
        <v>6</v>
      </c>
      <c r="J916" s="2" t="str">
        <f t="shared" si="56"/>
        <v>No</v>
      </c>
      <c r="K916" s="2" t="str">
        <f t="shared" si="57"/>
        <v>Yes</v>
      </c>
      <c r="L916" s="2" t="str">
        <f t="shared" si="59"/>
        <v>No</v>
      </c>
      <c r="M916" s="2">
        <f t="shared" si="58"/>
        <v>0</v>
      </c>
    </row>
    <row r="917" spans="1:13" x14ac:dyDescent="0.3">
      <c r="A917" s="5" t="s">
        <v>3546</v>
      </c>
      <c r="B917" s="5" t="s">
        <v>1066</v>
      </c>
      <c r="C917" s="5" t="s">
        <v>2611</v>
      </c>
      <c r="D917" s="6">
        <v>45804</v>
      </c>
      <c r="E917" s="6">
        <v>45812</v>
      </c>
      <c r="F917" s="6">
        <v>45810</v>
      </c>
      <c r="G917" s="5" t="s">
        <v>2631</v>
      </c>
      <c r="H917" s="5">
        <v>10</v>
      </c>
      <c r="I917" s="5">
        <f>IFERROR(INDEX(Raw_Orders!H917:H3345,MATCH(B917,Raw_Orders!A917:A3345,0)),0)</f>
        <v>10</v>
      </c>
      <c r="J917" s="5" t="str">
        <f t="shared" si="56"/>
        <v>Yes</v>
      </c>
      <c r="K917" s="5" t="str">
        <f t="shared" si="57"/>
        <v>Yes</v>
      </c>
      <c r="L917" s="5" t="str">
        <f t="shared" si="59"/>
        <v>Yes</v>
      </c>
      <c r="M917" s="5">
        <f t="shared" si="58"/>
        <v>1</v>
      </c>
    </row>
    <row r="918" spans="1:13" x14ac:dyDescent="0.3">
      <c r="A918" s="2" t="s">
        <v>3547</v>
      </c>
      <c r="B918" s="2" t="s">
        <v>1067</v>
      </c>
      <c r="C918" s="2" t="s">
        <v>2614</v>
      </c>
      <c r="D918" s="3">
        <v>45802</v>
      </c>
      <c r="E918" s="3">
        <v>45810</v>
      </c>
      <c r="F918" s="3">
        <v>45816</v>
      </c>
      <c r="G918" s="2" t="s">
        <v>2641</v>
      </c>
      <c r="H918" s="2">
        <v>11</v>
      </c>
      <c r="I918" s="2">
        <f>IFERROR(INDEX(Raw_Orders!H918:H3346,MATCH(B918,Raw_Orders!A918:A3346,0)),0)</f>
        <v>11</v>
      </c>
      <c r="J918" s="2" t="str">
        <f t="shared" si="56"/>
        <v>No</v>
      </c>
      <c r="K918" s="2" t="str">
        <f t="shared" si="57"/>
        <v>Yes</v>
      </c>
      <c r="L918" s="2" t="str">
        <f t="shared" si="59"/>
        <v>No</v>
      </c>
      <c r="M918" s="2">
        <f t="shared" si="58"/>
        <v>0</v>
      </c>
    </row>
    <row r="919" spans="1:13" x14ac:dyDescent="0.3">
      <c r="A919" s="5" t="s">
        <v>3548</v>
      </c>
      <c r="B919" s="5" t="s">
        <v>1068</v>
      </c>
      <c r="C919" s="5" t="s">
        <v>2614</v>
      </c>
      <c r="D919" s="6">
        <v>45804</v>
      </c>
      <c r="E919" s="6">
        <v>45805</v>
      </c>
      <c r="F919" s="6">
        <v>45818</v>
      </c>
      <c r="G919" s="5" t="s">
        <v>2633</v>
      </c>
      <c r="H919" s="5">
        <v>29</v>
      </c>
      <c r="I919" s="5">
        <f>IFERROR(INDEX(Raw_Orders!H919:H3347,MATCH(B919,Raw_Orders!A919:A3347,0)),0)</f>
        <v>29</v>
      </c>
      <c r="J919" s="5" t="str">
        <f t="shared" si="56"/>
        <v>No</v>
      </c>
      <c r="K919" s="5" t="str">
        <f t="shared" si="57"/>
        <v>Yes</v>
      </c>
      <c r="L919" s="5" t="str">
        <f t="shared" si="59"/>
        <v>No</v>
      </c>
      <c r="M919" s="5">
        <f t="shared" si="58"/>
        <v>0</v>
      </c>
    </row>
    <row r="920" spans="1:13" x14ac:dyDescent="0.3">
      <c r="A920" s="2" t="s">
        <v>3549</v>
      </c>
      <c r="B920" s="2" t="s">
        <v>1069</v>
      </c>
      <c r="C920" s="2" t="s">
        <v>2601</v>
      </c>
      <c r="D920" s="3">
        <v>45802</v>
      </c>
      <c r="E920" s="3">
        <v>45811</v>
      </c>
      <c r="F920" s="3">
        <v>45807</v>
      </c>
      <c r="G920" s="2" t="s">
        <v>2641</v>
      </c>
      <c r="H920" s="2">
        <v>15</v>
      </c>
      <c r="I920" s="2">
        <f>IFERROR(INDEX(Raw_Orders!H920:H3348,MATCH(B920,Raw_Orders!A920:A3348,0)),0)</f>
        <v>18</v>
      </c>
      <c r="J920" s="2" t="str">
        <f t="shared" si="56"/>
        <v>Yes</v>
      </c>
      <c r="K920" s="2" t="str">
        <f t="shared" si="57"/>
        <v>N0</v>
      </c>
      <c r="L920" s="2" t="str">
        <f t="shared" si="59"/>
        <v>No</v>
      </c>
      <c r="M920" s="2">
        <f t="shared" si="58"/>
        <v>0</v>
      </c>
    </row>
    <row r="921" spans="1:13" x14ac:dyDescent="0.3">
      <c r="A921" s="5" t="s">
        <v>3550</v>
      </c>
      <c r="B921" s="5" t="s">
        <v>1070</v>
      </c>
      <c r="C921" s="5" t="s">
        <v>2604</v>
      </c>
      <c r="D921" s="6">
        <v>45804</v>
      </c>
      <c r="E921" s="6">
        <v>45809</v>
      </c>
      <c r="F921" s="6">
        <v>45809</v>
      </c>
      <c r="G921" s="5" t="s">
        <v>2627</v>
      </c>
      <c r="H921" s="5">
        <v>13</v>
      </c>
      <c r="I921" s="5">
        <f>IFERROR(INDEX(Raw_Orders!H921:H3349,MATCH(B921,Raw_Orders!A921:A3349,0)),0)</f>
        <v>17</v>
      </c>
      <c r="J921" s="5" t="str">
        <f t="shared" si="56"/>
        <v>Yes</v>
      </c>
      <c r="K921" s="5" t="str">
        <f t="shared" si="57"/>
        <v>N0</v>
      </c>
      <c r="L921" s="5" t="str">
        <f t="shared" si="59"/>
        <v>No</v>
      </c>
      <c r="M921" s="5">
        <f t="shared" si="58"/>
        <v>0</v>
      </c>
    </row>
    <row r="922" spans="1:13" x14ac:dyDescent="0.3">
      <c r="A922" s="2" t="s">
        <v>3551</v>
      </c>
      <c r="B922" s="2" t="s">
        <v>1071</v>
      </c>
      <c r="C922" s="2" t="s">
        <v>2606</v>
      </c>
      <c r="D922" s="3">
        <v>45803</v>
      </c>
      <c r="E922" s="3">
        <v>45806</v>
      </c>
      <c r="F922" s="3">
        <v>45811</v>
      </c>
      <c r="G922" s="2" t="s">
        <v>2633</v>
      </c>
      <c r="H922" s="2">
        <v>64</v>
      </c>
      <c r="I922" s="2">
        <f>IFERROR(INDEX(Raw_Orders!H922:H3350,MATCH(B922,Raw_Orders!A922:A3350,0)),0)</f>
        <v>64</v>
      </c>
      <c r="J922" s="2" t="str">
        <f t="shared" si="56"/>
        <v>No</v>
      </c>
      <c r="K922" s="2" t="str">
        <f t="shared" si="57"/>
        <v>Yes</v>
      </c>
      <c r="L922" s="2" t="str">
        <f t="shared" si="59"/>
        <v>No</v>
      </c>
      <c r="M922" s="2">
        <f t="shared" si="58"/>
        <v>0</v>
      </c>
    </row>
    <row r="923" spans="1:13" x14ac:dyDescent="0.3">
      <c r="A923" s="5" t="s">
        <v>3552</v>
      </c>
      <c r="B923" s="5" t="s">
        <v>1072</v>
      </c>
      <c r="C923" s="5" t="s">
        <v>2608</v>
      </c>
      <c r="D923" s="6">
        <v>45803</v>
      </c>
      <c r="E923" s="6">
        <v>45812</v>
      </c>
      <c r="F923" s="6">
        <v>45818</v>
      </c>
      <c r="G923" s="5" t="s">
        <v>2633</v>
      </c>
      <c r="H923" s="5">
        <v>22</v>
      </c>
      <c r="I923" s="5">
        <f>IFERROR(INDEX(Raw_Orders!H923:H3351,MATCH(B923,Raw_Orders!A923:A3351,0)),0)</f>
        <v>22</v>
      </c>
      <c r="J923" s="5" t="str">
        <f t="shared" si="56"/>
        <v>No</v>
      </c>
      <c r="K923" s="5" t="str">
        <f t="shared" si="57"/>
        <v>Yes</v>
      </c>
      <c r="L923" s="5" t="str">
        <f t="shared" si="59"/>
        <v>No</v>
      </c>
      <c r="M923" s="5">
        <f t="shared" si="58"/>
        <v>0</v>
      </c>
    </row>
    <row r="924" spans="1:13" x14ac:dyDescent="0.3">
      <c r="A924" s="2" t="s">
        <v>3553</v>
      </c>
      <c r="B924" s="2" t="s">
        <v>1073</v>
      </c>
      <c r="C924" s="2" t="s">
        <v>2608</v>
      </c>
      <c r="D924" s="3">
        <v>45803</v>
      </c>
      <c r="E924" s="3">
        <v>45808</v>
      </c>
      <c r="F924" s="3">
        <v>45816</v>
      </c>
      <c r="G924" s="2" t="s">
        <v>2633</v>
      </c>
      <c r="H924" s="2">
        <v>2</v>
      </c>
      <c r="I924" s="2">
        <f>IFERROR(INDEX(Raw_Orders!H924:H3352,MATCH(B924,Raw_Orders!A924:A3352,0)),0)</f>
        <v>2</v>
      </c>
      <c r="J924" s="2" t="str">
        <f t="shared" si="56"/>
        <v>No</v>
      </c>
      <c r="K924" s="2" t="str">
        <f t="shared" si="57"/>
        <v>Yes</v>
      </c>
      <c r="L924" s="2" t="str">
        <f t="shared" si="59"/>
        <v>No</v>
      </c>
      <c r="M924" s="2">
        <f t="shared" si="58"/>
        <v>0</v>
      </c>
    </row>
    <row r="925" spans="1:13" x14ac:dyDescent="0.3">
      <c r="A925" s="5" t="s">
        <v>3554</v>
      </c>
      <c r="B925" s="5" t="s">
        <v>1074</v>
      </c>
      <c r="C925" s="5" t="s">
        <v>2611</v>
      </c>
      <c r="D925" s="6">
        <v>45805</v>
      </c>
      <c r="E925" s="6">
        <v>45806</v>
      </c>
      <c r="F925" s="6">
        <v>45814</v>
      </c>
      <c r="G925" s="5" t="s">
        <v>2631</v>
      </c>
      <c r="H925" s="5">
        <v>46</v>
      </c>
      <c r="I925" s="5">
        <f>IFERROR(INDEX(Raw_Orders!H925:H3353,MATCH(B925,Raw_Orders!A925:A3353,0)),0)</f>
        <v>46</v>
      </c>
      <c r="J925" s="5" t="str">
        <f t="shared" si="56"/>
        <v>No</v>
      </c>
      <c r="K925" s="5" t="str">
        <f t="shared" si="57"/>
        <v>Yes</v>
      </c>
      <c r="L925" s="5" t="str">
        <f t="shared" si="59"/>
        <v>No</v>
      </c>
      <c r="M925" s="5">
        <f t="shared" si="58"/>
        <v>0</v>
      </c>
    </row>
    <row r="926" spans="1:13" x14ac:dyDescent="0.3">
      <c r="A926" s="2" t="s">
        <v>3555</v>
      </c>
      <c r="B926" s="2" t="s">
        <v>1075</v>
      </c>
      <c r="C926" s="2" t="s">
        <v>2601</v>
      </c>
      <c r="D926" s="3">
        <v>45803</v>
      </c>
      <c r="E926" s="3">
        <v>45806</v>
      </c>
      <c r="F926" s="3">
        <v>45810</v>
      </c>
      <c r="G926" s="2" t="s">
        <v>2631</v>
      </c>
      <c r="H926" s="2">
        <v>6</v>
      </c>
      <c r="I926" s="2">
        <f>IFERROR(INDEX(Raw_Orders!H926:H3354,MATCH(B926,Raw_Orders!A926:A3354,0)),0)</f>
        <v>6</v>
      </c>
      <c r="J926" s="2" t="str">
        <f t="shared" si="56"/>
        <v>No</v>
      </c>
      <c r="K926" s="2" t="str">
        <f t="shared" si="57"/>
        <v>Yes</v>
      </c>
      <c r="L926" s="2" t="str">
        <f t="shared" si="59"/>
        <v>No</v>
      </c>
      <c r="M926" s="2">
        <f t="shared" si="58"/>
        <v>0</v>
      </c>
    </row>
    <row r="927" spans="1:13" x14ac:dyDescent="0.3">
      <c r="A927" s="5" t="s">
        <v>3556</v>
      </c>
      <c r="B927" s="5" t="s">
        <v>1076</v>
      </c>
      <c r="C927" s="5" t="s">
        <v>2604</v>
      </c>
      <c r="D927" s="6">
        <v>45805</v>
      </c>
      <c r="E927" s="6">
        <v>45806</v>
      </c>
      <c r="F927" s="6">
        <v>45813</v>
      </c>
      <c r="G927" s="5" t="s">
        <v>2633</v>
      </c>
      <c r="H927" s="5">
        <v>21</v>
      </c>
      <c r="I927" s="5">
        <f>IFERROR(INDEX(Raw_Orders!H927:H3355,MATCH(B927,Raw_Orders!A927:A3355,0)),0)</f>
        <v>21</v>
      </c>
      <c r="J927" s="5" t="str">
        <f t="shared" si="56"/>
        <v>No</v>
      </c>
      <c r="K927" s="5" t="str">
        <f t="shared" si="57"/>
        <v>Yes</v>
      </c>
      <c r="L927" s="5" t="str">
        <f t="shared" si="59"/>
        <v>No</v>
      </c>
      <c r="M927" s="5">
        <f t="shared" si="58"/>
        <v>0</v>
      </c>
    </row>
    <row r="928" spans="1:13" x14ac:dyDescent="0.3">
      <c r="A928" s="2" t="s">
        <v>3557</v>
      </c>
      <c r="B928" s="2" t="s">
        <v>1077</v>
      </c>
      <c r="C928" s="2" t="s">
        <v>2606</v>
      </c>
      <c r="D928" s="3">
        <v>45804</v>
      </c>
      <c r="E928" s="3">
        <v>45807</v>
      </c>
      <c r="F928" s="3">
        <v>45811</v>
      </c>
      <c r="G928" s="2" t="s">
        <v>2629</v>
      </c>
      <c r="H928" s="2">
        <v>33</v>
      </c>
      <c r="I928" s="2">
        <f>IFERROR(INDEX(Raw_Orders!H928:H3356,MATCH(B928,Raw_Orders!A928:A3356,0)),0)</f>
        <v>33</v>
      </c>
      <c r="J928" s="2" t="str">
        <f t="shared" si="56"/>
        <v>No</v>
      </c>
      <c r="K928" s="2" t="str">
        <f t="shared" si="57"/>
        <v>Yes</v>
      </c>
      <c r="L928" s="2" t="str">
        <f t="shared" si="59"/>
        <v>No</v>
      </c>
      <c r="M928" s="2">
        <f t="shared" si="58"/>
        <v>0</v>
      </c>
    </row>
    <row r="929" spans="1:13" x14ac:dyDescent="0.3">
      <c r="A929" s="5" t="s">
        <v>3558</v>
      </c>
      <c r="B929" s="5" t="s">
        <v>1078</v>
      </c>
      <c r="C929" s="5" t="s">
        <v>2608</v>
      </c>
      <c r="D929" s="6">
        <v>45804</v>
      </c>
      <c r="E929" s="6">
        <v>45813</v>
      </c>
      <c r="F929" s="6">
        <v>45818</v>
      </c>
      <c r="G929" s="5" t="s">
        <v>2627</v>
      </c>
      <c r="H929" s="5">
        <v>38</v>
      </c>
      <c r="I929" s="5">
        <f>IFERROR(INDEX(Raw_Orders!H929:H3357,MATCH(B929,Raw_Orders!A929:A3357,0)),0)</f>
        <v>38</v>
      </c>
      <c r="J929" s="5" t="str">
        <f t="shared" si="56"/>
        <v>No</v>
      </c>
      <c r="K929" s="5" t="str">
        <f t="shared" si="57"/>
        <v>Yes</v>
      </c>
      <c r="L929" s="5" t="str">
        <f t="shared" si="59"/>
        <v>No</v>
      </c>
      <c r="M929" s="5">
        <f t="shared" si="58"/>
        <v>0</v>
      </c>
    </row>
    <row r="930" spans="1:13" x14ac:dyDescent="0.3">
      <c r="A930" s="2" t="s">
        <v>3559</v>
      </c>
      <c r="B930" s="2" t="s">
        <v>1079</v>
      </c>
      <c r="C930" s="2" t="s">
        <v>2611</v>
      </c>
      <c r="D930" s="3">
        <v>45806</v>
      </c>
      <c r="E930" s="3">
        <v>45812</v>
      </c>
      <c r="F930" s="3">
        <v>45817</v>
      </c>
      <c r="G930" s="2" t="s">
        <v>2641</v>
      </c>
      <c r="H930" s="2">
        <v>31</v>
      </c>
      <c r="I930" s="2">
        <f>IFERROR(INDEX(Raw_Orders!H930:H3358,MATCH(B930,Raw_Orders!A930:A3358,0)),0)</f>
        <v>31</v>
      </c>
      <c r="J930" s="2" t="str">
        <f t="shared" si="56"/>
        <v>No</v>
      </c>
      <c r="K930" s="2" t="str">
        <f t="shared" si="57"/>
        <v>Yes</v>
      </c>
      <c r="L930" s="2" t="str">
        <f t="shared" si="59"/>
        <v>No</v>
      </c>
      <c r="M930" s="2">
        <f t="shared" si="58"/>
        <v>0</v>
      </c>
    </row>
    <row r="931" spans="1:13" x14ac:dyDescent="0.3">
      <c r="A931" s="5" t="s">
        <v>3560</v>
      </c>
      <c r="B931" s="5" t="s">
        <v>1080</v>
      </c>
      <c r="C931" s="5" t="s">
        <v>2611</v>
      </c>
      <c r="D931" s="6">
        <v>45805</v>
      </c>
      <c r="E931" s="6">
        <v>45808</v>
      </c>
      <c r="F931" s="6">
        <v>45814</v>
      </c>
      <c r="G931" s="5" t="s">
        <v>2633</v>
      </c>
      <c r="H931" s="5">
        <v>28</v>
      </c>
      <c r="I931" s="5">
        <f>IFERROR(INDEX(Raw_Orders!H931:H3359,MATCH(B931,Raw_Orders!A931:A3359,0)),0)</f>
        <v>28</v>
      </c>
      <c r="J931" s="5" t="str">
        <f t="shared" si="56"/>
        <v>No</v>
      </c>
      <c r="K931" s="5" t="str">
        <f t="shared" si="57"/>
        <v>Yes</v>
      </c>
      <c r="L931" s="5" t="str">
        <f t="shared" si="59"/>
        <v>No</v>
      </c>
      <c r="M931" s="5">
        <f t="shared" si="58"/>
        <v>0</v>
      </c>
    </row>
    <row r="932" spans="1:13" x14ac:dyDescent="0.3">
      <c r="A932" s="2" t="s">
        <v>3561</v>
      </c>
      <c r="B932" s="2" t="s">
        <v>1081</v>
      </c>
      <c r="C932" s="2" t="s">
        <v>2601</v>
      </c>
      <c r="D932" s="3">
        <v>45806</v>
      </c>
      <c r="E932" s="3">
        <v>45810</v>
      </c>
      <c r="F932" s="3">
        <v>45811</v>
      </c>
      <c r="G932" s="2" t="s">
        <v>2629</v>
      </c>
      <c r="H932" s="2">
        <v>27</v>
      </c>
      <c r="I932" s="2">
        <f>IFERROR(INDEX(Raw_Orders!H932:H3360,MATCH(B932,Raw_Orders!A932:A3360,0)),0)</f>
        <v>27</v>
      </c>
      <c r="J932" s="2" t="str">
        <f t="shared" si="56"/>
        <v>No</v>
      </c>
      <c r="K932" s="2" t="str">
        <f t="shared" si="57"/>
        <v>Yes</v>
      </c>
      <c r="L932" s="2" t="str">
        <f t="shared" si="59"/>
        <v>No</v>
      </c>
      <c r="M932" s="2">
        <f t="shared" si="58"/>
        <v>0</v>
      </c>
    </row>
    <row r="933" spans="1:13" x14ac:dyDescent="0.3">
      <c r="A933" s="5" t="s">
        <v>3562</v>
      </c>
      <c r="B933" s="5" t="s">
        <v>1082</v>
      </c>
      <c r="C933" s="5" t="s">
        <v>2616</v>
      </c>
      <c r="D933" s="6">
        <v>45804</v>
      </c>
      <c r="E933" s="6">
        <v>45807</v>
      </c>
      <c r="F933" s="6">
        <v>45820</v>
      </c>
      <c r="G933" s="5" t="s">
        <v>2631</v>
      </c>
      <c r="H933" s="5">
        <v>6</v>
      </c>
      <c r="I933" s="5">
        <f>IFERROR(INDEX(Raw_Orders!H933:H3361,MATCH(B933,Raw_Orders!A933:A3361,0)),0)</f>
        <v>6</v>
      </c>
      <c r="J933" s="5" t="str">
        <f t="shared" si="56"/>
        <v>No</v>
      </c>
      <c r="K933" s="5" t="str">
        <f t="shared" si="57"/>
        <v>Yes</v>
      </c>
      <c r="L933" s="5" t="str">
        <f t="shared" si="59"/>
        <v>No</v>
      </c>
      <c r="M933" s="5">
        <f t="shared" si="58"/>
        <v>0</v>
      </c>
    </row>
    <row r="934" spans="1:13" x14ac:dyDescent="0.3">
      <c r="A934" s="2" t="s">
        <v>3563</v>
      </c>
      <c r="B934" s="2" t="s">
        <v>1083</v>
      </c>
      <c r="C934" s="2" t="s">
        <v>2604</v>
      </c>
      <c r="D934" s="3">
        <v>45804</v>
      </c>
      <c r="E934" s="3">
        <v>45812</v>
      </c>
      <c r="F934" s="3">
        <v>45808</v>
      </c>
      <c r="G934" s="2" t="s">
        <v>2627</v>
      </c>
      <c r="H934" s="2">
        <v>13</v>
      </c>
      <c r="I934" s="2">
        <f>IFERROR(INDEX(Raw_Orders!H934:H3362,MATCH(B934,Raw_Orders!A934:A3362,0)),0)</f>
        <v>13</v>
      </c>
      <c r="J934" s="2" t="str">
        <f t="shared" si="56"/>
        <v>Yes</v>
      </c>
      <c r="K934" s="2" t="str">
        <f t="shared" si="57"/>
        <v>Yes</v>
      </c>
      <c r="L934" s="2" t="str">
        <f t="shared" si="59"/>
        <v>Yes</v>
      </c>
      <c r="M934" s="2">
        <f t="shared" si="58"/>
        <v>1</v>
      </c>
    </row>
    <row r="935" spans="1:13" x14ac:dyDescent="0.3">
      <c r="A935" s="5" t="s">
        <v>3564</v>
      </c>
      <c r="B935" s="5" t="s">
        <v>1084</v>
      </c>
      <c r="C935" s="5" t="s">
        <v>2608</v>
      </c>
      <c r="D935" s="6">
        <v>45805</v>
      </c>
      <c r="E935" s="6">
        <v>45812</v>
      </c>
      <c r="F935" s="6">
        <v>45818</v>
      </c>
      <c r="G935" s="5" t="s">
        <v>2627</v>
      </c>
      <c r="H935" s="5">
        <v>8</v>
      </c>
      <c r="I935" s="5">
        <f>IFERROR(INDEX(Raw_Orders!H935:H3363,MATCH(B935,Raw_Orders!A935:A3363,0)),0)</f>
        <v>8</v>
      </c>
      <c r="J935" s="5" t="str">
        <f t="shared" si="56"/>
        <v>No</v>
      </c>
      <c r="K935" s="5" t="str">
        <f t="shared" si="57"/>
        <v>Yes</v>
      </c>
      <c r="L935" s="5" t="str">
        <f t="shared" si="59"/>
        <v>No</v>
      </c>
      <c r="M935" s="5">
        <f t="shared" si="58"/>
        <v>0</v>
      </c>
    </row>
    <row r="936" spans="1:13" x14ac:dyDescent="0.3">
      <c r="A936" s="2" t="s">
        <v>3565</v>
      </c>
      <c r="B936" s="2" t="s">
        <v>1085</v>
      </c>
      <c r="C936" s="2" t="s">
        <v>2616</v>
      </c>
      <c r="D936" s="3">
        <v>45807</v>
      </c>
      <c r="E936" s="3">
        <v>45814</v>
      </c>
      <c r="F936" s="3">
        <v>45824</v>
      </c>
      <c r="G936" s="2" t="s">
        <v>2627</v>
      </c>
      <c r="H936" s="2">
        <v>10</v>
      </c>
      <c r="I936" s="2">
        <f>IFERROR(INDEX(Raw_Orders!H936:H3364,MATCH(B936,Raw_Orders!A936:A3364,0)),0)</f>
        <v>18</v>
      </c>
      <c r="J936" s="2" t="str">
        <f t="shared" si="56"/>
        <v>No</v>
      </c>
      <c r="K936" s="2" t="str">
        <f t="shared" si="57"/>
        <v>N0</v>
      </c>
      <c r="L936" s="2" t="str">
        <f t="shared" si="59"/>
        <v>No</v>
      </c>
      <c r="M936" s="2">
        <f t="shared" si="58"/>
        <v>0</v>
      </c>
    </row>
    <row r="937" spans="1:13" x14ac:dyDescent="0.3">
      <c r="A937" s="5" t="s">
        <v>3566</v>
      </c>
      <c r="B937" s="5" t="s">
        <v>1086</v>
      </c>
      <c r="C937" s="5" t="s">
        <v>2604</v>
      </c>
      <c r="D937" s="6">
        <v>45807</v>
      </c>
      <c r="E937" s="6">
        <v>45813</v>
      </c>
      <c r="F937" s="6">
        <v>45815</v>
      </c>
      <c r="G937" s="5" t="s">
        <v>2629</v>
      </c>
      <c r="H937" s="5">
        <v>30</v>
      </c>
      <c r="I937" s="5">
        <f>IFERROR(INDEX(Raw_Orders!H937:H3365,MATCH(B937,Raw_Orders!A937:A3365,0)),0)</f>
        <v>30</v>
      </c>
      <c r="J937" s="5" t="str">
        <f t="shared" si="56"/>
        <v>No</v>
      </c>
      <c r="K937" s="5" t="str">
        <f t="shared" si="57"/>
        <v>Yes</v>
      </c>
      <c r="L937" s="5" t="str">
        <f t="shared" si="59"/>
        <v>No</v>
      </c>
      <c r="M937" s="5">
        <f t="shared" si="58"/>
        <v>0</v>
      </c>
    </row>
    <row r="938" spans="1:13" x14ac:dyDescent="0.3">
      <c r="A938" s="2" t="s">
        <v>3567</v>
      </c>
      <c r="B938" s="2" t="s">
        <v>1087</v>
      </c>
      <c r="C938" s="2" t="s">
        <v>2611</v>
      </c>
      <c r="D938" s="3">
        <v>45808</v>
      </c>
      <c r="E938" s="3">
        <v>45810</v>
      </c>
      <c r="F938" s="3">
        <v>45815</v>
      </c>
      <c r="G938" s="2" t="s">
        <v>2629</v>
      </c>
      <c r="H938" s="2">
        <v>18</v>
      </c>
      <c r="I938" s="2">
        <f>IFERROR(INDEX(Raw_Orders!H938:H3366,MATCH(B938,Raw_Orders!A938:A3366,0)),0)</f>
        <v>25</v>
      </c>
      <c r="J938" s="2" t="str">
        <f t="shared" si="56"/>
        <v>No</v>
      </c>
      <c r="K938" s="2" t="str">
        <f t="shared" si="57"/>
        <v>N0</v>
      </c>
      <c r="L938" s="2" t="str">
        <f t="shared" si="59"/>
        <v>No</v>
      </c>
      <c r="M938" s="2">
        <f t="shared" si="58"/>
        <v>0</v>
      </c>
    </row>
    <row r="939" spans="1:13" x14ac:dyDescent="0.3">
      <c r="A939" s="5" t="s">
        <v>3568</v>
      </c>
      <c r="B939" s="5" t="s">
        <v>1088</v>
      </c>
      <c r="C939" s="5" t="s">
        <v>2611</v>
      </c>
      <c r="D939" s="6">
        <v>45806</v>
      </c>
      <c r="E939" s="6">
        <v>45815</v>
      </c>
      <c r="F939" s="6">
        <v>45817</v>
      </c>
      <c r="G939" s="5" t="s">
        <v>2631</v>
      </c>
      <c r="H939" s="5">
        <v>9</v>
      </c>
      <c r="I939" s="5">
        <f>IFERROR(INDEX(Raw_Orders!H939:H3367,MATCH(B939,Raw_Orders!A939:A3367,0)),0)</f>
        <v>9</v>
      </c>
      <c r="J939" s="5" t="str">
        <f t="shared" si="56"/>
        <v>No</v>
      </c>
      <c r="K939" s="5" t="str">
        <f t="shared" si="57"/>
        <v>Yes</v>
      </c>
      <c r="L939" s="5" t="str">
        <f t="shared" si="59"/>
        <v>No</v>
      </c>
      <c r="M939" s="5">
        <f t="shared" si="58"/>
        <v>0</v>
      </c>
    </row>
    <row r="940" spans="1:13" x14ac:dyDescent="0.3">
      <c r="A940" s="2" t="s">
        <v>3569</v>
      </c>
      <c r="B940" s="2" t="s">
        <v>1089</v>
      </c>
      <c r="C940" s="2" t="s">
        <v>2614</v>
      </c>
      <c r="D940" s="3">
        <v>45807</v>
      </c>
      <c r="E940" s="3">
        <v>45811</v>
      </c>
      <c r="F940" s="3">
        <v>45820</v>
      </c>
      <c r="G940" s="2" t="s">
        <v>2631</v>
      </c>
      <c r="H940" s="2">
        <v>15</v>
      </c>
      <c r="I940" s="2">
        <f>IFERROR(INDEX(Raw_Orders!H940:H3368,MATCH(B940,Raw_Orders!A940:A3368,0)),0)</f>
        <v>15</v>
      </c>
      <c r="J940" s="2" t="str">
        <f t="shared" si="56"/>
        <v>No</v>
      </c>
      <c r="K940" s="2" t="str">
        <f t="shared" si="57"/>
        <v>Yes</v>
      </c>
      <c r="L940" s="2" t="str">
        <f t="shared" si="59"/>
        <v>No</v>
      </c>
      <c r="M940" s="2">
        <f t="shared" si="58"/>
        <v>0</v>
      </c>
    </row>
    <row r="941" spans="1:13" x14ac:dyDescent="0.3">
      <c r="A941" s="5" t="s">
        <v>3570</v>
      </c>
      <c r="B941" s="5" t="s">
        <v>1090</v>
      </c>
      <c r="C941" s="5" t="s">
        <v>2616</v>
      </c>
      <c r="D941" s="6">
        <v>45807</v>
      </c>
      <c r="E941" s="6">
        <v>45811</v>
      </c>
      <c r="F941" s="6">
        <v>45824</v>
      </c>
      <c r="G941" s="5" t="s">
        <v>2627</v>
      </c>
      <c r="H941" s="5">
        <v>46</v>
      </c>
      <c r="I941" s="5">
        <f>IFERROR(INDEX(Raw_Orders!H941:H3369,MATCH(B941,Raw_Orders!A941:A3369,0)),0)</f>
        <v>46</v>
      </c>
      <c r="J941" s="5" t="str">
        <f t="shared" si="56"/>
        <v>No</v>
      </c>
      <c r="K941" s="5" t="str">
        <f t="shared" si="57"/>
        <v>Yes</v>
      </c>
      <c r="L941" s="5" t="str">
        <f t="shared" si="59"/>
        <v>No</v>
      </c>
      <c r="M941" s="5">
        <f t="shared" si="58"/>
        <v>0</v>
      </c>
    </row>
    <row r="942" spans="1:13" x14ac:dyDescent="0.3">
      <c r="A942" s="2" t="s">
        <v>3571</v>
      </c>
      <c r="B942" s="2" t="s">
        <v>1091</v>
      </c>
      <c r="C942" s="2" t="s">
        <v>2616</v>
      </c>
      <c r="D942" s="3">
        <v>45808</v>
      </c>
      <c r="E942" s="3">
        <v>45812</v>
      </c>
      <c r="F942" s="3">
        <v>45824</v>
      </c>
      <c r="G942" s="2" t="s">
        <v>2627</v>
      </c>
      <c r="H942" s="2">
        <v>19</v>
      </c>
      <c r="I942" s="2">
        <f>IFERROR(INDEX(Raw_Orders!H942:H3370,MATCH(B942,Raw_Orders!A942:A3370,0)),0)</f>
        <v>19</v>
      </c>
      <c r="J942" s="2" t="str">
        <f t="shared" si="56"/>
        <v>No</v>
      </c>
      <c r="K942" s="2" t="str">
        <f t="shared" si="57"/>
        <v>Yes</v>
      </c>
      <c r="L942" s="2" t="str">
        <f t="shared" si="59"/>
        <v>No</v>
      </c>
      <c r="M942" s="2">
        <f t="shared" si="58"/>
        <v>0</v>
      </c>
    </row>
    <row r="943" spans="1:13" x14ac:dyDescent="0.3">
      <c r="A943" s="5" t="s">
        <v>3572</v>
      </c>
      <c r="B943" s="5" t="s">
        <v>1092</v>
      </c>
      <c r="C943" s="5" t="s">
        <v>2606</v>
      </c>
      <c r="D943" s="6">
        <v>45807</v>
      </c>
      <c r="E943" s="6">
        <v>45814</v>
      </c>
      <c r="F943" s="6">
        <v>45812</v>
      </c>
      <c r="G943" s="5" t="s">
        <v>2641</v>
      </c>
      <c r="H943" s="5">
        <v>36</v>
      </c>
      <c r="I943" s="5">
        <f>IFERROR(INDEX(Raw_Orders!H943:H3371,MATCH(B943,Raw_Orders!A943:A3371,0)),0)</f>
        <v>36</v>
      </c>
      <c r="J943" s="5" t="str">
        <f t="shared" si="56"/>
        <v>Yes</v>
      </c>
      <c r="K943" s="5" t="str">
        <f t="shared" si="57"/>
        <v>Yes</v>
      </c>
      <c r="L943" s="5" t="str">
        <f t="shared" si="59"/>
        <v>Yes</v>
      </c>
      <c r="M943" s="5">
        <f t="shared" si="58"/>
        <v>1</v>
      </c>
    </row>
    <row r="944" spans="1:13" x14ac:dyDescent="0.3">
      <c r="A944" s="2" t="s">
        <v>3573</v>
      </c>
      <c r="B944" s="2" t="s">
        <v>1093</v>
      </c>
      <c r="C944" s="2" t="s">
        <v>2614</v>
      </c>
      <c r="D944" s="3">
        <v>45807</v>
      </c>
      <c r="E944" s="3">
        <v>45815</v>
      </c>
      <c r="F944" s="3">
        <v>45821</v>
      </c>
      <c r="G944" s="2" t="s">
        <v>2627</v>
      </c>
      <c r="H944" s="2">
        <v>14</v>
      </c>
      <c r="I944" s="2">
        <f>IFERROR(INDEX(Raw_Orders!H944:H3372,MATCH(B944,Raw_Orders!A944:A3372,0)),0)</f>
        <v>14</v>
      </c>
      <c r="J944" s="2" t="str">
        <f t="shared" si="56"/>
        <v>No</v>
      </c>
      <c r="K944" s="2" t="str">
        <f t="shared" si="57"/>
        <v>Yes</v>
      </c>
      <c r="L944" s="2" t="str">
        <f t="shared" si="59"/>
        <v>No</v>
      </c>
      <c r="M944" s="2">
        <f t="shared" si="58"/>
        <v>0</v>
      </c>
    </row>
    <row r="945" spans="1:13" x14ac:dyDescent="0.3">
      <c r="A945" s="5" t="s">
        <v>3574</v>
      </c>
      <c r="B945" s="5" t="s">
        <v>1094</v>
      </c>
      <c r="C945" s="5" t="s">
        <v>2616</v>
      </c>
      <c r="D945" s="6">
        <v>45809</v>
      </c>
      <c r="E945" s="6">
        <v>45814</v>
      </c>
      <c r="F945" s="6">
        <v>45826</v>
      </c>
      <c r="G945" s="5" t="s">
        <v>2629</v>
      </c>
      <c r="H945" s="5">
        <v>10</v>
      </c>
      <c r="I945" s="5">
        <f>IFERROR(INDEX(Raw_Orders!H945:H3373,MATCH(B945,Raw_Orders!A945:A3373,0)),0)</f>
        <v>10</v>
      </c>
      <c r="J945" s="5" t="str">
        <f t="shared" si="56"/>
        <v>No</v>
      </c>
      <c r="K945" s="5" t="str">
        <f t="shared" si="57"/>
        <v>Yes</v>
      </c>
      <c r="L945" s="5" t="str">
        <f t="shared" si="59"/>
        <v>No</v>
      </c>
      <c r="M945" s="5">
        <f t="shared" si="58"/>
        <v>0</v>
      </c>
    </row>
    <row r="946" spans="1:13" x14ac:dyDescent="0.3">
      <c r="A946" s="2" t="s">
        <v>3575</v>
      </c>
      <c r="B946" s="2" t="s">
        <v>1095</v>
      </c>
      <c r="C946" s="2" t="s">
        <v>2604</v>
      </c>
      <c r="D946" s="3">
        <v>45808</v>
      </c>
      <c r="E946" s="3">
        <v>45812</v>
      </c>
      <c r="F946" s="3">
        <v>45812</v>
      </c>
      <c r="G946" s="2" t="s">
        <v>2631</v>
      </c>
      <c r="H946" s="2">
        <v>15</v>
      </c>
      <c r="I946" s="2">
        <f>IFERROR(INDEX(Raw_Orders!H946:H3374,MATCH(B946,Raw_Orders!A946:A3374,0)),0)</f>
        <v>15</v>
      </c>
      <c r="J946" s="2" t="str">
        <f t="shared" si="56"/>
        <v>Yes</v>
      </c>
      <c r="K946" s="2" t="str">
        <f t="shared" si="57"/>
        <v>Yes</v>
      </c>
      <c r="L946" s="2" t="str">
        <f t="shared" si="59"/>
        <v>Yes</v>
      </c>
      <c r="M946" s="2">
        <f t="shared" si="58"/>
        <v>1</v>
      </c>
    </row>
    <row r="947" spans="1:13" x14ac:dyDescent="0.3">
      <c r="A947" s="5" t="s">
        <v>3576</v>
      </c>
      <c r="B947" s="5" t="s">
        <v>1096</v>
      </c>
      <c r="C947" s="5" t="s">
        <v>2606</v>
      </c>
      <c r="D947" s="6">
        <v>45808</v>
      </c>
      <c r="E947" s="6">
        <v>45811</v>
      </c>
      <c r="F947" s="6">
        <v>45814</v>
      </c>
      <c r="G947" s="5" t="s">
        <v>2631</v>
      </c>
      <c r="H947" s="5">
        <v>36</v>
      </c>
      <c r="I947" s="5">
        <f>IFERROR(INDEX(Raw_Orders!H947:H3375,MATCH(B947,Raw_Orders!A947:A3375,0)),0)</f>
        <v>36</v>
      </c>
      <c r="J947" s="5" t="str">
        <f t="shared" si="56"/>
        <v>No</v>
      </c>
      <c r="K947" s="5" t="str">
        <f t="shared" si="57"/>
        <v>Yes</v>
      </c>
      <c r="L947" s="5" t="str">
        <f t="shared" si="59"/>
        <v>No</v>
      </c>
      <c r="M947" s="5">
        <f t="shared" si="58"/>
        <v>0</v>
      </c>
    </row>
    <row r="948" spans="1:13" x14ac:dyDescent="0.3">
      <c r="A948" s="2" t="s">
        <v>3577</v>
      </c>
      <c r="B948" s="2" t="s">
        <v>1097</v>
      </c>
      <c r="C948" s="2" t="s">
        <v>2606</v>
      </c>
      <c r="D948" s="3">
        <v>45809</v>
      </c>
      <c r="E948" s="3">
        <v>45810</v>
      </c>
      <c r="F948" s="3">
        <v>45817</v>
      </c>
      <c r="G948" s="2" t="s">
        <v>2629</v>
      </c>
      <c r="H948" s="2">
        <v>22</v>
      </c>
      <c r="I948" s="2">
        <f>IFERROR(INDEX(Raw_Orders!H948:H3376,MATCH(B948,Raw_Orders!A948:A3376,0)),0)</f>
        <v>22</v>
      </c>
      <c r="J948" s="2" t="str">
        <f t="shared" si="56"/>
        <v>No</v>
      </c>
      <c r="K948" s="2" t="str">
        <f t="shared" si="57"/>
        <v>Yes</v>
      </c>
      <c r="L948" s="2" t="str">
        <f t="shared" si="59"/>
        <v>No</v>
      </c>
      <c r="M948" s="2">
        <f t="shared" si="58"/>
        <v>0</v>
      </c>
    </row>
    <row r="949" spans="1:13" x14ac:dyDescent="0.3">
      <c r="A949" s="5" t="s">
        <v>3578</v>
      </c>
      <c r="B949" s="5" t="s">
        <v>1098</v>
      </c>
      <c r="C949" s="5" t="s">
        <v>2608</v>
      </c>
      <c r="D949" s="6">
        <v>45808</v>
      </c>
      <c r="E949" s="6">
        <v>45817</v>
      </c>
      <c r="F949" s="6">
        <v>45821</v>
      </c>
      <c r="G949" s="5" t="s">
        <v>2641</v>
      </c>
      <c r="H949" s="5">
        <v>6</v>
      </c>
      <c r="I949" s="5">
        <f>IFERROR(INDEX(Raw_Orders!H949:H3377,MATCH(B949,Raw_Orders!A949:A3377,0)),0)</f>
        <v>7</v>
      </c>
      <c r="J949" s="5" t="str">
        <f t="shared" si="56"/>
        <v>No</v>
      </c>
      <c r="K949" s="5" t="str">
        <f t="shared" si="57"/>
        <v>N0</v>
      </c>
      <c r="L949" s="5" t="str">
        <f t="shared" si="59"/>
        <v>No</v>
      </c>
      <c r="M949" s="5">
        <f t="shared" si="58"/>
        <v>0</v>
      </c>
    </row>
    <row r="950" spans="1:13" x14ac:dyDescent="0.3">
      <c r="A950" s="2" t="s">
        <v>3579</v>
      </c>
      <c r="B950" s="2" t="s">
        <v>1099</v>
      </c>
      <c r="C950" s="2" t="s">
        <v>2611</v>
      </c>
      <c r="D950" s="3">
        <v>45808</v>
      </c>
      <c r="E950" s="3">
        <v>45813</v>
      </c>
      <c r="F950" s="3">
        <v>45815</v>
      </c>
      <c r="G950" s="2" t="s">
        <v>2627</v>
      </c>
      <c r="H950" s="2">
        <v>53</v>
      </c>
      <c r="I950" s="2">
        <f>IFERROR(INDEX(Raw_Orders!H950:H3378,MATCH(B950,Raw_Orders!A950:A3378,0)),0)</f>
        <v>60</v>
      </c>
      <c r="J950" s="2" t="str">
        <f t="shared" si="56"/>
        <v>No</v>
      </c>
      <c r="K950" s="2" t="str">
        <f t="shared" si="57"/>
        <v>N0</v>
      </c>
      <c r="L950" s="2" t="str">
        <f t="shared" si="59"/>
        <v>No</v>
      </c>
      <c r="M950" s="2">
        <f t="shared" si="58"/>
        <v>0</v>
      </c>
    </row>
    <row r="951" spans="1:13" x14ac:dyDescent="0.3">
      <c r="A951" s="5" t="s">
        <v>3580</v>
      </c>
      <c r="B951" s="5" t="s">
        <v>1100</v>
      </c>
      <c r="C951" s="5" t="s">
        <v>2598</v>
      </c>
      <c r="D951" s="6">
        <v>45808</v>
      </c>
      <c r="E951" s="6">
        <v>45816</v>
      </c>
      <c r="F951" s="6">
        <v>45825</v>
      </c>
      <c r="G951" s="5" t="s">
        <v>2627</v>
      </c>
      <c r="H951" s="5">
        <v>19</v>
      </c>
      <c r="I951" s="5">
        <f>IFERROR(INDEX(Raw_Orders!H951:H3379,MATCH(B951,Raw_Orders!A951:A3379,0)),0)</f>
        <v>19</v>
      </c>
      <c r="J951" s="5" t="str">
        <f t="shared" si="56"/>
        <v>No</v>
      </c>
      <c r="K951" s="5" t="str">
        <f t="shared" si="57"/>
        <v>Yes</v>
      </c>
      <c r="L951" s="5" t="str">
        <f t="shared" si="59"/>
        <v>No</v>
      </c>
      <c r="M951" s="5">
        <f t="shared" si="58"/>
        <v>0</v>
      </c>
    </row>
    <row r="952" spans="1:13" x14ac:dyDescent="0.3">
      <c r="A952" s="2" t="s">
        <v>3581</v>
      </c>
      <c r="B952" s="2" t="s">
        <v>1101</v>
      </c>
      <c r="C952" s="2" t="s">
        <v>2614</v>
      </c>
      <c r="D952" s="3">
        <v>45809</v>
      </c>
      <c r="E952" s="3">
        <v>45813</v>
      </c>
      <c r="F952" s="3">
        <v>45824</v>
      </c>
      <c r="G952" s="2" t="s">
        <v>2633</v>
      </c>
      <c r="H952" s="2">
        <v>22</v>
      </c>
      <c r="I952" s="2">
        <f>IFERROR(INDEX(Raw_Orders!H952:H3380,MATCH(B952,Raw_Orders!A952:A3380,0)),0)</f>
        <v>26</v>
      </c>
      <c r="J952" s="2" t="str">
        <f t="shared" si="56"/>
        <v>No</v>
      </c>
      <c r="K952" s="2" t="str">
        <f t="shared" si="57"/>
        <v>N0</v>
      </c>
      <c r="L952" s="2" t="str">
        <f t="shared" si="59"/>
        <v>No</v>
      </c>
      <c r="M952" s="2">
        <f t="shared" si="58"/>
        <v>0</v>
      </c>
    </row>
    <row r="953" spans="1:13" x14ac:dyDescent="0.3">
      <c r="A953" s="5" t="s">
        <v>3582</v>
      </c>
      <c r="B953" s="5" t="s">
        <v>1102</v>
      </c>
      <c r="C953" s="5" t="s">
        <v>2601</v>
      </c>
      <c r="D953" s="6">
        <v>45810</v>
      </c>
      <c r="E953" s="6">
        <v>45812</v>
      </c>
      <c r="F953" s="6">
        <v>45819</v>
      </c>
      <c r="G953" s="5" t="s">
        <v>2627</v>
      </c>
      <c r="H953" s="5">
        <v>10</v>
      </c>
      <c r="I953" s="5">
        <f>IFERROR(INDEX(Raw_Orders!H953:H3381,MATCH(B953,Raw_Orders!A953:A3381,0)),0)</f>
        <v>18</v>
      </c>
      <c r="J953" s="5" t="str">
        <f t="shared" si="56"/>
        <v>No</v>
      </c>
      <c r="K953" s="5" t="str">
        <f t="shared" si="57"/>
        <v>N0</v>
      </c>
      <c r="L953" s="5" t="str">
        <f t="shared" si="59"/>
        <v>No</v>
      </c>
      <c r="M953" s="5">
        <f t="shared" si="58"/>
        <v>0</v>
      </c>
    </row>
    <row r="954" spans="1:13" x14ac:dyDescent="0.3">
      <c r="A954" s="2" t="s">
        <v>3583</v>
      </c>
      <c r="B954" s="2" t="s">
        <v>1103</v>
      </c>
      <c r="C954" s="2" t="s">
        <v>2604</v>
      </c>
      <c r="D954" s="3">
        <v>45810</v>
      </c>
      <c r="E954" s="3">
        <v>45817</v>
      </c>
      <c r="F954" s="3">
        <v>45815</v>
      </c>
      <c r="G954" s="2" t="s">
        <v>2627</v>
      </c>
      <c r="H954" s="2">
        <v>10</v>
      </c>
      <c r="I954" s="2">
        <f>IFERROR(INDEX(Raw_Orders!H954:H3382,MATCH(B954,Raw_Orders!A954:A3382,0)),0)</f>
        <v>10</v>
      </c>
      <c r="J954" s="2" t="str">
        <f t="shared" si="56"/>
        <v>Yes</v>
      </c>
      <c r="K954" s="2" t="str">
        <f t="shared" si="57"/>
        <v>Yes</v>
      </c>
      <c r="L954" s="2" t="str">
        <f t="shared" si="59"/>
        <v>Yes</v>
      </c>
      <c r="M954" s="2">
        <f t="shared" si="58"/>
        <v>1</v>
      </c>
    </row>
    <row r="955" spans="1:13" x14ac:dyDescent="0.3">
      <c r="A955" s="5" t="s">
        <v>3584</v>
      </c>
      <c r="B955" s="5" t="s">
        <v>1104</v>
      </c>
      <c r="C955" s="5" t="s">
        <v>2604</v>
      </c>
      <c r="D955" s="6">
        <v>45810</v>
      </c>
      <c r="E955" s="6">
        <v>45812</v>
      </c>
      <c r="F955" s="6">
        <v>45814</v>
      </c>
      <c r="G955" s="5" t="s">
        <v>2641</v>
      </c>
      <c r="H955" s="5">
        <v>36</v>
      </c>
      <c r="I955" s="5">
        <f>IFERROR(INDEX(Raw_Orders!H955:H3383,MATCH(B955,Raw_Orders!A955:A3383,0)),0)</f>
        <v>36</v>
      </c>
      <c r="J955" s="5" t="str">
        <f t="shared" si="56"/>
        <v>No</v>
      </c>
      <c r="K955" s="5" t="str">
        <f t="shared" si="57"/>
        <v>Yes</v>
      </c>
      <c r="L955" s="5" t="str">
        <f t="shared" si="59"/>
        <v>No</v>
      </c>
      <c r="M955" s="5">
        <f t="shared" si="58"/>
        <v>0</v>
      </c>
    </row>
    <row r="956" spans="1:13" x14ac:dyDescent="0.3">
      <c r="A956" s="2" t="s">
        <v>3585</v>
      </c>
      <c r="B956" s="2" t="s">
        <v>1105</v>
      </c>
      <c r="C956" s="2" t="s">
        <v>2606</v>
      </c>
      <c r="D956" s="3">
        <v>45808</v>
      </c>
      <c r="E956" s="3">
        <v>45815</v>
      </c>
      <c r="F956" s="3">
        <v>45814</v>
      </c>
      <c r="G956" s="2" t="s">
        <v>2633</v>
      </c>
      <c r="H956" s="2">
        <v>15</v>
      </c>
      <c r="I956" s="2">
        <f>IFERROR(INDEX(Raw_Orders!H956:H3384,MATCH(B956,Raw_Orders!A956:A3384,0)),0)</f>
        <v>15</v>
      </c>
      <c r="J956" s="2" t="str">
        <f t="shared" si="56"/>
        <v>Yes</v>
      </c>
      <c r="K956" s="2" t="str">
        <f t="shared" si="57"/>
        <v>Yes</v>
      </c>
      <c r="L956" s="2" t="str">
        <f t="shared" si="59"/>
        <v>Yes</v>
      </c>
      <c r="M956" s="2">
        <f t="shared" si="58"/>
        <v>1</v>
      </c>
    </row>
    <row r="957" spans="1:13" x14ac:dyDescent="0.3">
      <c r="A957" s="5" t="s">
        <v>3586</v>
      </c>
      <c r="B957" s="5" t="s">
        <v>1106</v>
      </c>
      <c r="C957" s="5" t="s">
        <v>2606</v>
      </c>
      <c r="D957" s="6">
        <v>45808</v>
      </c>
      <c r="E957" s="6">
        <v>45818</v>
      </c>
      <c r="F957" s="6">
        <v>45814</v>
      </c>
      <c r="G957" s="5" t="s">
        <v>2629</v>
      </c>
      <c r="H957" s="5">
        <v>28</v>
      </c>
      <c r="I957" s="5">
        <f>IFERROR(INDEX(Raw_Orders!H957:H3385,MATCH(B957,Raw_Orders!A957:A3385,0)),0)</f>
        <v>34</v>
      </c>
      <c r="J957" s="5" t="str">
        <f t="shared" si="56"/>
        <v>Yes</v>
      </c>
      <c r="K957" s="5" t="str">
        <f t="shared" si="57"/>
        <v>N0</v>
      </c>
      <c r="L957" s="5" t="str">
        <f t="shared" si="59"/>
        <v>No</v>
      </c>
      <c r="M957" s="5">
        <f t="shared" si="58"/>
        <v>0</v>
      </c>
    </row>
    <row r="958" spans="1:13" x14ac:dyDescent="0.3">
      <c r="A958" s="2" t="s">
        <v>3587</v>
      </c>
      <c r="B958" s="2" t="s">
        <v>1107</v>
      </c>
      <c r="C958" s="2" t="s">
        <v>2608</v>
      </c>
      <c r="D958" s="3">
        <v>45808</v>
      </c>
      <c r="E958" s="3">
        <v>45811</v>
      </c>
      <c r="F958" s="3">
        <v>45822</v>
      </c>
      <c r="G958" s="2" t="s">
        <v>2631</v>
      </c>
      <c r="H958" s="2">
        <v>13</v>
      </c>
      <c r="I958" s="2">
        <f>IFERROR(INDEX(Raw_Orders!H958:H3386,MATCH(B958,Raw_Orders!A958:A3386,0)),0)</f>
        <v>13</v>
      </c>
      <c r="J958" s="2" t="str">
        <f t="shared" si="56"/>
        <v>No</v>
      </c>
      <c r="K958" s="2" t="str">
        <f t="shared" si="57"/>
        <v>Yes</v>
      </c>
      <c r="L958" s="2" t="str">
        <f t="shared" si="59"/>
        <v>No</v>
      </c>
      <c r="M958" s="2">
        <f t="shared" si="58"/>
        <v>0</v>
      </c>
    </row>
    <row r="959" spans="1:13" x14ac:dyDescent="0.3">
      <c r="A959" s="5" t="s">
        <v>3588</v>
      </c>
      <c r="B959" s="5" t="s">
        <v>1108</v>
      </c>
      <c r="C959" s="5" t="s">
        <v>2608</v>
      </c>
      <c r="D959" s="6">
        <v>45810</v>
      </c>
      <c r="E959" s="6">
        <v>45817</v>
      </c>
      <c r="F959" s="6">
        <v>45823</v>
      </c>
      <c r="G959" s="5" t="s">
        <v>2629</v>
      </c>
      <c r="H959" s="5">
        <v>1</v>
      </c>
      <c r="I959" s="5">
        <f>IFERROR(INDEX(Raw_Orders!H959:H3387,MATCH(B959,Raw_Orders!A959:A3387,0)),0)</f>
        <v>6</v>
      </c>
      <c r="J959" s="5" t="str">
        <f t="shared" si="56"/>
        <v>No</v>
      </c>
      <c r="K959" s="5" t="str">
        <f t="shared" si="57"/>
        <v>N0</v>
      </c>
      <c r="L959" s="5" t="str">
        <f t="shared" si="59"/>
        <v>No</v>
      </c>
      <c r="M959" s="5">
        <f t="shared" si="58"/>
        <v>0</v>
      </c>
    </row>
    <row r="960" spans="1:13" x14ac:dyDescent="0.3">
      <c r="A960" s="2" t="s">
        <v>3589</v>
      </c>
      <c r="B960" s="2" t="s">
        <v>1109</v>
      </c>
      <c r="C960" s="2" t="s">
        <v>2608</v>
      </c>
      <c r="D960" s="3">
        <v>45808</v>
      </c>
      <c r="E960" s="3">
        <v>45818</v>
      </c>
      <c r="F960" s="3">
        <v>45822</v>
      </c>
      <c r="G960" s="2" t="s">
        <v>2631</v>
      </c>
      <c r="H960" s="2">
        <v>8</v>
      </c>
      <c r="I960" s="2">
        <f>IFERROR(INDEX(Raw_Orders!H960:H3388,MATCH(B960,Raw_Orders!A960:A3388,0)),0)</f>
        <v>8</v>
      </c>
      <c r="J960" s="2" t="str">
        <f t="shared" si="56"/>
        <v>No</v>
      </c>
      <c r="K960" s="2" t="str">
        <f t="shared" si="57"/>
        <v>Yes</v>
      </c>
      <c r="L960" s="2" t="str">
        <f t="shared" si="59"/>
        <v>No</v>
      </c>
      <c r="M960" s="2">
        <f t="shared" si="58"/>
        <v>0</v>
      </c>
    </row>
    <row r="961" spans="1:13" x14ac:dyDescent="0.3">
      <c r="A961" s="5" t="s">
        <v>3590</v>
      </c>
      <c r="B961" s="5" t="s">
        <v>1110</v>
      </c>
      <c r="C961" s="5" t="s">
        <v>2598</v>
      </c>
      <c r="D961" s="6">
        <v>45810</v>
      </c>
      <c r="E961" s="6">
        <v>45819</v>
      </c>
      <c r="F961" s="6">
        <v>45824</v>
      </c>
      <c r="G961" s="5" t="s">
        <v>2627</v>
      </c>
      <c r="H961" s="5">
        <v>44</v>
      </c>
      <c r="I961" s="5">
        <f>IFERROR(INDEX(Raw_Orders!H961:H3389,MATCH(B961,Raw_Orders!A961:A3389,0)),0)</f>
        <v>44</v>
      </c>
      <c r="J961" s="5" t="str">
        <f t="shared" si="56"/>
        <v>No</v>
      </c>
      <c r="K961" s="5" t="str">
        <f t="shared" si="57"/>
        <v>Yes</v>
      </c>
      <c r="L961" s="5" t="str">
        <f t="shared" si="59"/>
        <v>No</v>
      </c>
      <c r="M961" s="5">
        <f t="shared" si="58"/>
        <v>0</v>
      </c>
    </row>
    <row r="962" spans="1:13" x14ac:dyDescent="0.3">
      <c r="A962" s="2" t="s">
        <v>3591</v>
      </c>
      <c r="B962" s="2" t="s">
        <v>1111</v>
      </c>
      <c r="C962" s="2" t="s">
        <v>2611</v>
      </c>
      <c r="D962" s="3">
        <v>45810</v>
      </c>
      <c r="E962" s="3">
        <v>45818</v>
      </c>
      <c r="F962" s="3">
        <v>45818</v>
      </c>
      <c r="G962" s="2" t="s">
        <v>2633</v>
      </c>
      <c r="H962" s="2">
        <v>38</v>
      </c>
      <c r="I962" s="2">
        <f>IFERROR(INDEX(Raw_Orders!H962:H3390,MATCH(B962,Raw_Orders!A962:A3390,0)),0)</f>
        <v>46</v>
      </c>
      <c r="J962" s="2" t="str">
        <f t="shared" si="56"/>
        <v>Yes</v>
      </c>
      <c r="K962" s="2" t="str">
        <f t="shared" si="57"/>
        <v>N0</v>
      </c>
      <c r="L962" s="2" t="str">
        <f t="shared" si="59"/>
        <v>No</v>
      </c>
      <c r="M962" s="2">
        <f t="shared" si="58"/>
        <v>0</v>
      </c>
    </row>
    <row r="963" spans="1:13" x14ac:dyDescent="0.3">
      <c r="A963" s="5" t="s">
        <v>3592</v>
      </c>
      <c r="B963" s="5" t="s">
        <v>1112</v>
      </c>
      <c r="C963" s="5" t="s">
        <v>2601</v>
      </c>
      <c r="D963" s="6">
        <v>45811</v>
      </c>
      <c r="E963" s="6">
        <v>45813</v>
      </c>
      <c r="F963" s="6">
        <v>45816</v>
      </c>
      <c r="G963" s="5" t="s">
        <v>2633</v>
      </c>
      <c r="H963" s="5">
        <v>1</v>
      </c>
      <c r="I963" s="5">
        <f>IFERROR(INDEX(Raw_Orders!H963:H3391,MATCH(B963,Raw_Orders!A963:A3391,0)),0)</f>
        <v>2</v>
      </c>
      <c r="J963" s="5" t="str">
        <f t="shared" ref="J963:J1026" si="60">IF(E963&gt;=F963,"Yes","No")</f>
        <v>No</v>
      </c>
      <c r="K963" s="5" t="str">
        <f t="shared" ref="K963:K1026" si="61">IF(H963&gt;=I963,"Yes","N0")</f>
        <v>N0</v>
      </c>
      <c r="L963" s="5" t="str">
        <f t="shared" si="59"/>
        <v>No</v>
      </c>
      <c r="M963" s="5">
        <f t="shared" ref="M963:M1026" si="62">IF(L963="Yes",1,0)</f>
        <v>0</v>
      </c>
    </row>
    <row r="964" spans="1:13" x14ac:dyDescent="0.3">
      <c r="A964" s="2" t="s">
        <v>3593</v>
      </c>
      <c r="B964" s="2" t="s">
        <v>1113</v>
      </c>
      <c r="C964" s="2" t="s">
        <v>2601</v>
      </c>
      <c r="D964" s="3">
        <v>45811</v>
      </c>
      <c r="E964" s="3">
        <v>45817</v>
      </c>
      <c r="F964" s="3">
        <v>45820</v>
      </c>
      <c r="G964" s="2" t="s">
        <v>2627</v>
      </c>
      <c r="H964" s="2">
        <v>39</v>
      </c>
      <c r="I964" s="2">
        <f>IFERROR(INDEX(Raw_Orders!H964:H3392,MATCH(B964,Raw_Orders!A964:A3392,0)),0)</f>
        <v>39</v>
      </c>
      <c r="J964" s="2" t="str">
        <f t="shared" si="60"/>
        <v>No</v>
      </c>
      <c r="K964" s="2" t="str">
        <f t="shared" si="61"/>
        <v>Yes</v>
      </c>
      <c r="L964" s="2" t="str">
        <f t="shared" ref="L964:L1027" si="63">IF(AND(J964="Yes",K964="Yes"),"Yes","No")</f>
        <v>No</v>
      </c>
      <c r="M964" s="2">
        <f t="shared" si="62"/>
        <v>0</v>
      </c>
    </row>
    <row r="965" spans="1:13" x14ac:dyDescent="0.3">
      <c r="A965" s="5" t="s">
        <v>3594</v>
      </c>
      <c r="B965" s="5" t="s">
        <v>1114</v>
      </c>
      <c r="C965" s="5" t="s">
        <v>2601</v>
      </c>
      <c r="D965" s="6">
        <v>45809</v>
      </c>
      <c r="E965" s="6">
        <v>45818</v>
      </c>
      <c r="F965" s="6">
        <v>45814</v>
      </c>
      <c r="G965" s="5" t="s">
        <v>2627</v>
      </c>
      <c r="H965" s="5">
        <v>13</v>
      </c>
      <c r="I965" s="5">
        <f>IFERROR(INDEX(Raw_Orders!H965:H3393,MATCH(B965,Raw_Orders!A965:A3393,0)),0)</f>
        <v>13</v>
      </c>
      <c r="J965" s="5" t="str">
        <f t="shared" si="60"/>
        <v>Yes</v>
      </c>
      <c r="K965" s="5" t="str">
        <f t="shared" si="61"/>
        <v>Yes</v>
      </c>
      <c r="L965" s="5" t="str">
        <f t="shared" si="63"/>
        <v>Yes</v>
      </c>
      <c r="M965" s="5">
        <f t="shared" si="62"/>
        <v>1</v>
      </c>
    </row>
    <row r="966" spans="1:13" x14ac:dyDescent="0.3">
      <c r="A966" s="2" t="s">
        <v>3595</v>
      </c>
      <c r="B966" s="2" t="s">
        <v>1115</v>
      </c>
      <c r="C966" s="2" t="s">
        <v>2616</v>
      </c>
      <c r="D966" s="3">
        <v>45810</v>
      </c>
      <c r="E966" s="3">
        <v>45814</v>
      </c>
      <c r="F966" s="3">
        <v>45825</v>
      </c>
      <c r="G966" s="2" t="s">
        <v>2633</v>
      </c>
      <c r="H966" s="2">
        <v>7</v>
      </c>
      <c r="I966" s="2">
        <f>IFERROR(INDEX(Raw_Orders!H966:H3394,MATCH(B966,Raw_Orders!A966:A3394,0)),0)</f>
        <v>7</v>
      </c>
      <c r="J966" s="2" t="str">
        <f t="shared" si="60"/>
        <v>No</v>
      </c>
      <c r="K966" s="2" t="str">
        <f t="shared" si="61"/>
        <v>Yes</v>
      </c>
      <c r="L966" s="2" t="str">
        <f t="shared" si="63"/>
        <v>No</v>
      </c>
      <c r="M966" s="2">
        <f t="shared" si="62"/>
        <v>0</v>
      </c>
    </row>
    <row r="967" spans="1:13" x14ac:dyDescent="0.3">
      <c r="A967" s="5" t="s">
        <v>3596</v>
      </c>
      <c r="B967" s="5" t="s">
        <v>1116</v>
      </c>
      <c r="C967" s="5" t="s">
        <v>2616</v>
      </c>
      <c r="D967" s="6">
        <v>45810</v>
      </c>
      <c r="E967" s="6">
        <v>45819</v>
      </c>
      <c r="F967" s="6">
        <v>45825</v>
      </c>
      <c r="G967" s="5" t="s">
        <v>2629</v>
      </c>
      <c r="H967" s="5">
        <v>16</v>
      </c>
      <c r="I967" s="5">
        <f>IFERROR(INDEX(Raw_Orders!H967:H3395,MATCH(B967,Raw_Orders!A967:A3395,0)),0)</f>
        <v>16</v>
      </c>
      <c r="J967" s="5" t="str">
        <f t="shared" si="60"/>
        <v>No</v>
      </c>
      <c r="K967" s="5" t="str">
        <f t="shared" si="61"/>
        <v>Yes</v>
      </c>
      <c r="L967" s="5" t="str">
        <f t="shared" si="63"/>
        <v>No</v>
      </c>
      <c r="M967" s="5">
        <f t="shared" si="62"/>
        <v>0</v>
      </c>
    </row>
    <row r="968" spans="1:13" x14ac:dyDescent="0.3">
      <c r="A968" s="2" t="s">
        <v>3597</v>
      </c>
      <c r="B968" s="2" t="s">
        <v>1117</v>
      </c>
      <c r="C968" s="2" t="s">
        <v>2606</v>
      </c>
      <c r="D968" s="3">
        <v>45810</v>
      </c>
      <c r="E968" s="3">
        <v>45812</v>
      </c>
      <c r="F968" s="3">
        <v>45816</v>
      </c>
      <c r="G968" s="2" t="s">
        <v>2633</v>
      </c>
      <c r="H968" s="2">
        <v>24</v>
      </c>
      <c r="I968" s="2">
        <f>IFERROR(INDEX(Raw_Orders!H968:H3396,MATCH(B968,Raw_Orders!A968:A3396,0)),0)</f>
        <v>24</v>
      </c>
      <c r="J968" s="2" t="str">
        <f t="shared" si="60"/>
        <v>No</v>
      </c>
      <c r="K968" s="2" t="str">
        <f t="shared" si="61"/>
        <v>Yes</v>
      </c>
      <c r="L968" s="2" t="str">
        <f t="shared" si="63"/>
        <v>No</v>
      </c>
      <c r="M968" s="2">
        <f t="shared" si="62"/>
        <v>0</v>
      </c>
    </row>
    <row r="969" spans="1:13" x14ac:dyDescent="0.3">
      <c r="A969" s="5" t="s">
        <v>3598</v>
      </c>
      <c r="B969" s="5" t="s">
        <v>1118</v>
      </c>
      <c r="C969" s="5" t="s">
        <v>2606</v>
      </c>
      <c r="D969" s="6">
        <v>45809</v>
      </c>
      <c r="E969" s="6">
        <v>45819</v>
      </c>
      <c r="F969" s="6">
        <v>45819</v>
      </c>
      <c r="G969" s="5" t="s">
        <v>2633</v>
      </c>
      <c r="H969" s="5">
        <v>22</v>
      </c>
      <c r="I969" s="5">
        <f>IFERROR(INDEX(Raw_Orders!H969:H3397,MATCH(B969,Raw_Orders!A969:A3397,0)),0)</f>
        <v>22</v>
      </c>
      <c r="J969" s="5" t="str">
        <f t="shared" si="60"/>
        <v>Yes</v>
      </c>
      <c r="K969" s="5" t="str">
        <f t="shared" si="61"/>
        <v>Yes</v>
      </c>
      <c r="L969" s="5" t="str">
        <f t="shared" si="63"/>
        <v>Yes</v>
      </c>
      <c r="M969" s="5">
        <f t="shared" si="62"/>
        <v>1</v>
      </c>
    </row>
    <row r="970" spans="1:13" x14ac:dyDescent="0.3">
      <c r="A970" s="2" t="s">
        <v>3599</v>
      </c>
      <c r="B970" s="2" t="s">
        <v>1119</v>
      </c>
      <c r="C970" s="2" t="s">
        <v>2608</v>
      </c>
      <c r="D970" s="3">
        <v>45810</v>
      </c>
      <c r="E970" s="3">
        <v>45815</v>
      </c>
      <c r="F970" s="3">
        <v>45824</v>
      </c>
      <c r="G970" s="2" t="s">
        <v>2629</v>
      </c>
      <c r="H970" s="2">
        <v>12</v>
      </c>
      <c r="I970" s="2">
        <f>IFERROR(INDEX(Raw_Orders!H970:H3398,MATCH(B970,Raw_Orders!A970:A3398,0)),0)</f>
        <v>12</v>
      </c>
      <c r="J970" s="2" t="str">
        <f t="shared" si="60"/>
        <v>No</v>
      </c>
      <c r="K970" s="2" t="str">
        <f t="shared" si="61"/>
        <v>Yes</v>
      </c>
      <c r="L970" s="2" t="str">
        <f t="shared" si="63"/>
        <v>No</v>
      </c>
      <c r="M970" s="2">
        <f t="shared" si="62"/>
        <v>0</v>
      </c>
    </row>
    <row r="971" spans="1:13" x14ac:dyDescent="0.3">
      <c r="A971" s="5" t="s">
        <v>3600</v>
      </c>
      <c r="B971" s="5" t="s">
        <v>1120</v>
      </c>
      <c r="C971" s="5" t="s">
        <v>2598</v>
      </c>
      <c r="D971" s="6">
        <v>45811</v>
      </c>
      <c r="E971" s="6">
        <v>45820</v>
      </c>
      <c r="F971" s="6">
        <v>45824</v>
      </c>
      <c r="G971" s="5" t="s">
        <v>2641</v>
      </c>
      <c r="H971" s="5">
        <v>36</v>
      </c>
      <c r="I971" s="5">
        <f>IFERROR(INDEX(Raw_Orders!H971:H3399,MATCH(B971,Raw_Orders!A971:A3399,0)),0)</f>
        <v>36</v>
      </c>
      <c r="J971" s="5" t="str">
        <f t="shared" si="60"/>
        <v>No</v>
      </c>
      <c r="K971" s="5" t="str">
        <f t="shared" si="61"/>
        <v>Yes</v>
      </c>
      <c r="L971" s="5" t="str">
        <f t="shared" si="63"/>
        <v>No</v>
      </c>
      <c r="M971" s="5">
        <f t="shared" si="62"/>
        <v>0</v>
      </c>
    </row>
    <row r="972" spans="1:13" x14ac:dyDescent="0.3">
      <c r="A972" s="2" t="s">
        <v>3601</v>
      </c>
      <c r="B972" s="2" t="s">
        <v>1121</v>
      </c>
      <c r="C972" s="2" t="s">
        <v>2604</v>
      </c>
      <c r="D972" s="3">
        <v>45810</v>
      </c>
      <c r="E972" s="3">
        <v>45817</v>
      </c>
      <c r="F972" s="3">
        <v>45815</v>
      </c>
      <c r="G972" s="2" t="s">
        <v>2641</v>
      </c>
      <c r="H972" s="2">
        <v>18</v>
      </c>
      <c r="I972" s="2">
        <f>IFERROR(INDEX(Raw_Orders!H972:H3400,MATCH(B972,Raw_Orders!A972:A3400,0)),0)</f>
        <v>22</v>
      </c>
      <c r="J972" s="2" t="str">
        <f t="shared" si="60"/>
        <v>Yes</v>
      </c>
      <c r="K972" s="2" t="str">
        <f t="shared" si="61"/>
        <v>N0</v>
      </c>
      <c r="L972" s="2" t="str">
        <f t="shared" si="63"/>
        <v>No</v>
      </c>
      <c r="M972" s="2">
        <f t="shared" si="62"/>
        <v>0</v>
      </c>
    </row>
    <row r="973" spans="1:13" x14ac:dyDescent="0.3">
      <c r="A973" s="5" t="s">
        <v>3602</v>
      </c>
      <c r="B973" s="5" t="s">
        <v>1122</v>
      </c>
      <c r="C973" s="5" t="s">
        <v>2616</v>
      </c>
      <c r="D973" s="6">
        <v>45811</v>
      </c>
      <c r="E973" s="6">
        <v>45820</v>
      </c>
      <c r="F973" s="6">
        <v>45830</v>
      </c>
      <c r="G973" s="5" t="s">
        <v>2627</v>
      </c>
      <c r="H973" s="5">
        <v>11</v>
      </c>
      <c r="I973" s="5">
        <f>IFERROR(INDEX(Raw_Orders!H973:H3401,MATCH(B973,Raw_Orders!A973:A3401,0)),0)</f>
        <v>19</v>
      </c>
      <c r="J973" s="5" t="str">
        <f t="shared" si="60"/>
        <v>No</v>
      </c>
      <c r="K973" s="5" t="str">
        <f t="shared" si="61"/>
        <v>N0</v>
      </c>
      <c r="L973" s="5" t="str">
        <f t="shared" si="63"/>
        <v>No</v>
      </c>
      <c r="M973" s="5">
        <f t="shared" si="62"/>
        <v>0</v>
      </c>
    </row>
    <row r="974" spans="1:13" x14ac:dyDescent="0.3">
      <c r="A974" s="2" t="s">
        <v>3603</v>
      </c>
      <c r="B974" s="2" t="s">
        <v>1123</v>
      </c>
      <c r="C974" s="2" t="s">
        <v>2606</v>
      </c>
      <c r="D974" s="3">
        <v>45811</v>
      </c>
      <c r="E974" s="3">
        <v>45818</v>
      </c>
      <c r="F974" s="3">
        <v>45817</v>
      </c>
      <c r="G974" s="2" t="s">
        <v>2627</v>
      </c>
      <c r="H974" s="2">
        <v>50</v>
      </c>
      <c r="I974" s="2">
        <f>IFERROR(INDEX(Raw_Orders!H974:H3402,MATCH(B974,Raw_Orders!A974:A3402,0)),0)</f>
        <v>50</v>
      </c>
      <c r="J974" s="2" t="str">
        <f t="shared" si="60"/>
        <v>Yes</v>
      </c>
      <c r="K974" s="2" t="str">
        <f t="shared" si="61"/>
        <v>Yes</v>
      </c>
      <c r="L974" s="2" t="str">
        <f t="shared" si="63"/>
        <v>Yes</v>
      </c>
      <c r="M974" s="2">
        <f t="shared" si="62"/>
        <v>1</v>
      </c>
    </row>
    <row r="975" spans="1:13" x14ac:dyDescent="0.3">
      <c r="A975" s="5" t="s">
        <v>3604</v>
      </c>
      <c r="B975" s="5" t="s">
        <v>1124</v>
      </c>
      <c r="C975" s="5" t="s">
        <v>2606</v>
      </c>
      <c r="D975" s="6">
        <v>45812</v>
      </c>
      <c r="E975" s="6">
        <v>45814</v>
      </c>
      <c r="F975" s="6">
        <v>45818</v>
      </c>
      <c r="G975" s="5" t="s">
        <v>2627</v>
      </c>
      <c r="H975" s="5">
        <v>42</v>
      </c>
      <c r="I975" s="5">
        <f>IFERROR(INDEX(Raw_Orders!H975:H3403,MATCH(B975,Raw_Orders!A975:A3403,0)),0)</f>
        <v>42</v>
      </c>
      <c r="J975" s="5" t="str">
        <f t="shared" si="60"/>
        <v>No</v>
      </c>
      <c r="K975" s="5" t="str">
        <f t="shared" si="61"/>
        <v>Yes</v>
      </c>
      <c r="L975" s="5" t="str">
        <f t="shared" si="63"/>
        <v>No</v>
      </c>
      <c r="M975" s="5">
        <f t="shared" si="62"/>
        <v>0</v>
      </c>
    </row>
    <row r="976" spans="1:13" x14ac:dyDescent="0.3">
      <c r="A976" s="2" t="s">
        <v>3605</v>
      </c>
      <c r="B976" s="2" t="s">
        <v>1125</v>
      </c>
      <c r="C976" s="2" t="s">
        <v>2608</v>
      </c>
      <c r="D976" s="3">
        <v>45810</v>
      </c>
      <c r="E976" s="3">
        <v>45818</v>
      </c>
      <c r="F976" s="3">
        <v>45827</v>
      </c>
      <c r="G976" s="2" t="s">
        <v>2641</v>
      </c>
      <c r="H976" s="2">
        <v>38</v>
      </c>
      <c r="I976" s="2">
        <f>IFERROR(INDEX(Raw_Orders!H976:H3404,MATCH(B976,Raw_Orders!A976:A3404,0)),0)</f>
        <v>38</v>
      </c>
      <c r="J976" s="2" t="str">
        <f t="shared" si="60"/>
        <v>No</v>
      </c>
      <c r="K976" s="2" t="str">
        <f t="shared" si="61"/>
        <v>Yes</v>
      </c>
      <c r="L976" s="2" t="str">
        <f t="shared" si="63"/>
        <v>No</v>
      </c>
      <c r="M976" s="2">
        <f t="shared" si="62"/>
        <v>0</v>
      </c>
    </row>
    <row r="977" spans="1:13" x14ac:dyDescent="0.3">
      <c r="A977" s="5" t="s">
        <v>3606</v>
      </c>
      <c r="B977" s="5" t="s">
        <v>1126</v>
      </c>
      <c r="C977" s="5" t="s">
        <v>2608</v>
      </c>
      <c r="D977" s="6">
        <v>45811</v>
      </c>
      <c r="E977" s="6">
        <v>45818</v>
      </c>
      <c r="F977" s="6">
        <v>45823</v>
      </c>
      <c r="G977" s="5" t="s">
        <v>2633</v>
      </c>
      <c r="H977" s="5">
        <v>8</v>
      </c>
      <c r="I977" s="5">
        <f>IFERROR(INDEX(Raw_Orders!H977:H3405,MATCH(B977,Raw_Orders!A977:A3405,0)),0)</f>
        <v>8</v>
      </c>
      <c r="J977" s="5" t="str">
        <f t="shared" si="60"/>
        <v>No</v>
      </c>
      <c r="K977" s="5" t="str">
        <f t="shared" si="61"/>
        <v>Yes</v>
      </c>
      <c r="L977" s="5" t="str">
        <f t="shared" si="63"/>
        <v>No</v>
      </c>
      <c r="M977" s="5">
        <f t="shared" si="62"/>
        <v>0</v>
      </c>
    </row>
    <row r="978" spans="1:13" x14ac:dyDescent="0.3">
      <c r="A978" s="2" t="s">
        <v>3607</v>
      </c>
      <c r="B978" s="2" t="s">
        <v>1127</v>
      </c>
      <c r="C978" s="2" t="s">
        <v>2598</v>
      </c>
      <c r="D978" s="3">
        <v>45812</v>
      </c>
      <c r="E978" s="3">
        <v>45821</v>
      </c>
      <c r="F978" s="3">
        <v>45825</v>
      </c>
      <c r="G978" s="2" t="s">
        <v>2641</v>
      </c>
      <c r="H978" s="2">
        <v>22</v>
      </c>
      <c r="I978" s="2">
        <f>IFERROR(INDEX(Raw_Orders!H978:H3406,MATCH(B978,Raw_Orders!A978:A3406,0)),0)</f>
        <v>22</v>
      </c>
      <c r="J978" s="2" t="str">
        <f t="shared" si="60"/>
        <v>No</v>
      </c>
      <c r="K978" s="2" t="str">
        <f t="shared" si="61"/>
        <v>Yes</v>
      </c>
      <c r="L978" s="2" t="str">
        <f t="shared" si="63"/>
        <v>No</v>
      </c>
      <c r="M978" s="2">
        <f t="shared" si="62"/>
        <v>0</v>
      </c>
    </row>
    <row r="979" spans="1:13" x14ac:dyDescent="0.3">
      <c r="A979" s="5" t="s">
        <v>3608</v>
      </c>
      <c r="B979" s="5" t="s">
        <v>1128</v>
      </c>
      <c r="C979" s="5" t="s">
        <v>2598</v>
      </c>
      <c r="D979" s="6">
        <v>45811</v>
      </c>
      <c r="E979" s="6">
        <v>45817</v>
      </c>
      <c r="F979" s="6">
        <v>45826</v>
      </c>
      <c r="G979" s="5" t="s">
        <v>2631</v>
      </c>
      <c r="H979" s="5">
        <v>34</v>
      </c>
      <c r="I979" s="5">
        <f>IFERROR(INDEX(Raw_Orders!H979:H3407,MATCH(B979,Raw_Orders!A979:A3407,0)),0)</f>
        <v>34</v>
      </c>
      <c r="J979" s="5" t="str">
        <f t="shared" si="60"/>
        <v>No</v>
      </c>
      <c r="K979" s="5" t="str">
        <f t="shared" si="61"/>
        <v>Yes</v>
      </c>
      <c r="L979" s="5" t="str">
        <f t="shared" si="63"/>
        <v>No</v>
      </c>
      <c r="M979" s="5">
        <f t="shared" si="62"/>
        <v>0</v>
      </c>
    </row>
    <row r="980" spans="1:13" x14ac:dyDescent="0.3">
      <c r="A980" s="2" t="s">
        <v>3609</v>
      </c>
      <c r="B980" s="2" t="s">
        <v>1129</v>
      </c>
      <c r="C980" s="2" t="s">
        <v>2608</v>
      </c>
      <c r="D980" s="3">
        <v>45811</v>
      </c>
      <c r="E980" s="3">
        <v>45816</v>
      </c>
      <c r="F980" s="3">
        <v>45826</v>
      </c>
      <c r="G980" s="2" t="s">
        <v>2641</v>
      </c>
      <c r="H980" s="2">
        <v>29</v>
      </c>
      <c r="I980" s="2">
        <f>IFERROR(INDEX(Raw_Orders!H980:H3408,MATCH(B980,Raw_Orders!A980:A3408,0)),0)</f>
        <v>29</v>
      </c>
      <c r="J980" s="2" t="str">
        <f t="shared" si="60"/>
        <v>No</v>
      </c>
      <c r="K980" s="2" t="str">
        <f t="shared" si="61"/>
        <v>Yes</v>
      </c>
      <c r="L980" s="2" t="str">
        <f t="shared" si="63"/>
        <v>No</v>
      </c>
      <c r="M980" s="2">
        <f t="shared" si="62"/>
        <v>0</v>
      </c>
    </row>
    <row r="981" spans="1:13" x14ac:dyDescent="0.3">
      <c r="A981" s="5" t="s">
        <v>3610</v>
      </c>
      <c r="B981" s="5" t="s">
        <v>1130</v>
      </c>
      <c r="C981" s="5" t="s">
        <v>2608</v>
      </c>
      <c r="D981" s="6">
        <v>45811</v>
      </c>
      <c r="E981" s="6">
        <v>45819</v>
      </c>
      <c r="F981" s="6">
        <v>45828</v>
      </c>
      <c r="G981" s="5" t="s">
        <v>2641</v>
      </c>
      <c r="H981" s="5">
        <v>1</v>
      </c>
      <c r="I981" s="5">
        <f>IFERROR(INDEX(Raw_Orders!H981:H3409,MATCH(B981,Raw_Orders!A981:A3409,0)),0)</f>
        <v>6</v>
      </c>
      <c r="J981" s="5" t="str">
        <f t="shared" si="60"/>
        <v>No</v>
      </c>
      <c r="K981" s="5" t="str">
        <f t="shared" si="61"/>
        <v>N0</v>
      </c>
      <c r="L981" s="5" t="str">
        <f t="shared" si="63"/>
        <v>No</v>
      </c>
      <c r="M981" s="5">
        <f t="shared" si="62"/>
        <v>0</v>
      </c>
    </row>
    <row r="982" spans="1:13" x14ac:dyDescent="0.3">
      <c r="A982" s="2" t="s">
        <v>3611</v>
      </c>
      <c r="B982" s="2" t="s">
        <v>1131</v>
      </c>
      <c r="C982" s="2" t="s">
        <v>2598</v>
      </c>
      <c r="D982" s="3">
        <v>45814</v>
      </c>
      <c r="E982" s="3">
        <v>45816</v>
      </c>
      <c r="F982" s="3">
        <v>45827</v>
      </c>
      <c r="G982" s="2" t="s">
        <v>2629</v>
      </c>
      <c r="H982" s="2">
        <v>34</v>
      </c>
      <c r="I982" s="2">
        <f>IFERROR(INDEX(Raw_Orders!H982:H3410,MATCH(B982,Raw_Orders!A982:A3410,0)),0)</f>
        <v>34</v>
      </c>
      <c r="J982" s="2" t="str">
        <f t="shared" si="60"/>
        <v>No</v>
      </c>
      <c r="K982" s="2" t="str">
        <f t="shared" si="61"/>
        <v>Yes</v>
      </c>
      <c r="L982" s="2" t="str">
        <f t="shared" si="63"/>
        <v>No</v>
      </c>
      <c r="M982" s="2">
        <f t="shared" si="62"/>
        <v>0</v>
      </c>
    </row>
    <row r="983" spans="1:13" x14ac:dyDescent="0.3">
      <c r="A983" s="5" t="s">
        <v>3612</v>
      </c>
      <c r="B983" s="5" t="s">
        <v>1132</v>
      </c>
      <c r="C983" s="5" t="s">
        <v>2614</v>
      </c>
      <c r="D983" s="6">
        <v>45814</v>
      </c>
      <c r="E983" s="6">
        <v>45818</v>
      </c>
      <c r="F983" s="6">
        <v>45830</v>
      </c>
      <c r="G983" s="5" t="s">
        <v>2641</v>
      </c>
      <c r="H983" s="5">
        <v>25</v>
      </c>
      <c r="I983" s="5">
        <f>IFERROR(INDEX(Raw_Orders!H983:H3411,MATCH(B983,Raw_Orders!A983:A3411,0)),0)</f>
        <v>25</v>
      </c>
      <c r="J983" s="5" t="str">
        <f t="shared" si="60"/>
        <v>No</v>
      </c>
      <c r="K983" s="5" t="str">
        <f t="shared" si="61"/>
        <v>Yes</v>
      </c>
      <c r="L983" s="5" t="str">
        <f t="shared" si="63"/>
        <v>No</v>
      </c>
      <c r="M983" s="5">
        <f t="shared" si="62"/>
        <v>0</v>
      </c>
    </row>
    <row r="984" spans="1:13" x14ac:dyDescent="0.3">
      <c r="A984" s="2" t="s">
        <v>3613</v>
      </c>
      <c r="B984" s="2" t="s">
        <v>1133</v>
      </c>
      <c r="C984" s="2" t="s">
        <v>2614</v>
      </c>
      <c r="D984" s="3">
        <v>45814</v>
      </c>
      <c r="E984" s="3">
        <v>45816</v>
      </c>
      <c r="F984" s="3">
        <v>45828</v>
      </c>
      <c r="G984" s="2" t="s">
        <v>2627</v>
      </c>
      <c r="H984" s="2">
        <v>19</v>
      </c>
      <c r="I984" s="2">
        <f>IFERROR(INDEX(Raw_Orders!H984:H3412,MATCH(B984,Raw_Orders!A984:A3412,0)),0)</f>
        <v>19</v>
      </c>
      <c r="J984" s="2" t="str">
        <f t="shared" si="60"/>
        <v>No</v>
      </c>
      <c r="K984" s="2" t="str">
        <f t="shared" si="61"/>
        <v>Yes</v>
      </c>
      <c r="L984" s="2" t="str">
        <f t="shared" si="63"/>
        <v>No</v>
      </c>
      <c r="M984" s="2">
        <f t="shared" si="62"/>
        <v>0</v>
      </c>
    </row>
    <row r="985" spans="1:13" x14ac:dyDescent="0.3">
      <c r="A985" s="5" t="s">
        <v>3614</v>
      </c>
      <c r="B985" s="5" t="s">
        <v>1134</v>
      </c>
      <c r="C985" s="5" t="s">
        <v>2616</v>
      </c>
      <c r="D985" s="6">
        <v>45812</v>
      </c>
      <c r="E985" s="6">
        <v>45816</v>
      </c>
      <c r="F985" s="6">
        <v>45827</v>
      </c>
      <c r="G985" s="5" t="s">
        <v>2627</v>
      </c>
      <c r="H985" s="5">
        <v>18</v>
      </c>
      <c r="I985" s="5">
        <f>IFERROR(INDEX(Raw_Orders!H985:H3413,MATCH(B985,Raw_Orders!A985:A3413,0)),0)</f>
        <v>18</v>
      </c>
      <c r="J985" s="5" t="str">
        <f t="shared" si="60"/>
        <v>No</v>
      </c>
      <c r="K985" s="5" t="str">
        <f t="shared" si="61"/>
        <v>Yes</v>
      </c>
      <c r="L985" s="5" t="str">
        <f t="shared" si="63"/>
        <v>No</v>
      </c>
      <c r="M985" s="5">
        <f t="shared" si="62"/>
        <v>0</v>
      </c>
    </row>
    <row r="986" spans="1:13" x14ac:dyDescent="0.3">
      <c r="A986" s="2" t="s">
        <v>3615</v>
      </c>
      <c r="B986" s="2" t="s">
        <v>1135</v>
      </c>
      <c r="C986" s="2" t="s">
        <v>2606</v>
      </c>
      <c r="D986" s="3">
        <v>45814</v>
      </c>
      <c r="E986" s="3">
        <v>45816</v>
      </c>
      <c r="F986" s="3">
        <v>45824</v>
      </c>
      <c r="G986" s="2" t="s">
        <v>2627</v>
      </c>
      <c r="H986" s="2">
        <v>25</v>
      </c>
      <c r="I986" s="2">
        <f>IFERROR(INDEX(Raw_Orders!H986:H3414,MATCH(B986,Raw_Orders!A986:A3414,0)),0)</f>
        <v>25</v>
      </c>
      <c r="J986" s="2" t="str">
        <f t="shared" si="60"/>
        <v>No</v>
      </c>
      <c r="K986" s="2" t="str">
        <f t="shared" si="61"/>
        <v>Yes</v>
      </c>
      <c r="L986" s="2" t="str">
        <f t="shared" si="63"/>
        <v>No</v>
      </c>
      <c r="M986" s="2">
        <f t="shared" si="62"/>
        <v>0</v>
      </c>
    </row>
    <row r="987" spans="1:13" x14ac:dyDescent="0.3">
      <c r="A987" s="5" t="s">
        <v>3616</v>
      </c>
      <c r="B987" s="5" t="s">
        <v>1136</v>
      </c>
      <c r="C987" s="5" t="s">
        <v>2608</v>
      </c>
      <c r="D987" s="6">
        <v>45813</v>
      </c>
      <c r="E987" s="6">
        <v>45820</v>
      </c>
      <c r="F987" s="6">
        <v>45825</v>
      </c>
      <c r="G987" s="5" t="s">
        <v>2627</v>
      </c>
      <c r="H987" s="5">
        <v>6</v>
      </c>
      <c r="I987" s="5">
        <f>IFERROR(INDEX(Raw_Orders!H987:H3415,MATCH(B987,Raw_Orders!A987:A3415,0)),0)</f>
        <v>6</v>
      </c>
      <c r="J987" s="5" t="str">
        <f t="shared" si="60"/>
        <v>No</v>
      </c>
      <c r="K987" s="5" t="str">
        <f t="shared" si="61"/>
        <v>Yes</v>
      </c>
      <c r="L987" s="5" t="str">
        <f t="shared" si="63"/>
        <v>No</v>
      </c>
      <c r="M987" s="5">
        <f t="shared" si="62"/>
        <v>0</v>
      </c>
    </row>
    <row r="988" spans="1:13" x14ac:dyDescent="0.3">
      <c r="A988" s="2" t="s">
        <v>3617</v>
      </c>
      <c r="B988" s="2" t="s">
        <v>1137</v>
      </c>
      <c r="C988" s="2" t="s">
        <v>2608</v>
      </c>
      <c r="D988" s="3">
        <v>45813</v>
      </c>
      <c r="E988" s="3">
        <v>45820</v>
      </c>
      <c r="F988" s="3">
        <v>45827</v>
      </c>
      <c r="G988" s="2" t="s">
        <v>2633</v>
      </c>
      <c r="H988" s="2">
        <v>7</v>
      </c>
      <c r="I988" s="2">
        <f>IFERROR(INDEX(Raw_Orders!H988:H3416,MATCH(B988,Raw_Orders!A988:A3416,0)),0)</f>
        <v>9</v>
      </c>
      <c r="J988" s="2" t="str">
        <f t="shared" si="60"/>
        <v>No</v>
      </c>
      <c r="K988" s="2" t="str">
        <f t="shared" si="61"/>
        <v>N0</v>
      </c>
      <c r="L988" s="2" t="str">
        <f t="shared" si="63"/>
        <v>No</v>
      </c>
      <c r="M988" s="2">
        <f t="shared" si="62"/>
        <v>0</v>
      </c>
    </row>
    <row r="989" spans="1:13" x14ac:dyDescent="0.3">
      <c r="A989" s="5" t="s">
        <v>3618</v>
      </c>
      <c r="B989" s="5" t="s">
        <v>1138</v>
      </c>
      <c r="C989" s="5" t="s">
        <v>2614</v>
      </c>
      <c r="D989" s="6">
        <v>45813</v>
      </c>
      <c r="E989" s="6">
        <v>45816</v>
      </c>
      <c r="F989" s="6">
        <v>45828</v>
      </c>
      <c r="G989" s="5" t="s">
        <v>2633</v>
      </c>
      <c r="H989" s="5">
        <v>19</v>
      </c>
      <c r="I989" s="5">
        <f>IFERROR(INDEX(Raw_Orders!H989:H3417,MATCH(B989,Raw_Orders!A989:A3417,0)),0)</f>
        <v>19</v>
      </c>
      <c r="J989" s="5" t="str">
        <f t="shared" si="60"/>
        <v>No</v>
      </c>
      <c r="K989" s="5" t="str">
        <f t="shared" si="61"/>
        <v>Yes</v>
      </c>
      <c r="L989" s="5" t="str">
        <f t="shared" si="63"/>
        <v>No</v>
      </c>
      <c r="M989" s="5">
        <f t="shared" si="62"/>
        <v>0</v>
      </c>
    </row>
    <row r="990" spans="1:13" x14ac:dyDescent="0.3">
      <c r="A990" s="2" t="s">
        <v>3619</v>
      </c>
      <c r="B990" s="2" t="s">
        <v>1139</v>
      </c>
      <c r="C990" s="2" t="s">
        <v>2616</v>
      </c>
      <c r="D990" s="3">
        <v>45814</v>
      </c>
      <c r="E990" s="3">
        <v>45817</v>
      </c>
      <c r="F990" s="3">
        <v>45830</v>
      </c>
      <c r="G990" s="2" t="s">
        <v>2629</v>
      </c>
      <c r="H990" s="2">
        <v>32</v>
      </c>
      <c r="I990" s="2">
        <f>IFERROR(INDEX(Raw_Orders!H990:H3418,MATCH(B990,Raw_Orders!A990:A3418,0)),0)</f>
        <v>40</v>
      </c>
      <c r="J990" s="2" t="str">
        <f t="shared" si="60"/>
        <v>No</v>
      </c>
      <c r="K990" s="2" t="str">
        <f t="shared" si="61"/>
        <v>N0</v>
      </c>
      <c r="L990" s="2" t="str">
        <f t="shared" si="63"/>
        <v>No</v>
      </c>
      <c r="M990" s="2">
        <f t="shared" si="62"/>
        <v>0</v>
      </c>
    </row>
    <row r="991" spans="1:13" x14ac:dyDescent="0.3">
      <c r="A991" s="5" t="s">
        <v>3620</v>
      </c>
      <c r="B991" s="5" t="s">
        <v>1140</v>
      </c>
      <c r="C991" s="5" t="s">
        <v>2616</v>
      </c>
      <c r="D991" s="6">
        <v>45814</v>
      </c>
      <c r="E991" s="6">
        <v>45818</v>
      </c>
      <c r="F991" s="6">
        <v>45829</v>
      </c>
      <c r="G991" s="5" t="s">
        <v>2627</v>
      </c>
      <c r="H991" s="5">
        <v>19</v>
      </c>
      <c r="I991" s="5">
        <f>IFERROR(INDEX(Raw_Orders!H991:H3419,MATCH(B991,Raw_Orders!A991:A3419,0)),0)</f>
        <v>19</v>
      </c>
      <c r="J991" s="5" t="str">
        <f t="shared" si="60"/>
        <v>No</v>
      </c>
      <c r="K991" s="5" t="str">
        <f t="shared" si="61"/>
        <v>Yes</v>
      </c>
      <c r="L991" s="5" t="str">
        <f t="shared" si="63"/>
        <v>No</v>
      </c>
      <c r="M991" s="5">
        <f t="shared" si="62"/>
        <v>0</v>
      </c>
    </row>
    <row r="992" spans="1:13" x14ac:dyDescent="0.3">
      <c r="A992" s="2" t="s">
        <v>3621</v>
      </c>
      <c r="B992" s="2" t="s">
        <v>1141</v>
      </c>
      <c r="C992" s="2" t="s">
        <v>2606</v>
      </c>
      <c r="D992" s="3">
        <v>45814</v>
      </c>
      <c r="E992" s="3">
        <v>45819</v>
      </c>
      <c r="F992" s="3">
        <v>45824</v>
      </c>
      <c r="G992" s="2" t="s">
        <v>2631</v>
      </c>
      <c r="H992" s="2">
        <v>22</v>
      </c>
      <c r="I992" s="2">
        <f>IFERROR(INDEX(Raw_Orders!H992:H3420,MATCH(B992,Raw_Orders!A992:A3420,0)),0)</f>
        <v>30</v>
      </c>
      <c r="J992" s="2" t="str">
        <f t="shared" si="60"/>
        <v>No</v>
      </c>
      <c r="K992" s="2" t="str">
        <f t="shared" si="61"/>
        <v>N0</v>
      </c>
      <c r="L992" s="2" t="str">
        <f t="shared" si="63"/>
        <v>No</v>
      </c>
      <c r="M992" s="2">
        <f t="shared" si="62"/>
        <v>0</v>
      </c>
    </row>
    <row r="993" spans="1:13" x14ac:dyDescent="0.3">
      <c r="A993" s="5" t="s">
        <v>3622</v>
      </c>
      <c r="B993" s="5" t="s">
        <v>1142</v>
      </c>
      <c r="C993" s="5" t="s">
        <v>2606</v>
      </c>
      <c r="D993" s="6">
        <v>45813</v>
      </c>
      <c r="E993" s="6">
        <v>45821</v>
      </c>
      <c r="F993" s="6">
        <v>45823</v>
      </c>
      <c r="G993" s="5" t="s">
        <v>2629</v>
      </c>
      <c r="H993" s="5">
        <v>49</v>
      </c>
      <c r="I993" s="5">
        <f>IFERROR(INDEX(Raw_Orders!H993:H3421,MATCH(B993,Raw_Orders!A993:A3421,0)),0)</f>
        <v>49</v>
      </c>
      <c r="J993" s="5" t="str">
        <f t="shared" si="60"/>
        <v>No</v>
      </c>
      <c r="K993" s="5" t="str">
        <f t="shared" si="61"/>
        <v>Yes</v>
      </c>
      <c r="L993" s="5" t="str">
        <f t="shared" si="63"/>
        <v>No</v>
      </c>
      <c r="M993" s="5">
        <f t="shared" si="62"/>
        <v>0</v>
      </c>
    </row>
    <row r="994" spans="1:13" x14ac:dyDescent="0.3">
      <c r="A994" s="2" t="s">
        <v>3623</v>
      </c>
      <c r="B994" s="2" t="s">
        <v>1143</v>
      </c>
      <c r="C994" s="2" t="s">
        <v>2606</v>
      </c>
      <c r="D994" s="3">
        <v>45814</v>
      </c>
      <c r="E994" s="3">
        <v>45820</v>
      </c>
      <c r="F994" s="3">
        <v>45821</v>
      </c>
      <c r="G994" s="2" t="s">
        <v>2631</v>
      </c>
      <c r="H994" s="2">
        <v>36</v>
      </c>
      <c r="I994" s="2">
        <f>IFERROR(INDEX(Raw_Orders!H994:H3422,MATCH(B994,Raw_Orders!A994:A3422,0)),0)</f>
        <v>36</v>
      </c>
      <c r="J994" s="2" t="str">
        <f t="shared" si="60"/>
        <v>No</v>
      </c>
      <c r="K994" s="2" t="str">
        <f t="shared" si="61"/>
        <v>Yes</v>
      </c>
      <c r="L994" s="2" t="str">
        <f t="shared" si="63"/>
        <v>No</v>
      </c>
      <c r="M994" s="2">
        <f t="shared" si="62"/>
        <v>0</v>
      </c>
    </row>
    <row r="995" spans="1:13" x14ac:dyDescent="0.3">
      <c r="A995" s="5" t="s">
        <v>3624</v>
      </c>
      <c r="B995" s="5" t="s">
        <v>1144</v>
      </c>
      <c r="C995" s="5" t="s">
        <v>2608</v>
      </c>
      <c r="D995" s="6">
        <v>45813</v>
      </c>
      <c r="E995" s="6">
        <v>45823</v>
      </c>
      <c r="F995" s="6">
        <v>45826</v>
      </c>
      <c r="G995" s="5" t="s">
        <v>2631</v>
      </c>
      <c r="H995" s="5">
        <v>37</v>
      </c>
      <c r="I995" s="5">
        <f>IFERROR(INDEX(Raw_Orders!H995:H3423,MATCH(B995,Raw_Orders!A995:A3423,0)),0)</f>
        <v>37</v>
      </c>
      <c r="J995" s="5" t="str">
        <f t="shared" si="60"/>
        <v>No</v>
      </c>
      <c r="K995" s="5" t="str">
        <f t="shared" si="61"/>
        <v>Yes</v>
      </c>
      <c r="L995" s="5" t="str">
        <f t="shared" si="63"/>
        <v>No</v>
      </c>
      <c r="M995" s="5">
        <f t="shared" si="62"/>
        <v>0</v>
      </c>
    </row>
    <row r="996" spans="1:13" x14ac:dyDescent="0.3">
      <c r="A996" s="2" t="s">
        <v>3625</v>
      </c>
      <c r="B996" s="2" t="s">
        <v>1145</v>
      </c>
      <c r="C996" s="2" t="s">
        <v>2608</v>
      </c>
      <c r="D996" s="3">
        <v>45813</v>
      </c>
      <c r="E996" s="3">
        <v>45823</v>
      </c>
      <c r="F996" s="3">
        <v>45826</v>
      </c>
      <c r="G996" s="2" t="s">
        <v>2631</v>
      </c>
      <c r="H996" s="2">
        <v>5</v>
      </c>
      <c r="I996" s="2">
        <f>IFERROR(INDEX(Raw_Orders!H996:H3424,MATCH(B996,Raw_Orders!A996:A3424,0)),0)</f>
        <v>5</v>
      </c>
      <c r="J996" s="2" t="str">
        <f t="shared" si="60"/>
        <v>No</v>
      </c>
      <c r="K996" s="2" t="str">
        <f t="shared" si="61"/>
        <v>Yes</v>
      </c>
      <c r="L996" s="2" t="str">
        <f t="shared" si="63"/>
        <v>No</v>
      </c>
      <c r="M996" s="2">
        <f t="shared" si="62"/>
        <v>0</v>
      </c>
    </row>
    <row r="997" spans="1:13" x14ac:dyDescent="0.3">
      <c r="A997" s="5" t="s">
        <v>3626</v>
      </c>
      <c r="B997" s="5" t="s">
        <v>1146</v>
      </c>
      <c r="C997" s="5" t="s">
        <v>2608</v>
      </c>
      <c r="D997" s="6">
        <v>45813</v>
      </c>
      <c r="E997" s="6">
        <v>45822</v>
      </c>
      <c r="F997" s="6">
        <v>45826</v>
      </c>
      <c r="G997" s="5" t="s">
        <v>2629</v>
      </c>
      <c r="H997" s="5">
        <v>3</v>
      </c>
      <c r="I997" s="5">
        <f>IFERROR(INDEX(Raw_Orders!H997:H3425,MATCH(B997,Raw_Orders!A997:A3425,0)),0)</f>
        <v>7</v>
      </c>
      <c r="J997" s="5" t="str">
        <f t="shared" si="60"/>
        <v>No</v>
      </c>
      <c r="K997" s="5" t="str">
        <f t="shared" si="61"/>
        <v>N0</v>
      </c>
      <c r="L997" s="5" t="str">
        <f t="shared" si="63"/>
        <v>No</v>
      </c>
      <c r="M997" s="5">
        <f t="shared" si="62"/>
        <v>0</v>
      </c>
    </row>
    <row r="998" spans="1:13" x14ac:dyDescent="0.3">
      <c r="A998" s="2" t="s">
        <v>3627</v>
      </c>
      <c r="B998" s="2" t="s">
        <v>1147</v>
      </c>
      <c r="C998" s="2" t="s">
        <v>2601</v>
      </c>
      <c r="D998" s="3">
        <v>45814</v>
      </c>
      <c r="E998" s="3">
        <v>45818</v>
      </c>
      <c r="F998" s="3">
        <v>45821</v>
      </c>
      <c r="G998" s="2" t="s">
        <v>2631</v>
      </c>
      <c r="H998" s="2">
        <v>21</v>
      </c>
      <c r="I998" s="2">
        <f>IFERROR(INDEX(Raw_Orders!H998:H3426,MATCH(B998,Raw_Orders!A998:A3426,0)),0)</f>
        <v>21</v>
      </c>
      <c r="J998" s="2" t="str">
        <f t="shared" si="60"/>
        <v>No</v>
      </c>
      <c r="K998" s="2" t="str">
        <f t="shared" si="61"/>
        <v>Yes</v>
      </c>
      <c r="L998" s="2" t="str">
        <f t="shared" si="63"/>
        <v>No</v>
      </c>
      <c r="M998" s="2">
        <f t="shared" si="62"/>
        <v>0</v>
      </c>
    </row>
    <row r="999" spans="1:13" x14ac:dyDescent="0.3">
      <c r="A999" s="5" t="s">
        <v>3628</v>
      </c>
      <c r="B999" s="5" t="s">
        <v>1148</v>
      </c>
      <c r="C999" s="5" t="s">
        <v>2604</v>
      </c>
      <c r="D999" s="6">
        <v>45815</v>
      </c>
      <c r="E999" s="6">
        <v>45823</v>
      </c>
      <c r="F999" s="6">
        <v>45818</v>
      </c>
      <c r="G999" s="5" t="s">
        <v>2631</v>
      </c>
      <c r="H999" s="5">
        <v>14</v>
      </c>
      <c r="I999" s="5">
        <f>IFERROR(INDEX(Raw_Orders!H999:H3427,MATCH(B999,Raw_Orders!A999:A3427,0)),0)</f>
        <v>14</v>
      </c>
      <c r="J999" s="5" t="str">
        <f t="shared" si="60"/>
        <v>Yes</v>
      </c>
      <c r="K999" s="5" t="str">
        <f t="shared" si="61"/>
        <v>Yes</v>
      </c>
      <c r="L999" s="5" t="str">
        <f t="shared" si="63"/>
        <v>Yes</v>
      </c>
      <c r="M999" s="5">
        <f t="shared" si="62"/>
        <v>1</v>
      </c>
    </row>
    <row r="1000" spans="1:13" x14ac:dyDescent="0.3">
      <c r="A1000" s="2" t="s">
        <v>3629</v>
      </c>
      <c r="B1000" s="2" t="s">
        <v>1149</v>
      </c>
      <c r="C1000" s="2" t="s">
        <v>2606</v>
      </c>
      <c r="D1000" s="3">
        <v>45816</v>
      </c>
      <c r="E1000" s="3">
        <v>45820</v>
      </c>
      <c r="F1000" s="3">
        <v>45821</v>
      </c>
      <c r="G1000" s="2" t="s">
        <v>2641</v>
      </c>
      <c r="H1000" s="2">
        <v>32</v>
      </c>
      <c r="I1000" s="2">
        <f>IFERROR(INDEX(Raw_Orders!H1000:H3428,MATCH(B1000,Raw_Orders!A1000:A3428,0)),0)</f>
        <v>32</v>
      </c>
      <c r="J1000" s="2" t="str">
        <f t="shared" si="60"/>
        <v>No</v>
      </c>
      <c r="K1000" s="2" t="str">
        <f t="shared" si="61"/>
        <v>Yes</v>
      </c>
      <c r="L1000" s="2" t="str">
        <f t="shared" si="63"/>
        <v>No</v>
      </c>
      <c r="M1000" s="2">
        <f t="shared" si="62"/>
        <v>0</v>
      </c>
    </row>
    <row r="1001" spans="1:13" x14ac:dyDescent="0.3">
      <c r="A1001" s="5" t="s">
        <v>3630</v>
      </c>
      <c r="B1001" s="5" t="s">
        <v>1150</v>
      </c>
      <c r="C1001" s="5" t="s">
        <v>2606</v>
      </c>
      <c r="D1001" s="6">
        <v>45816</v>
      </c>
      <c r="E1001" s="6">
        <v>45823</v>
      </c>
      <c r="F1001" s="6">
        <v>45822</v>
      </c>
      <c r="G1001" s="5" t="s">
        <v>2627</v>
      </c>
      <c r="H1001" s="5">
        <v>45</v>
      </c>
      <c r="I1001" s="5">
        <f>IFERROR(INDEX(Raw_Orders!H1001:H3429,MATCH(B1001,Raw_Orders!A1001:A3429,0)),0)</f>
        <v>45</v>
      </c>
      <c r="J1001" s="5" t="str">
        <f t="shared" si="60"/>
        <v>Yes</v>
      </c>
      <c r="K1001" s="5" t="str">
        <f t="shared" si="61"/>
        <v>Yes</v>
      </c>
      <c r="L1001" s="5" t="str">
        <f t="shared" si="63"/>
        <v>Yes</v>
      </c>
      <c r="M1001" s="5">
        <f t="shared" si="62"/>
        <v>1</v>
      </c>
    </row>
    <row r="1002" spans="1:13" x14ac:dyDescent="0.3">
      <c r="A1002" s="2" t="s">
        <v>3631</v>
      </c>
      <c r="B1002" s="2" t="s">
        <v>1151</v>
      </c>
      <c r="C1002" s="2" t="s">
        <v>2606</v>
      </c>
      <c r="D1002" s="3">
        <v>45814</v>
      </c>
      <c r="E1002" s="3">
        <v>45821</v>
      </c>
      <c r="F1002" s="3">
        <v>45820</v>
      </c>
      <c r="G1002" s="2" t="s">
        <v>2627</v>
      </c>
      <c r="H1002" s="2">
        <v>23</v>
      </c>
      <c r="I1002" s="2">
        <f>IFERROR(INDEX(Raw_Orders!H1002:H3430,MATCH(B1002,Raw_Orders!A1002:A3430,0)),0)</f>
        <v>23</v>
      </c>
      <c r="J1002" s="2" t="str">
        <f t="shared" si="60"/>
        <v>Yes</v>
      </c>
      <c r="K1002" s="2" t="str">
        <f t="shared" si="61"/>
        <v>Yes</v>
      </c>
      <c r="L1002" s="2" t="str">
        <f t="shared" si="63"/>
        <v>Yes</v>
      </c>
      <c r="M1002" s="2">
        <f t="shared" si="62"/>
        <v>1</v>
      </c>
    </row>
    <row r="1003" spans="1:13" x14ac:dyDescent="0.3">
      <c r="A1003" s="5" t="s">
        <v>3632</v>
      </c>
      <c r="B1003" s="5" t="s">
        <v>1152</v>
      </c>
      <c r="C1003" s="5" t="s">
        <v>2608</v>
      </c>
      <c r="D1003" s="6">
        <v>45814</v>
      </c>
      <c r="E1003" s="6">
        <v>45823</v>
      </c>
      <c r="F1003" s="6">
        <v>45827</v>
      </c>
      <c r="G1003" s="5" t="s">
        <v>2629</v>
      </c>
      <c r="H1003" s="5">
        <v>14</v>
      </c>
      <c r="I1003" s="5">
        <f>IFERROR(INDEX(Raw_Orders!H1003:H3431,MATCH(B1003,Raw_Orders!A1003:A3431,0)),0)</f>
        <v>14</v>
      </c>
      <c r="J1003" s="5" t="str">
        <f t="shared" si="60"/>
        <v>No</v>
      </c>
      <c r="K1003" s="5" t="str">
        <f t="shared" si="61"/>
        <v>Yes</v>
      </c>
      <c r="L1003" s="5" t="str">
        <f t="shared" si="63"/>
        <v>No</v>
      </c>
      <c r="M1003" s="5">
        <f t="shared" si="62"/>
        <v>0</v>
      </c>
    </row>
    <row r="1004" spans="1:13" x14ac:dyDescent="0.3">
      <c r="A1004" s="2" t="s">
        <v>3633</v>
      </c>
      <c r="B1004" s="2" t="s">
        <v>1153</v>
      </c>
      <c r="C1004" s="2" t="s">
        <v>2608</v>
      </c>
      <c r="D1004" s="3">
        <v>45816</v>
      </c>
      <c r="E1004" s="3">
        <v>45824</v>
      </c>
      <c r="F1004" s="3">
        <v>45829</v>
      </c>
      <c r="G1004" s="2" t="s">
        <v>2641</v>
      </c>
      <c r="H1004" s="2">
        <v>5</v>
      </c>
      <c r="I1004" s="2">
        <f>IFERROR(INDEX(Raw_Orders!H1004:H3432,MATCH(B1004,Raw_Orders!A1004:A3432,0)),0)</f>
        <v>5</v>
      </c>
      <c r="J1004" s="2" t="str">
        <f t="shared" si="60"/>
        <v>No</v>
      </c>
      <c r="K1004" s="2" t="str">
        <f t="shared" si="61"/>
        <v>Yes</v>
      </c>
      <c r="L1004" s="2" t="str">
        <f t="shared" si="63"/>
        <v>No</v>
      </c>
      <c r="M1004" s="2">
        <f t="shared" si="62"/>
        <v>0</v>
      </c>
    </row>
    <row r="1005" spans="1:13" x14ac:dyDescent="0.3">
      <c r="A1005" s="5" t="s">
        <v>3634</v>
      </c>
      <c r="B1005" s="5" t="s">
        <v>1154</v>
      </c>
      <c r="C1005" s="5" t="s">
        <v>2611</v>
      </c>
      <c r="D1005" s="6">
        <v>45817</v>
      </c>
      <c r="E1005" s="6">
        <v>45819</v>
      </c>
      <c r="F1005" s="6">
        <v>45823</v>
      </c>
      <c r="G1005" s="5" t="s">
        <v>2627</v>
      </c>
      <c r="H1005" s="5">
        <v>33</v>
      </c>
      <c r="I1005" s="5">
        <f>IFERROR(INDEX(Raw_Orders!H1005:H3433,MATCH(B1005,Raw_Orders!A1005:A3433,0)),0)</f>
        <v>35</v>
      </c>
      <c r="J1005" s="5" t="str">
        <f t="shared" si="60"/>
        <v>No</v>
      </c>
      <c r="K1005" s="5" t="str">
        <f t="shared" si="61"/>
        <v>N0</v>
      </c>
      <c r="L1005" s="5" t="str">
        <f t="shared" si="63"/>
        <v>No</v>
      </c>
      <c r="M1005" s="5">
        <f t="shared" si="62"/>
        <v>0</v>
      </c>
    </row>
    <row r="1006" spans="1:13" x14ac:dyDescent="0.3">
      <c r="A1006" s="2" t="s">
        <v>3635</v>
      </c>
      <c r="B1006" s="2" t="s">
        <v>1155</v>
      </c>
      <c r="C1006" s="2" t="s">
        <v>2614</v>
      </c>
      <c r="D1006" s="3">
        <v>45817</v>
      </c>
      <c r="E1006" s="3">
        <v>45823</v>
      </c>
      <c r="F1006" s="3">
        <v>45831</v>
      </c>
      <c r="G1006" s="2" t="s">
        <v>2627</v>
      </c>
      <c r="H1006" s="2">
        <v>16</v>
      </c>
      <c r="I1006" s="2">
        <f>IFERROR(INDEX(Raw_Orders!H1006:H3434,MATCH(B1006,Raw_Orders!A1006:A3434,0)),0)</f>
        <v>16</v>
      </c>
      <c r="J1006" s="2" t="str">
        <f t="shared" si="60"/>
        <v>No</v>
      </c>
      <c r="K1006" s="2" t="str">
        <f t="shared" si="61"/>
        <v>Yes</v>
      </c>
      <c r="L1006" s="2" t="str">
        <f t="shared" si="63"/>
        <v>No</v>
      </c>
      <c r="M1006" s="2">
        <f t="shared" si="62"/>
        <v>0</v>
      </c>
    </row>
    <row r="1007" spans="1:13" x14ac:dyDescent="0.3">
      <c r="A1007" s="5" t="s">
        <v>3636</v>
      </c>
      <c r="B1007" s="5" t="s">
        <v>1156</v>
      </c>
      <c r="C1007" s="5" t="s">
        <v>2614</v>
      </c>
      <c r="D1007" s="6">
        <v>45816</v>
      </c>
      <c r="E1007" s="6">
        <v>45819</v>
      </c>
      <c r="F1007" s="6">
        <v>45829</v>
      </c>
      <c r="G1007" s="5" t="s">
        <v>2629</v>
      </c>
      <c r="H1007" s="5">
        <v>19</v>
      </c>
      <c r="I1007" s="5">
        <f>IFERROR(INDEX(Raw_Orders!H1007:H3435,MATCH(B1007,Raw_Orders!A1007:A3435,0)),0)</f>
        <v>19</v>
      </c>
      <c r="J1007" s="5" t="str">
        <f t="shared" si="60"/>
        <v>No</v>
      </c>
      <c r="K1007" s="5" t="str">
        <f t="shared" si="61"/>
        <v>Yes</v>
      </c>
      <c r="L1007" s="5" t="str">
        <f t="shared" si="63"/>
        <v>No</v>
      </c>
      <c r="M1007" s="5">
        <f t="shared" si="62"/>
        <v>0</v>
      </c>
    </row>
    <row r="1008" spans="1:13" x14ac:dyDescent="0.3">
      <c r="A1008" s="2" t="s">
        <v>3637</v>
      </c>
      <c r="B1008" s="2" t="s">
        <v>1157</v>
      </c>
      <c r="C1008" s="2" t="s">
        <v>2616</v>
      </c>
      <c r="D1008" s="3">
        <v>45815</v>
      </c>
      <c r="E1008" s="3">
        <v>45822</v>
      </c>
      <c r="F1008" s="3">
        <v>45831</v>
      </c>
      <c r="G1008" s="2" t="s">
        <v>2631</v>
      </c>
      <c r="H1008" s="2">
        <v>31</v>
      </c>
      <c r="I1008" s="2">
        <f>IFERROR(INDEX(Raw_Orders!H1008:H3436,MATCH(B1008,Raw_Orders!A1008:A3436,0)),0)</f>
        <v>31</v>
      </c>
      <c r="J1008" s="2" t="str">
        <f t="shared" si="60"/>
        <v>No</v>
      </c>
      <c r="K1008" s="2" t="str">
        <f t="shared" si="61"/>
        <v>Yes</v>
      </c>
      <c r="L1008" s="2" t="str">
        <f t="shared" si="63"/>
        <v>No</v>
      </c>
      <c r="M1008" s="2">
        <f t="shared" si="62"/>
        <v>0</v>
      </c>
    </row>
    <row r="1009" spans="1:13" x14ac:dyDescent="0.3">
      <c r="A1009" s="5" t="s">
        <v>3638</v>
      </c>
      <c r="B1009" s="5" t="s">
        <v>1158</v>
      </c>
      <c r="C1009" s="5" t="s">
        <v>2606</v>
      </c>
      <c r="D1009" s="6">
        <v>45816</v>
      </c>
      <c r="E1009" s="6">
        <v>45818</v>
      </c>
      <c r="F1009" s="6">
        <v>45822</v>
      </c>
      <c r="G1009" s="5" t="s">
        <v>2629</v>
      </c>
      <c r="H1009" s="5">
        <v>25</v>
      </c>
      <c r="I1009" s="5">
        <f>IFERROR(INDEX(Raw_Orders!H1009:H3437,MATCH(B1009,Raw_Orders!A1009:A3437,0)),0)</f>
        <v>25</v>
      </c>
      <c r="J1009" s="5" t="str">
        <f t="shared" si="60"/>
        <v>No</v>
      </c>
      <c r="K1009" s="5" t="str">
        <f t="shared" si="61"/>
        <v>Yes</v>
      </c>
      <c r="L1009" s="5" t="str">
        <f t="shared" si="63"/>
        <v>No</v>
      </c>
      <c r="M1009" s="5">
        <f t="shared" si="62"/>
        <v>0</v>
      </c>
    </row>
    <row r="1010" spans="1:13" x14ac:dyDescent="0.3">
      <c r="A1010" s="2" t="s">
        <v>3639</v>
      </c>
      <c r="B1010" s="2" t="s">
        <v>1159</v>
      </c>
      <c r="C1010" s="2" t="s">
        <v>2606</v>
      </c>
      <c r="D1010" s="3">
        <v>45817</v>
      </c>
      <c r="E1010" s="3">
        <v>45825</v>
      </c>
      <c r="F1010" s="3">
        <v>45824</v>
      </c>
      <c r="G1010" s="2" t="s">
        <v>2629</v>
      </c>
      <c r="H1010" s="2">
        <v>22</v>
      </c>
      <c r="I1010" s="2">
        <f>IFERROR(INDEX(Raw_Orders!H1010:H3438,MATCH(B1010,Raw_Orders!A1010:A3438,0)),0)</f>
        <v>22</v>
      </c>
      <c r="J1010" s="2" t="str">
        <f t="shared" si="60"/>
        <v>Yes</v>
      </c>
      <c r="K1010" s="2" t="str">
        <f t="shared" si="61"/>
        <v>Yes</v>
      </c>
      <c r="L1010" s="2" t="str">
        <f t="shared" si="63"/>
        <v>Yes</v>
      </c>
      <c r="M1010" s="2">
        <f t="shared" si="62"/>
        <v>1</v>
      </c>
    </row>
    <row r="1011" spans="1:13" x14ac:dyDescent="0.3">
      <c r="A1011" s="5" t="s">
        <v>3640</v>
      </c>
      <c r="B1011" s="5" t="s">
        <v>1160</v>
      </c>
      <c r="C1011" s="5" t="s">
        <v>2608</v>
      </c>
      <c r="D1011" s="6">
        <v>45816</v>
      </c>
      <c r="E1011" s="6">
        <v>45822</v>
      </c>
      <c r="F1011" s="6">
        <v>45829</v>
      </c>
      <c r="G1011" s="5" t="s">
        <v>2633</v>
      </c>
      <c r="H1011" s="5">
        <v>33</v>
      </c>
      <c r="I1011" s="5">
        <f>IFERROR(INDEX(Raw_Orders!H1011:H3439,MATCH(B1011,Raw_Orders!A1011:A3439,0)),0)</f>
        <v>34</v>
      </c>
      <c r="J1011" s="5" t="str">
        <f t="shared" si="60"/>
        <v>No</v>
      </c>
      <c r="K1011" s="5" t="str">
        <f t="shared" si="61"/>
        <v>N0</v>
      </c>
      <c r="L1011" s="5" t="str">
        <f t="shared" si="63"/>
        <v>No</v>
      </c>
      <c r="M1011" s="5">
        <f t="shared" si="62"/>
        <v>0</v>
      </c>
    </row>
    <row r="1012" spans="1:13" x14ac:dyDescent="0.3">
      <c r="A1012" s="2" t="s">
        <v>3641</v>
      </c>
      <c r="B1012" s="2" t="s">
        <v>1161</v>
      </c>
      <c r="C1012" s="2" t="s">
        <v>2608</v>
      </c>
      <c r="D1012" s="3">
        <v>45815</v>
      </c>
      <c r="E1012" s="3">
        <v>45819</v>
      </c>
      <c r="F1012" s="3">
        <v>45829</v>
      </c>
      <c r="G1012" s="2" t="s">
        <v>2627</v>
      </c>
      <c r="H1012" s="2">
        <v>8</v>
      </c>
      <c r="I1012" s="2">
        <f>IFERROR(INDEX(Raw_Orders!H1012:H3440,MATCH(B1012,Raw_Orders!A1012:A3440,0)),0)</f>
        <v>8</v>
      </c>
      <c r="J1012" s="2" t="str">
        <f t="shared" si="60"/>
        <v>No</v>
      </c>
      <c r="K1012" s="2" t="str">
        <f t="shared" si="61"/>
        <v>Yes</v>
      </c>
      <c r="L1012" s="2" t="str">
        <f t="shared" si="63"/>
        <v>No</v>
      </c>
      <c r="M1012" s="2">
        <f t="shared" si="62"/>
        <v>0</v>
      </c>
    </row>
    <row r="1013" spans="1:13" x14ac:dyDescent="0.3">
      <c r="A1013" s="5" t="s">
        <v>3642</v>
      </c>
      <c r="B1013" s="5" t="s">
        <v>1162</v>
      </c>
      <c r="C1013" s="5" t="s">
        <v>2616</v>
      </c>
      <c r="D1013" s="6">
        <v>45816</v>
      </c>
      <c r="E1013" s="6">
        <v>45826</v>
      </c>
      <c r="F1013" s="6">
        <v>45832</v>
      </c>
      <c r="G1013" s="5" t="s">
        <v>2627</v>
      </c>
      <c r="H1013" s="5">
        <v>4</v>
      </c>
      <c r="I1013" s="5">
        <f>IFERROR(INDEX(Raw_Orders!H1013:H3441,MATCH(B1013,Raw_Orders!A1013:A3441,0)),0)</f>
        <v>8</v>
      </c>
      <c r="J1013" s="5" t="str">
        <f t="shared" si="60"/>
        <v>No</v>
      </c>
      <c r="K1013" s="5" t="str">
        <f t="shared" si="61"/>
        <v>N0</v>
      </c>
      <c r="L1013" s="5" t="str">
        <f t="shared" si="63"/>
        <v>No</v>
      </c>
      <c r="M1013" s="5">
        <f t="shared" si="62"/>
        <v>0</v>
      </c>
    </row>
    <row r="1014" spans="1:13" x14ac:dyDescent="0.3">
      <c r="A1014" s="2" t="s">
        <v>3643</v>
      </c>
      <c r="B1014" s="2" t="s">
        <v>1163</v>
      </c>
      <c r="C1014" s="2" t="s">
        <v>2604</v>
      </c>
      <c r="D1014" s="3">
        <v>45816</v>
      </c>
      <c r="E1014" s="3">
        <v>45819</v>
      </c>
      <c r="F1014" s="3">
        <v>45822</v>
      </c>
      <c r="G1014" s="2" t="s">
        <v>2631</v>
      </c>
      <c r="H1014" s="2">
        <v>18</v>
      </c>
      <c r="I1014" s="2">
        <f>IFERROR(INDEX(Raw_Orders!H1014:H3442,MATCH(B1014,Raw_Orders!A1014:A3442,0)),0)</f>
        <v>25</v>
      </c>
      <c r="J1014" s="2" t="str">
        <f t="shared" si="60"/>
        <v>No</v>
      </c>
      <c r="K1014" s="2" t="str">
        <f t="shared" si="61"/>
        <v>N0</v>
      </c>
      <c r="L1014" s="2" t="str">
        <f t="shared" si="63"/>
        <v>No</v>
      </c>
      <c r="M1014" s="2">
        <f t="shared" si="62"/>
        <v>0</v>
      </c>
    </row>
    <row r="1015" spans="1:13" x14ac:dyDescent="0.3">
      <c r="A1015" s="5" t="s">
        <v>3644</v>
      </c>
      <c r="B1015" s="5" t="s">
        <v>1164</v>
      </c>
      <c r="C1015" s="5" t="s">
        <v>2606</v>
      </c>
      <c r="D1015" s="6">
        <v>45817</v>
      </c>
      <c r="E1015" s="6">
        <v>45824</v>
      </c>
      <c r="F1015" s="6">
        <v>45823</v>
      </c>
      <c r="G1015" s="5" t="s">
        <v>2629</v>
      </c>
      <c r="H1015" s="5">
        <v>36</v>
      </c>
      <c r="I1015" s="5">
        <f>IFERROR(INDEX(Raw_Orders!H1015:H3443,MATCH(B1015,Raw_Orders!A1015:A3443,0)),0)</f>
        <v>36</v>
      </c>
      <c r="J1015" s="5" t="str">
        <f t="shared" si="60"/>
        <v>Yes</v>
      </c>
      <c r="K1015" s="5" t="str">
        <f t="shared" si="61"/>
        <v>Yes</v>
      </c>
      <c r="L1015" s="5" t="str">
        <f t="shared" si="63"/>
        <v>Yes</v>
      </c>
      <c r="M1015" s="5">
        <f t="shared" si="62"/>
        <v>1</v>
      </c>
    </row>
    <row r="1016" spans="1:13" x14ac:dyDescent="0.3">
      <c r="A1016" s="2" t="s">
        <v>3645</v>
      </c>
      <c r="B1016" s="2" t="s">
        <v>1165</v>
      </c>
      <c r="C1016" s="2" t="s">
        <v>2608</v>
      </c>
      <c r="D1016" s="3">
        <v>45818</v>
      </c>
      <c r="E1016" s="3">
        <v>45825</v>
      </c>
      <c r="F1016" s="3">
        <v>45832</v>
      </c>
      <c r="G1016" s="2" t="s">
        <v>2627</v>
      </c>
      <c r="H1016" s="2">
        <v>1</v>
      </c>
      <c r="I1016" s="2">
        <f>IFERROR(INDEX(Raw_Orders!H1016:H3444,MATCH(B1016,Raw_Orders!A1016:A3444,0)),0)</f>
        <v>1</v>
      </c>
      <c r="J1016" s="2" t="str">
        <f t="shared" si="60"/>
        <v>No</v>
      </c>
      <c r="K1016" s="2" t="str">
        <f t="shared" si="61"/>
        <v>Yes</v>
      </c>
      <c r="L1016" s="2" t="str">
        <f t="shared" si="63"/>
        <v>No</v>
      </c>
      <c r="M1016" s="2">
        <f t="shared" si="62"/>
        <v>0</v>
      </c>
    </row>
    <row r="1017" spans="1:13" x14ac:dyDescent="0.3">
      <c r="A1017" s="5" t="s">
        <v>3646</v>
      </c>
      <c r="B1017" s="5" t="s">
        <v>1166</v>
      </c>
      <c r="C1017" s="5" t="s">
        <v>2608</v>
      </c>
      <c r="D1017" s="6">
        <v>45818</v>
      </c>
      <c r="E1017" s="6">
        <v>45823</v>
      </c>
      <c r="F1017" s="6">
        <v>45831</v>
      </c>
      <c r="G1017" s="5" t="s">
        <v>2631</v>
      </c>
      <c r="H1017" s="5">
        <v>13</v>
      </c>
      <c r="I1017" s="5">
        <f>IFERROR(INDEX(Raw_Orders!H1017:H3445,MATCH(B1017,Raw_Orders!A1017:A3445,0)),0)</f>
        <v>13</v>
      </c>
      <c r="J1017" s="5" t="str">
        <f t="shared" si="60"/>
        <v>No</v>
      </c>
      <c r="K1017" s="5" t="str">
        <f t="shared" si="61"/>
        <v>Yes</v>
      </c>
      <c r="L1017" s="5" t="str">
        <f t="shared" si="63"/>
        <v>No</v>
      </c>
      <c r="M1017" s="5">
        <f t="shared" si="62"/>
        <v>0</v>
      </c>
    </row>
    <row r="1018" spans="1:13" x14ac:dyDescent="0.3">
      <c r="A1018" s="2" t="s">
        <v>3647</v>
      </c>
      <c r="B1018" s="2" t="s">
        <v>1167</v>
      </c>
      <c r="C1018" s="2" t="s">
        <v>2611</v>
      </c>
      <c r="D1018" s="3">
        <v>45818</v>
      </c>
      <c r="E1018" s="3">
        <v>45820</v>
      </c>
      <c r="F1018" s="3">
        <v>45825</v>
      </c>
      <c r="G1018" s="2" t="s">
        <v>2631</v>
      </c>
      <c r="H1018" s="2">
        <v>15</v>
      </c>
      <c r="I1018" s="2">
        <f>IFERROR(INDEX(Raw_Orders!H1018:H3446,MATCH(B1018,Raw_Orders!A1018:A3446,0)),0)</f>
        <v>15</v>
      </c>
      <c r="J1018" s="2" t="str">
        <f t="shared" si="60"/>
        <v>No</v>
      </c>
      <c r="K1018" s="2" t="str">
        <f t="shared" si="61"/>
        <v>Yes</v>
      </c>
      <c r="L1018" s="2" t="str">
        <f t="shared" si="63"/>
        <v>No</v>
      </c>
      <c r="M1018" s="2">
        <f t="shared" si="62"/>
        <v>0</v>
      </c>
    </row>
    <row r="1019" spans="1:13" x14ac:dyDescent="0.3">
      <c r="A1019" s="5" t="s">
        <v>3648</v>
      </c>
      <c r="B1019" s="5" t="s">
        <v>1168</v>
      </c>
      <c r="C1019" s="5" t="s">
        <v>2611</v>
      </c>
      <c r="D1019" s="6">
        <v>45819</v>
      </c>
      <c r="E1019" s="6">
        <v>45826</v>
      </c>
      <c r="F1019" s="6">
        <v>45826</v>
      </c>
      <c r="G1019" s="5" t="s">
        <v>2633</v>
      </c>
      <c r="H1019" s="5">
        <v>46</v>
      </c>
      <c r="I1019" s="5">
        <f>IFERROR(INDEX(Raw_Orders!H1019:H3447,MATCH(B1019,Raw_Orders!A1019:A3447,0)),0)</f>
        <v>46</v>
      </c>
      <c r="J1019" s="5" t="str">
        <f t="shared" si="60"/>
        <v>Yes</v>
      </c>
      <c r="K1019" s="5" t="str">
        <f t="shared" si="61"/>
        <v>Yes</v>
      </c>
      <c r="L1019" s="5" t="str">
        <f t="shared" si="63"/>
        <v>Yes</v>
      </c>
      <c r="M1019" s="5">
        <f t="shared" si="62"/>
        <v>1</v>
      </c>
    </row>
    <row r="1020" spans="1:13" x14ac:dyDescent="0.3">
      <c r="A1020" s="2" t="s">
        <v>3649</v>
      </c>
      <c r="B1020" s="2" t="s">
        <v>1169</v>
      </c>
      <c r="C1020" s="2" t="s">
        <v>2601</v>
      </c>
      <c r="D1020" s="3">
        <v>45817</v>
      </c>
      <c r="E1020" s="3">
        <v>45825</v>
      </c>
      <c r="F1020" s="3">
        <v>45822</v>
      </c>
      <c r="G1020" s="2" t="s">
        <v>2631</v>
      </c>
      <c r="H1020" s="2">
        <v>3</v>
      </c>
      <c r="I1020" s="2">
        <f>IFERROR(INDEX(Raw_Orders!H1020:H3448,MATCH(B1020,Raw_Orders!A1020:A3448,0)),0)</f>
        <v>11</v>
      </c>
      <c r="J1020" s="2" t="str">
        <f t="shared" si="60"/>
        <v>Yes</v>
      </c>
      <c r="K1020" s="2" t="str">
        <f t="shared" si="61"/>
        <v>N0</v>
      </c>
      <c r="L1020" s="2" t="str">
        <f t="shared" si="63"/>
        <v>No</v>
      </c>
      <c r="M1020" s="2">
        <f t="shared" si="62"/>
        <v>0</v>
      </c>
    </row>
    <row r="1021" spans="1:13" x14ac:dyDescent="0.3">
      <c r="A1021" s="5" t="s">
        <v>3650</v>
      </c>
      <c r="B1021" s="5" t="s">
        <v>1170</v>
      </c>
      <c r="C1021" s="5" t="s">
        <v>2601</v>
      </c>
      <c r="D1021" s="6">
        <v>45817</v>
      </c>
      <c r="E1021" s="6">
        <v>45821</v>
      </c>
      <c r="F1021" s="6">
        <v>45822</v>
      </c>
      <c r="G1021" s="5" t="s">
        <v>2641</v>
      </c>
      <c r="H1021" s="5">
        <v>15</v>
      </c>
      <c r="I1021" s="5">
        <f>IFERROR(INDEX(Raw_Orders!H1021:H3449,MATCH(B1021,Raw_Orders!A1021:A3449,0)),0)</f>
        <v>15</v>
      </c>
      <c r="J1021" s="5" t="str">
        <f t="shared" si="60"/>
        <v>No</v>
      </c>
      <c r="K1021" s="5" t="str">
        <f t="shared" si="61"/>
        <v>Yes</v>
      </c>
      <c r="L1021" s="5" t="str">
        <f t="shared" si="63"/>
        <v>No</v>
      </c>
      <c r="M1021" s="5">
        <f t="shared" si="62"/>
        <v>0</v>
      </c>
    </row>
    <row r="1022" spans="1:13" x14ac:dyDescent="0.3">
      <c r="A1022" s="2" t="s">
        <v>3651</v>
      </c>
      <c r="B1022" s="2" t="s">
        <v>1171</v>
      </c>
      <c r="C1022" s="2" t="s">
        <v>2616</v>
      </c>
      <c r="D1022" s="3">
        <v>45817</v>
      </c>
      <c r="E1022" s="3">
        <v>45825</v>
      </c>
      <c r="F1022" s="3">
        <v>45832</v>
      </c>
      <c r="G1022" s="2" t="s">
        <v>2631</v>
      </c>
      <c r="H1022" s="2">
        <v>1</v>
      </c>
      <c r="I1022" s="2">
        <f>IFERROR(INDEX(Raw_Orders!H1022:H3450,MATCH(B1022,Raw_Orders!A1022:A3450,0)),0)</f>
        <v>5</v>
      </c>
      <c r="J1022" s="2" t="str">
        <f t="shared" si="60"/>
        <v>No</v>
      </c>
      <c r="K1022" s="2" t="str">
        <f t="shared" si="61"/>
        <v>N0</v>
      </c>
      <c r="L1022" s="2" t="str">
        <f t="shared" si="63"/>
        <v>No</v>
      </c>
      <c r="M1022" s="2">
        <f t="shared" si="62"/>
        <v>0</v>
      </c>
    </row>
    <row r="1023" spans="1:13" x14ac:dyDescent="0.3">
      <c r="A1023" s="5" t="s">
        <v>3652</v>
      </c>
      <c r="B1023" s="5" t="s">
        <v>1172</v>
      </c>
      <c r="C1023" s="5" t="s">
        <v>2616</v>
      </c>
      <c r="D1023" s="6">
        <v>45818</v>
      </c>
      <c r="E1023" s="6">
        <v>45826</v>
      </c>
      <c r="F1023" s="6">
        <v>45833</v>
      </c>
      <c r="G1023" s="5" t="s">
        <v>2627</v>
      </c>
      <c r="H1023" s="5">
        <v>40</v>
      </c>
      <c r="I1023" s="5">
        <f>IFERROR(INDEX(Raw_Orders!H1023:H3451,MATCH(B1023,Raw_Orders!A1023:A3451,0)),0)</f>
        <v>40</v>
      </c>
      <c r="J1023" s="5" t="str">
        <f t="shared" si="60"/>
        <v>No</v>
      </c>
      <c r="K1023" s="5" t="str">
        <f t="shared" si="61"/>
        <v>Yes</v>
      </c>
      <c r="L1023" s="5" t="str">
        <f t="shared" si="63"/>
        <v>No</v>
      </c>
      <c r="M1023" s="5">
        <f t="shared" si="62"/>
        <v>0</v>
      </c>
    </row>
    <row r="1024" spans="1:13" x14ac:dyDescent="0.3">
      <c r="A1024" s="2" t="s">
        <v>3653</v>
      </c>
      <c r="B1024" s="2" t="s">
        <v>1173</v>
      </c>
      <c r="C1024" s="2" t="s">
        <v>2606</v>
      </c>
      <c r="D1024" s="3">
        <v>45818</v>
      </c>
      <c r="E1024" s="3">
        <v>45824</v>
      </c>
      <c r="F1024" s="3">
        <v>45824</v>
      </c>
      <c r="G1024" s="2" t="s">
        <v>2641</v>
      </c>
      <c r="H1024" s="2">
        <v>44</v>
      </c>
      <c r="I1024" s="2">
        <f>IFERROR(INDEX(Raw_Orders!H1024:H3452,MATCH(B1024,Raw_Orders!A1024:A3452,0)),0)</f>
        <v>44</v>
      </c>
      <c r="J1024" s="2" t="str">
        <f t="shared" si="60"/>
        <v>Yes</v>
      </c>
      <c r="K1024" s="2" t="str">
        <f t="shared" si="61"/>
        <v>Yes</v>
      </c>
      <c r="L1024" s="2" t="str">
        <f t="shared" si="63"/>
        <v>Yes</v>
      </c>
      <c r="M1024" s="2">
        <f t="shared" si="62"/>
        <v>1</v>
      </c>
    </row>
    <row r="1025" spans="1:13" x14ac:dyDescent="0.3">
      <c r="A1025" s="5" t="s">
        <v>3654</v>
      </c>
      <c r="B1025" s="5" t="s">
        <v>1174</v>
      </c>
      <c r="C1025" s="5" t="s">
        <v>2608</v>
      </c>
      <c r="D1025" s="6">
        <v>45819</v>
      </c>
      <c r="E1025" s="6">
        <v>45823</v>
      </c>
      <c r="F1025" s="6">
        <v>45831</v>
      </c>
      <c r="G1025" s="5" t="s">
        <v>2633</v>
      </c>
      <c r="H1025" s="5">
        <v>17</v>
      </c>
      <c r="I1025" s="5">
        <f>IFERROR(INDEX(Raw_Orders!H1025:H3453,MATCH(B1025,Raw_Orders!A1025:A3453,0)),0)</f>
        <v>21</v>
      </c>
      <c r="J1025" s="5" t="str">
        <f t="shared" si="60"/>
        <v>No</v>
      </c>
      <c r="K1025" s="5" t="str">
        <f t="shared" si="61"/>
        <v>N0</v>
      </c>
      <c r="L1025" s="5" t="str">
        <f t="shared" si="63"/>
        <v>No</v>
      </c>
      <c r="M1025" s="5">
        <f t="shared" si="62"/>
        <v>0</v>
      </c>
    </row>
    <row r="1026" spans="1:13" x14ac:dyDescent="0.3">
      <c r="A1026" s="2" t="s">
        <v>3655</v>
      </c>
      <c r="B1026" s="2" t="s">
        <v>1175</v>
      </c>
      <c r="C1026" s="2" t="s">
        <v>2598</v>
      </c>
      <c r="D1026" s="3">
        <v>45820</v>
      </c>
      <c r="E1026" s="3">
        <v>45827</v>
      </c>
      <c r="F1026" s="3">
        <v>45834</v>
      </c>
      <c r="G1026" s="2" t="s">
        <v>2629</v>
      </c>
      <c r="H1026" s="2">
        <v>10</v>
      </c>
      <c r="I1026" s="2">
        <f>IFERROR(INDEX(Raw_Orders!H1026:H3454,MATCH(B1026,Raw_Orders!A1026:A3454,0)),0)</f>
        <v>10</v>
      </c>
      <c r="J1026" s="2" t="str">
        <f t="shared" si="60"/>
        <v>No</v>
      </c>
      <c r="K1026" s="2" t="str">
        <f t="shared" si="61"/>
        <v>Yes</v>
      </c>
      <c r="L1026" s="2" t="str">
        <f t="shared" si="63"/>
        <v>No</v>
      </c>
      <c r="M1026" s="2">
        <f t="shared" si="62"/>
        <v>0</v>
      </c>
    </row>
    <row r="1027" spans="1:13" x14ac:dyDescent="0.3">
      <c r="A1027" s="5" t="s">
        <v>3656</v>
      </c>
      <c r="B1027" s="5" t="s">
        <v>1176</v>
      </c>
      <c r="C1027" s="5" t="s">
        <v>2601</v>
      </c>
      <c r="D1027" s="6">
        <v>45818</v>
      </c>
      <c r="E1027" s="6">
        <v>45825</v>
      </c>
      <c r="F1027" s="6">
        <v>45824</v>
      </c>
      <c r="G1027" s="5" t="s">
        <v>2629</v>
      </c>
      <c r="H1027" s="5">
        <v>22</v>
      </c>
      <c r="I1027" s="5">
        <f>IFERROR(INDEX(Raw_Orders!H1027:H3455,MATCH(B1027,Raw_Orders!A1027:A3455,0)),0)</f>
        <v>22</v>
      </c>
      <c r="J1027" s="5" t="str">
        <f t="shared" ref="J1027:J1090" si="64">IF(E1027&gt;=F1027,"Yes","No")</f>
        <v>Yes</v>
      </c>
      <c r="K1027" s="5" t="str">
        <f t="shared" ref="K1027:K1090" si="65">IF(H1027&gt;=I1027,"Yes","N0")</f>
        <v>Yes</v>
      </c>
      <c r="L1027" s="5" t="str">
        <f t="shared" si="63"/>
        <v>Yes</v>
      </c>
      <c r="M1027" s="5">
        <f t="shared" ref="M1027:M1090" si="66">IF(L1027="Yes",1,0)</f>
        <v>1</v>
      </c>
    </row>
    <row r="1028" spans="1:13" x14ac:dyDescent="0.3">
      <c r="A1028" s="2" t="s">
        <v>3657</v>
      </c>
      <c r="B1028" s="2" t="s">
        <v>1177</v>
      </c>
      <c r="C1028" s="2" t="s">
        <v>2601</v>
      </c>
      <c r="D1028" s="3">
        <v>45819</v>
      </c>
      <c r="E1028" s="3">
        <v>45828</v>
      </c>
      <c r="F1028" s="3">
        <v>45824</v>
      </c>
      <c r="G1028" s="2" t="s">
        <v>2633</v>
      </c>
      <c r="H1028" s="2">
        <v>8</v>
      </c>
      <c r="I1028" s="2">
        <f>IFERROR(INDEX(Raw_Orders!H1028:H3456,MATCH(B1028,Raw_Orders!A1028:A3456,0)),0)</f>
        <v>8</v>
      </c>
      <c r="J1028" s="2" t="str">
        <f t="shared" si="64"/>
        <v>Yes</v>
      </c>
      <c r="K1028" s="2" t="str">
        <f t="shared" si="65"/>
        <v>Yes</v>
      </c>
      <c r="L1028" s="2" t="str">
        <f t="shared" ref="L1028:L1091" si="67">IF(AND(J1028="Yes",K1028="Yes"),"Yes","No")</f>
        <v>Yes</v>
      </c>
      <c r="M1028" s="2">
        <f t="shared" si="66"/>
        <v>1</v>
      </c>
    </row>
    <row r="1029" spans="1:13" x14ac:dyDescent="0.3">
      <c r="A1029" s="5" t="s">
        <v>3658</v>
      </c>
      <c r="B1029" s="5" t="s">
        <v>1178</v>
      </c>
      <c r="C1029" s="5" t="s">
        <v>2606</v>
      </c>
      <c r="D1029" s="6">
        <v>45818</v>
      </c>
      <c r="E1029" s="6">
        <v>45828</v>
      </c>
      <c r="F1029" s="6">
        <v>45824</v>
      </c>
      <c r="G1029" s="5" t="s">
        <v>2633</v>
      </c>
      <c r="H1029" s="5">
        <v>49</v>
      </c>
      <c r="I1029" s="5">
        <f>IFERROR(INDEX(Raw_Orders!H1029:H3457,MATCH(B1029,Raw_Orders!A1029:A3457,0)),0)</f>
        <v>49</v>
      </c>
      <c r="J1029" s="5" t="str">
        <f t="shared" si="64"/>
        <v>Yes</v>
      </c>
      <c r="K1029" s="5" t="str">
        <f t="shared" si="65"/>
        <v>Yes</v>
      </c>
      <c r="L1029" s="5" t="str">
        <f t="shared" si="67"/>
        <v>Yes</v>
      </c>
      <c r="M1029" s="5">
        <f t="shared" si="66"/>
        <v>1</v>
      </c>
    </row>
    <row r="1030" spans="1:13" x14ac:dyDescent="0.3">
      <c r="A1030" s="2" t="s">
        <v>3659</v>
      </c>
      <c r="B1030" s="2" t="s">
        <v>1179</v>
      </c>
      <c r="C1030" s="2" t="s">
        <v>2606</v>
      </c>
      <c r="D1030" s="3">
        <v>45819</v>
      </c>
      <c r="E1030" s="3">
        <v>45827</v>
      </c>
      <c r="F1030" s="3">
        <v>45825</v>
      </c>
      <c r="G1030" s="2" t="s">
        <v>2629</v>
      </c>
      <c r="H1030" s="2">
        <v>23</v>
      </c>
      <c r="I1030" s="2">
        <f>IFERROR(INDEX(Raw_Orders!H1030:H3458,MATCH(B1030,Raw_Orders!A1030:A3458,0)),0)</f>
        <v>23</v>
      </c>
      <c r="J1030" s="2" t="str">
        <f t="shared" si="64"/>
        <v>Yes</v>
      </c>
      <c r="K1030" s="2" t="str">
        <f t="shared" si="65"/>
        <v>Yes</v>
      </c>
      <c r="L1030" s="2" t="str">
        <f t="shared" si="67"/>
        <v>Yes</v>
      </c>
      <c r="M1030" s="2">
        <f t="shared" si="66"/>
        <v>1</v>
      </c>
    </row>
    <row r="1031" spans="1:13" x14ac:dyDescent="0.3">
      <c r="A1031" s="5" t="s">
        <v>3660</v>
      </c>
      <c r="B1031" s="5" t="s">
        <v>1180</v>
      </c>
      <c r="C1031" s="5" t="s">
        <v>2608</v>
      </c>
      <c r="D1031" s="6">
        <v>45820</v>
      </c>
      <c r="E1031" s="6">
        <v>45823</v>
      </c>
      <c r="F1031" s="6">
        <v>45833</v>
      </c>
      <c r="G1031" s="5" t="s">
        <v>2627</v>
      </c>
      <c r="H1031" s="5">
        <v>13</v>
      </c>
      <c r="I1031" s="5">
        <f>IFERROR(INDEX(Raw_Orders!H1031:H3459,MATCH(B1031,Raw_Orders!A1031:A3459,0)),0)</f>
        <v>13</v>
      </c>
      <c r="J1031" s="5" t="str">
        <f t="shared" si="64"/>
        <v>No</v>
      </c>
      <c r="K1031" s="5" t="str">
        <f t="shared" si="65"/>
        <v>Yes</v>
      </c>
      <c r="L1031" s="5" t="str">
        <f t="shared" si="67"/>
        <v>No</v>
      </c>
      <c r="M1031" s="5">
        <f t="shared" si="66"/>
        <v>0</v>
      </c>
    </row>
    <row r="1032" spans="1:13" x14ac:dyDescent="0.3">
      <c r="A1032" s="2" t="s">
        <v>3661</v>
      </c>
      <c r="B1032" s="2" t="s">
        <v>1181</v>
      </c>
      <c r="C1032" s="2" t="s">
        <v>2598</v>
      </c>
      <c r="D1032" s="3">
        <v>45821</v>
      </c>
      <c r="E1032" s="3">
        <v>45825</v>
      </c>
      <c r="F1032" s="3">
        <v>45838</v>
      </c>
      <c r="G1032" s="2" t="s">
        <v>2631</v>
      </c>
      <c r="H1032" s="2">
        <v>25</v>
      </c>
      <c r="I1032" s="2">
        <f>IFERROR(INDEX(Raw_Orders!H1032:H3460,MATCH(B1032,Raw_Orders!A1032:A3460,0)),0)</f>
        <v>25</v>
      </c>
      <c r="J1032" s="2" t="str">
        <f t="shared" si="64"/>
        <v>No</v>
      </c>
      <c r="K1032" s="2" t="str">
        <f t="shared" si="65"/>
        <v>Yes</v>
      </c>
      <c r="L1032" s="2" t="str">
        <f t="shared" si="67"/>
        <v>No</v>
      </c>
      <c r="M1032" s="2">
        <f t="shared" si="66"/>
        <v>0</v>
      </c>
    </row>
    <row r="1033" spans="1:13" x14ac:dyDescent="0.3">
      <c r="A1033" s="5" t="s">
        <v>3662</v>
      </c>
      <c r="B1033" s="5" t="s">
        <v>1182</v>
      </c>
      <c r="C1033" s="5" t="s">
        <v>2601</v>
      </c>
      <c r="D1033" s="6">
        <v>45821</v>
      </c>
      <c r="E1033" s="6">
        <v>45825</v>
      </c>
      <c r="F1033" s="6">
        <v>45826</v>
      </c>
      <c r="G1033" s="5" t="s">
        <v>2633</v>
      </c>
      <c r="H1033" s="5">
        <v>11</v>
      </c>
      <c r="I1033" s="5">
        <f>IFERROR(INDEX(Raw_Orders!H1033:H3461,MATCH(B1033,Raw_Orders!A1033:A3461,0)),0)</f>
        <v>11</v>
      </c>
      <c r="J1033" s="5" t="str">
        <f t="shared" si="64"/>
        <v>No</v>
      </c>
      <c r="K1033" s="5" t="str">
        <f t="shared" si="65"/>
        <v>Yes</v>
      </c>
      <c r="L1033" s="5" t="str">
        <f t="shared" si="67"/>
        <v>No</v>
      </c>
      <c r="M1033" s="5">
        <f t="shared" si="66"/>
        <v>0</v>
      </c>
    </row>
    <row r="1034" spans="1:13" x14ac:dyDescent="0.3">
      <c r="A1034" s="2" t="s">
        <v>3663</v>
      </c>
      <c r="B1034" s="2" t="s">
        <v>1183</v>
      </c>
      <c r="C1034" s="2" t="s">
        <v>2614</v>
      </c>
      <c r="D1034" s="3">
        <v>45819</v>
      </c>
      <c r="E1034" s="3">
        <v>45826</v>
      </c>
      <c r="F1034" s="3">
        <v>45833</v>
      </c>
      <c r="G1034" s="2" t="s">
        <v>2633</v>
      </c>
      <c r="H1034" s="2">
        <v>15</v>
      </c>
      <c r="I1034" s="2">
        <f>IFERROR(INDEX(Raw_Orders!H1034:H3462,MATCH(B1034,Raw_Orders!A1034:A3462,0)),0)</f>
        <v>15</v>
      </c>
      <c r="J1034" s="2" t="str">
        <f t="shared" si="64"/>
        <v>No</v>
      </c>
      <c r="K1034" s="2" t="str">
        <f t="shared" si="65"/>
        <v>Yes</v>
      </c>
      <c r="L1034" s="2" t="str">
        <f t="shared" si="67"/>
        <v>No</v>
      </c>
      <c r="M1034" s="2">
        <f t="shared" si="66"/>
        <v>0</v>
      </c>
    </row>
    <row r="1035" spans="1:13" x14ac:dyDescent="0.3">
      <c r="A1035" s="5" t="s">
        <v>3664</v>
      </c>
      <c r="B1035" s="5" t="s">
        <v>1184</v>
      </c>
      <c r="C1035" s="5" t="s">
        <v>2604</v>
      </c>
      <c r="D1035" s="6">
        <v>45819</v>
      </c>
      <c r="E1035" s="6">
        <v>45822</v>
      </c>
      <c r="F1035" s="6">
        <v>45824</v>
      </c>
      <c r="G1035" s="5" t="s">
        <v>2631</v>
      </c>
      <c r="H1035" s="5">
        <v>50</v>
      </c>
      <c r="I1035" s="5">
        <f>IFERROR(INDEX(Raw_Orders!H1035:H3463,MATCH(B1035,Raw_Orders!A1035:A3463,0)),0)</f>
        <v>50</v>
      </c>
      <c r="J1035" s="5" t="str">
        <f t="shared" si="64"/>
        <v>No</v>
      </c>
      <c r="K1035" s="5" t="str">
        <f t="shared" si="65"/>
        <v>Yes</v>
      </c>
      <c r="L1035" s="5" t="str">
        <f t="shared" si="67"/>
        <v>No</v>
      </c>
      <c r="M1035" s="5">
        <f t="shared" si="66"/>
        <v>0</v>
      </c>
    </row>
    <row r="1036" spans="1:13" x14ac:dyDescent="0.3">
      <c r="A1036" s="2" t="s">
        <v>3665</v>
      </c>
      <c r="B1036" s="2" t="s">
        <v>1185</v>
      </c>
      <c r="C1036" s="2" t="s">
        <v>2604</v>
      </c>
      <c r="D1036" s="3">
        <v>45819</v>
      </c>
      <c r="E1036" s="3">
        <v>45826</v>
      </c>
      <c r="F1036" s="3">
        <v>45823</v>
      </c>
      <c r="G1036" s="2" t="s">
        <v>2631</v>
      </c>
      <c r="H1036" s="2">
        <v>31</v>
      </c>
      <c r="I1036" s="2">
        <f>IFERROR(INDEX(Raw_Orders!H1036:H3464,MATCH(B1036,Raw_Orders!A1036:A3464,0)),0)</f>
        <v>31</v>
      </c>
      <c r="J1036" s="2" t="str">
        <f t="shared" si="64"/>
        <v>Yes</v>
      </c>
      <c r="K1036" s="2" t="str">
        <f t="shared" si="65"/>
        <v>Yes</v>
      </c>
      <c r="L1036" s="2" t="str">
        <f t="shared" si="67"/>
        <v>Yes</v>
      </c>
      <c r="M1036" s="2">
        <f t="shared" si="66"/>
        <v>1</v>
      </c>
    </row>
    <row r="1037" spans="1:13" x14ac:dyDescent="0.3">
      <c r="A1037" s="5" t="s">
        <v>3666</v>
      </c>
      <c r="B1037" s="5" t="s">
        <v>1186</v>
      </c>
      <c r="C1037" s="5" t="s">
        <v>2606</v>
      </c>
      <c r="D1037" s="6">
        <v>45821</v>
      </c>
      <c r="E1037" s="6">
        <v>45829</v>
      </c>
      <c r="F1037" s="6">
        <v>45827</v>
      </c>
      <c r="G1037" s="5" t="s">
        <v>2627</v>
      </c>
      <c r="H1037" s="5">
        <v>43</v>
      </c>
      <c r="I1037" s="5">
        <f>IFERROR(INDEX(Raw_Orders!H1037:H3465,MATCH(B1037,Raw_Orders!A1037:A3465,0)),0)</f>
        <v>43</v>
      </c>
      <c r="J1037" s="5" t="str">
        <f t="shared" si="64"/>
        <v>Yes</v>
      </c>
      <c r="K1037" s="5" t="str">
        <f t="shared" si="65"/>
        <v>Yes</v>
      </c>
      <c r="L1037" s="5" t="str">
        <f t="shared" si="67"/>
        <v>Yes</v>
      </c>
      <c r="M1037" s="5">
        <f t="shared" si="66"/>
        <v>1</v>
      </c>
    </row>
    <row r="1038" spans="1:13" x14ac:dyDescent="0.3">
      <c r="A1038" s="2" t="s">
        <v>3667</v>
      </c>
      <c r="B1038" s="2" t="s">
        <v>1187</v>
      </c>
      <c r="C1038" s="2" t="s">
        <v>2608</v>
      </c>
      <c r="D1038" s="3">
        <v>45819</v>
      </c>
      <c r="E1038" s="3">
        <v>45828</v>
      </c>
      <c r="F1038" s="3">
        <v>45832</v>
      </c>
      <c r="G1038" s="2" t="s">
        <v>2633</v>
      </c>
      <c r="H1038" s="2">
        <v>11</v>
      </c>
      <c r="I1038" s="2">
        <f>IFERROR(INDEX(Raw_Orders!H1038:H3466,MATCH(B1038,Raw_Orders!A1038:A3466,0)),0)</f>
        <v>11</v>
      </c>
      <c r="J1038" s="2" t="str">
        <f t="shared" si="64"/>
        <v>No</v>
      </c>
      <c r="K1038" s="2" t="str">
        <f t="shared" si="65"/>
        <v>Yes</v>
      </c>
      <c r="L1038" s="2" t="str">
        <f t="shared" si="67"/>
        <v>No</v>
      </c>
      <c r="M1038" s="2">
        <f t="shared" si="66"/>
        <v>0</v>
      </c>
    </row>
    <row r="1039" spans="1:13" x14ac:dyDescent="0.3">
      <c r="A1039" s="5" t="s">
        <v>3668</v>
      </c>
      <c r="B1039" s="5" t="s">
        <v>1188</v>
      </c>
      <c r="C1039" s="5" t="s">
        <v>2608</v>
      </c>
      <c r="D1039" s="6">
        <v>45821</v>
      </c>
      <c r="E1039" s="6">
        <v>45824</v>
      </c>
      <c r="F1039" s="6">
        <v>45835</v>
      </c>
      <c r="G1039" s="5" t="s">
        <v>2631</v>
      </c>
      <c r="H1039" s="5">
        <v>4</v>
      </c>
      <c r="I1039" s="5">
        <f>IFERROR(INDEX(Raw_Orders!H1039:H3467,MATCH(B1039,Raw_Orders!A1039:A3467,0)),0)</f>
        <v>4</v>
      </c>
      <c r="J1039" s="5" t="str">
        <f t="shared" si="64"/>
        <v>No</v>
      </c>
      <c r="K1039" s="5" t="str">
        <f t="shared" si="65"/>
        <v>Yes</v>
      </c>
      <c r="L1039" s="5" t="str">
        <f t="shared" si="67"/>
        <v>No</v>
      </c>
      <c r="M1039" s="5">
        <f t="shared" si="66"/>
        <v>0</v>
      </c>
    </row>
    <row r="1040" spans="1:13" x14ac:dyDescent="0.3">
      <c r="A1040" s="2" t="s">
        <v>3669</v>
      </c>
      <c r="B1040" s="2" t="s">
        <v>1189</v>
      </c>
      <c r="C1040" s="2" t="s">
        <v>2598</v>
      </c>
      <c r="D1040" s="3">
        <v>45822</v>
      </c>
      <c r="E1040" s="3">
        <v>45827</v>
      </c>
      <c r="F1040" s="3">
        <v>45837</v>
      </c>
      <c r="G1040" s="2" t="s">
        <v>2627</v>
      </c>
      <c r="H1040" s="2">
        <v>8</v>
      </c>
      <c r="I1040" s="2">
        <f>IFERROR(INDEX(Raw_Orders!H1040:H3468,MATCH(B1040,Raw_Orders!A1040:A3468,0)),0)</f>
        <v>13</v>
      </c>
      <c r="J1040" s="2" t="str">
        <f t="shared" si="64"/>
        <v>No</v>
      </c>
      <c r="K1040" s="2" t="str">
        <f t="shared" si="65"/>
        <v>N0</v>
      </c>
      <c r="L1040" s="2" t="str">
        <f t="shared" si="67"/>
        <v>No</v>
      </c>
      <c r="M1040" s="2">
        <f t="shared" si="66"/>
        <v>0</v>
      </c>
    </row>
    <row r="1041" spans="1:13" x14ac:dyDescent="0.3">
      <c r="A1041" s="5" t="s">
        <v>3670</v>
      </c>
      <c r="B1041" s="5" t="s">
        <v>1190</v>
      </c>
      <c r="C1041" s="5" t="s">
        <v>2598</v>
      </c>
      <c r="D1041" s="6">
        <v>45820</v>
      </c>
      <c r="E1041" s="6">
        <v>45824</v>
      </c>
      <c r="F1041" s="6">
        <v>45833</v>
      </c>
      <c r="G1041" s="5" t="s">
        <v>2629</v>
      </c>
      <c r="H1041" s="5">
        <v>21</v>
      </c>
      <c r="I1041" s="5">
        <f>IFERROR(INDEX(Raw_Orders!H1041:H3469,MATCH(B1041,Raw_Orders!A1041:A3469,0)),0)</f>
        <v>21</v>
      </c>
      <c r="J1041" s="5" t="str">
        <f t="shared" si="64"/>
        <v>No</v>
      </c>
      <c r="K1041" s="5" t="str">
        <f t="shared" si="65"/>
        <v>Yes</v>
      </c>
      <c r="L1041" s="5" t="str">
        <f t="shared" si="67"/>
        <v>No</v>
      </c>
      <c r="M1041" s="5">
        <f t="shared" si="66"/>
        <v>0</v>
      </c>
    </row>
    <row r="1042" spans="1:13" x14ac:dyDescent="0.3">
      <c r="A1042" s="2" t="s">
        <v>3671</v>
      </c>
      <c r="B1042" s="2" t="s">
        <v>1191</v>
      </c>
      <c r="C1042" s="2" t="s">
        <v>2601</v>
      </c>
      <c r="D1042" s="3">
        <v>45821</v>
      </c>
      <c r="E1042" s="3">
        <v>45826</v>
      </c>
      <c r="F1042" s="3">
        <v>45825</v>
      </c>
      <c r="G1042" s="2" t="s">
        <v>2631</v>
      </c>
      <c r="H1042" s="2">
        <v>10</v>
      </c>
      <c r="I1042" s="2">
        <f>IFERROR(INDEX(Raw_Orders!H1042:H3470,MATCH(B1042,Raw_Orders!A1042:A3470,0)),0)</f>
        <v>10</v>
      </c>
      <c r="J1042" s="2" t="str">
        <f t="shared" si="64"/>
        <v>Yes</v>
      </c>
      <c r="K1042" s="2" t="str">
        <f t="shared" si="65"/>
        <v>Yes</v>
      </c>
      <c r="L1042" s="2" t="str">
        <f t="shared" si="67"/>
        <v>Yes</v>
      </c>
      <c r="M1042" s="2">
        <f t="shared" si="66"/>
        <v>1</v>
      </c>
    </row>
    <row r="1043" spans="1:13" x14ac:dyDescent="0.3">
      <c r="A1043" s="5" t="s">
        <v>3672</v>
      </c>
      <c r="B1043" s="5" t="s">
        <v>1192</v>
      </c>
      <c r="C1043" s="5" t="s">
        <v>2614</v>
      </c>
      <c r="D1043" s="6">
        <v>45820</v>
      </c>
      <c r="E1043" s="6">
        <v>45825</v>
      </c>
      <c r="F1043" s="6">
        <v>45834</v>
      </c>
      <c r="G1043" s="5" t="s">
        <v>2641</v>
      </c>
      <c r="H1043" s="5">
        <v>22</v>
      </c>
      <c r="I1043" s="5">
        <f>IFERROR(INDEX(Raw_Orders!H1043:H3471,MATCH(B1043,Raw_Orders!A1043:A3471,0)),0)</f>
        <v>22</v>
      </c>
      <c r="J1043" s="5" t="str">
        <f t="shared" si="64"/>
        <v>No</v>
      </c>
      <c r="K1043" s="5" t="str">
        <f t="shared" si="65"/>
        <v>Yes</v>
      </c>
      <c r="L1043" s="5" t="str">
        <f t="shared" si="67"/>
        <v>No</v>
      </c>
      <c r="M1043" s="5">
        <f t="shared" si="66"/>
        <v>0</v>
      </c>
    </row>
    <row r="1044" spans="1:13" x14ac:dyDescent="0.3">
      <c r="A1044" s="2" t="s">
        <v>3673</v>
      </c>
      <c r="B1044" s="2" t="s">
        <v>1193</v>
      </c>
      <c r="C1044" s="2" t="s">
        <v>2614</v>
      </c>
      <c r="D1044" s="3">
        <v>45820</v>
      </c>
      <c r="E1044" s="3">
        <v>45830</v>
      </c>
      <c r="F1044" s="3">
        <v>45834</v>
      </c>
      <c r="G1044" s="2" t="s">
        <v>2631</v>
      </c>
      <c r="H1044" s="2">
        <v>13</v>
      </c>
      <c r="I1044" s="2">
        <f>IFERROR(INDEX(Raw_Orders!H1044:H3472,MATCH(B1044,Raw_Orders!A1044:A3472,0)),0)</f>
        <v>13</v>
      </c>
      <c r="J1044" s="2" t="str">
        <f t="shared" si="64"/>
        <v>No</v>
      </c>
      <c r="K1044" s="2" t="str">
        <f t="shared" si="65"/>
        <v>Yes</v>
      </c>
      <c r="L1044" s="2" t="str">
        <f t="shared" si="67"/>
        <v>No</v>
      </c>
      <c r="M1044" s="2">
        <f t="shared" si="66"/>
        <v>0</v>
      </c>
    </row>
    <row r="1045" spans="1:13" x14ac:dyDescent="0.3">
      <c r="A1045" s="5" t="s">
        <v>3674</v>
      </c>
      <c r="B1045" s="5" t="s">
        <v>1194</v>
      </c>
      <c r="C1045" s="5" t="s">
        <v>2616</v>
      </c>
      <c r="D1045" s="6">
        <v>45822</v>
      </c>
      <c r="E1045" s="6">
        <v>45829</v>
      </c>
      <c r="F1045" s="6">
        <v>45837</v>
      </c>
      <c r="G1045" s="5" t="s">
        <v>2641</v>
      </c>
      <c r="H1045" s="5">
        <v>59</v>
      </c>
      <c r="I1045" s="5">
        <f>IFERROR(INDEX(Raw_Orders!H1045:H3473,MATCH(B1045,Raw_Orders!A1045:A3473,0)),0)</f>
        <v>59</v>
      </c>
      <c r="J1045" s="5" t="str">
        <f t="shared" si="64"/>
        <v>No</v>
      </c>
      <c r="K1045" s="5" t="str">
        <f t="shared" si="65"/>
        <v>Yes</v>
      </c>
      <c r="L1045" s="5" t="str">
        <f t="shared" si="67"/>
        <v>No</v>
      </c>
      <c r="M1045" s="5">
        <f t="shared" si="66"/>
        <v>0</v>
      </c>
    </row>
    <row r="1046" spans="1:13" x14ac:dyDescent="0.3">
      <c r="A1046" s="2" t="s">
        <v>3675</v>
      </c>
      <c r="B1046" s="2" t="s">
        <v>1195</v>
      </c>
      <c r="C1046" s="2" t="s">
        <v>2606</v>
      </c>
      <c r="D1046" s="3">
        <v>45822</v>
      </c>
      <c r="E1046" s="3">
        <v>45823</v>
      </c>
      <c r="F1046" s="3">
        <v>45827</v>
      </c>
      <c r="G1046" s="2" t="s">
        <v>2631</v>
      </c>
      <c r="H1046" s="2">
        <v>22</v>
      </c>
      <c r="I1046" s="2">
        <f>IFERROR(INDEX(Raw_Orders!H1046:H3474,MATCH(B1046,Raw_Orders!A1046:A3474,0)),0)</f>
        <v>22</v>
      </c>
      <c r="J1046" s="2" t="str">
        <f t="shared" si="64"/>
        <v>No</v>
      </c>
      <c r="K1046" s="2" t="str">
        <f t="shared" si="65"/>
        <v>Yes</v>
      </c>
      <c r="L1046" s="2" t="str">
        <f t="shared" si="67"/>
        <v>No</v>
      </c>
      <c r="M1046" s="2">
        <f t="shared" si="66"/>
        <v>0</v>
      </c>
    </row>
    <row r="1047" spans="1:13" x14ac:dyDescent="0.3">
      <c r="A1047" s="5" t="s">
        <v>3676</v>
      </c>
      <c r="B1047" s="5" t="s">
        <v>1196</v>
      </c>
      <c r="C1047" s="5" t="s">
        <v>2611</v>
      </c>
      <c r="D1047" s="6">
        <v>45822</v>
      </c>
      <c r="E1047" s="6">
        <v>45830</v>
      </c>
      <c r="F1047" s="6">
        <v>45828</v>
      </c>
      <c r="G1047" s="5" t="s">
        <v>2627</v>
      </c>
      <c r="H1047" s="5">
        <v>13</v>
      </c>
      <c r="I1047" s="5">
        <f>IFERROR(INDEX(Raw_Orders!H1047:H3475,MATCH(B1047,Raw_Orders!A1047:A3475,0)),0)</f>
        <v>13</v>
      </c>
      <c r="J1047" s="5" t="str">
        <f t="shared" si="64"/>
        <v>Yes</v>
      </c>
      <c r="K1047" s="5" t="str">
        <f t="shared" si="65"/>
        <v>Yes</v>
      </c>
      <c r="L1047" s="5" t="str">
        <f t="shared" si="67"/>
        <v>Yes</v>
      </c>
      <c r="M1047" s="5">
        <f t="shared" si="66"/>
        <v>1</v>
      </c>
    </row>
    <row r="1048" spans="1:13" x14ac:dyDescent="0.3">
      <c r="A1048" s="2" t="s">
        <v>3677</v>
      </c>
      <c r="B1048" s="2" t="s">
        <v>1197</v>
      </c>
      <c r="C1048" s="2" t="s">
        <v>2616</v>
      </c>
      <c r="D1048" s="3">
        <v>45823</v>
      </c>
      <c r="E1048" s="3">
        <v>45830</v>
      </c>
      <c r="F1048" s="3">
        <v>45838</v>
      </c>
      <c r="G1048" s="2" t="s">
        <v>2629</v>
      </c>
      <c r="H1048" s="2">
        <v>7</v>
      </c>
      <c r="I1048" s="2">
        <f>IFERROR(INDEX(Raw_Orders!H1048:H3476,MATCH(B1048,Raw_Orders!A1048:A3476,0)),0)</f>
        <v>13</v>
      </c>
      <c r="J1048" s="2" t="str">
        <f t="shared" si="64"/>
        <v>No</v>
      </c>
      <c r="K1048" s="2" t="str">
        <f t="shared" si="65"/>
        <v>N0</v>
      </c>
      <c r="L1048" s="2" t="str">
        <f t="shared" si="67"/>
        <v>No</v>
      </c>
      <c r="M1048" s="2">
        <f t="shared" si="66"/>
        <v>0</v>
      </c>
    </row>
    <row r="1049" spans="1:13" x14ac:dyDescent="0.3">
      <c r="A1049" s="5" t="s">
        <v>3678</v>
      </c>
      <c r="B1049" s="5" t="s">
        <v>1198</v>
      </c>
      <c r="C1049" s="5" t="s">
        <v>2616</v>
      </c>
      <c r="D1049" s="6">
        <v>45821</v>
      </c>
      <c r="E1049" s="6">
        <v>45827</v>
      </c>
      <c r="F1049" s="6">
        <v>45837</v>
      </c>
      <c r="G1049" s="5" t="s">
        <v>2641</v>
      </c>
      <c r="H1049" s="5">
        <v>41</v>
      </c>
      <c r="I1049" s="5">
        <f>IFERROR(INDEX(Raw_Orders!H1049:H3477,MATCH(B1049,Raw_Orders!A1049:A3477,0)),0)</f>
        <v>41</v>
      </c>
      <c r="J1049" s="5" t="str">
        <f t="shared" si="64"/>
        <v>No</v>
      </c>
      <c r="K1049" s="5" t="str">
        <f t="shared" si="65"/>
        <v>Yes</v>
      </c>
      <c r="L1049" s="5" t="str">
        <f t="shared" si="67"/>
        <v>No</v>
      </c>
      <c r="M1049" s="5">
        <f t="shared" si="66"/>
        <v>0</v>
      </c>
    </row>
    <row r="1050" spans="1:13" x14ac:dyDescent="0.3">
      <c r="A1050" s="2" t="s">
        <v>3679</v>
      </c>
      <c r="B1050" s="2" t="s">
        <v>1199</v>
      </c>
      <c r="C1050" s="2" t="s">
        <v>2606</v>
      </c>
      <c r="D1050" s="3">
        <v>45822</v>
      </c>
      <c r="E1050" s="3">
        <v>45830</v>
      </c>
      <c r="F1050" s="3">
        <v>45832</v>
      </c>
      <c r="G1050" s="2" t="s">
        <v>2633</v>
      </c>
      <c r="H1050" s="2">
        <v>27</v>
      </c>
      <c r="I1050" s="2">
        <f>IFERROR(INDEX(Raw_Orders!H1050:H3478,MATCH(B1050,Raw_Orders!A1050:A3478,0)),0)</f>
        <v>27</v>
      </c>
      <c r="J1050" s="2" t="str">
        <f t="shared" si="64"/>
        <v>No</v>
      </c>
      <c r="K1050" s="2" t="str">
        <f t="shared" si="65"/>
        <v>Yes</v>
      </c>
      <c r="L1050" s="2" t="str">
        <f t="shared" si="67"/>
        <v>No</v>
      </c>
      <c r="M1050" s="2">
        <f t="shared" si="66"/>
        <v>0</v>
      </c>
    </row>
    <row r="1051" spans="1:13" x14ac:dyDescent="0.3">
      <c r="A1051" s="5" t="s">
        <v>3680</v>
      </c>
      <c r="B1051" s="5" t="s">
        <v>1200</v>
      </c>
      <c r="C1051" s="5" t="s">
        <v>2608</v>
      </c>
      <c r="D1051" s="6">
        <v>45822</v>
      </c>
      <c r="E1051" s="6">
        <v>45829</v>
      </c>
      <c r="F1051" s="6">
        <v>45835</v>
      </c>
      <c r="G1051" s="5" t="s">
        <v>2631</v>
      </c>
      <c r="H1051" s="5">
        <v>10</v>
      </c>
      <c r="I1051" s="5">
        <f>IFERROR(INDEX(Raw_Orders!H1051:H3479,MATCH(B1051,Raw_Orders!A1051:A3479,0)),0)</f>
        <v>10</v>
      </c>
      <c r="J1051" s="5" t="str">
        <f t="shared" si="64"/>
        <v>No</v>
      </c>
      <c r="K1051" s="5" t="str">
        <f t="shared" si="65"/>
        <v>Yes</v>
      </c>
      <c r="L1051" s="5" t="str">
        <f t="shared" si="67"/>
        <v>No</v>
      </c>
      <c r="M1051" s="5">
        <f t="shared" si="66"/>
        <v>0</v>
      </c>
    </row>
    <row r="1052" spans="1:13" x14ac:dyDescent="0.3">
      <c r="A1052" s="2" t="s">
        <v>3681</v>
      </c>
      <c r="B1052" s="2" t="s">
        <v>1201</v>
      </c>
      <c r="C1052" s="2" t="s">
        <v>2601</v>
      </c>
      <c r="D1052" s="3">
        <v>45824</v>
      </c>
      <c r="E1052" s="3">
        <v>45830</v>
      </c>
      <c r="F1052" s="3">
        <v>45829</v>
      </c>
      <c r="G1052" s="2" t="s">
        <v>2641</v>
      </c>
      <c r="H1052" s="2">
        <v>7</v>
      </c>
      <c r="I1052" s="2">
        <f>IFERROR(INDEX(Raw_Orders!H1052:H3480,MATCH(B1052,Raw_Orders!A1052:A3480,0)),0)</f>
        <v>7</v>
      </c>
      <c r="J1052" s="2" t="str">
        <f t="shared" si="64"/>
        <v>Yes</v>
      </c>
      <c r="K1052" s="2" t="str">
        <f t="shared" si="65"/>
        <v>Yes</v>
      </c>
      <c r="L1052" s="2" t="str">
        <f t="shared" si="67"/>
        <v>Yes</v>
      </c>
      <c r="M1052" s="2">
        <f t="shared" si="66"/>
        <v>1</v>
      </c>
    </row>
    <row r="1053" spans="1:13" x14ac:dyDescent="0.3">
      <c r="A1053" s="5" t="s">
        <v>3682</v>
      </c>
      <c r="B1053" s="5" t="s">
        <v>1202</v>
      </c>
      <c r="C1053" s="5" t="s">
        <v>2616</v>
      </c>
      <c r="D1053" s="6">
        <v>45823</v>
      </c>
      <c r="E1053" s="6">
        <v>45832</v>
      </c>
      <c r="F1053" s="6">
        <v>45838</v>
      </c>
      <c r="G1053" s="5" t="s">
        <v>2641</v>
      </c>
      <c r="H1053" s="5">
        <v>12</v>
      </c>
      <c r="I1053" s="5">
        <f>IFERROR(INDEX(Raw_Orders!H1053:H3481,MATCH(B1053,Raw_Orders!A1053:A3481,0)),0)</f>
        <v>12</v>
      </c>
      <c r="J1053" s="5" t="str">
        <f t="shared" si="64"/>
        <v>No</v>
      </c>
      <c r="K1053" s="5" t="str">
        <f t="shared" si="65"/>
        <v>Yes</v>
      </c>
      <c r="L1053" s="5" t="str">
        <f t="shared" si="67"/>
        <v>No</v>
      </c>
      <c r="M1053" s="5">
        <f t="shared" si="66"/>
        <v>0</v>
      </c>
    </row>
    <row r="1054" spans="1:13" x14ac:dyDescent="0.3">
      <c r="A1054" s="2" t="s">
        <v>3683</v>
      </c>
      <c r="B1054" s="2" t="s">
        <v>1203</v>
      </c>
      <c r="C1054" s="2" t="s">
        <v>2606</v>
      </c>
      <c r="D1054" s="3">
        <v>45824</v>
      </c>
      <c r="E1054" s="3">
        <v>45826</v>
      </c>
      <c r="F1054" s="3">
        <v>45830</v>
      </c>
      <c r="G1054" s="2" t="s">
        <v>2627</v>
      </c>
      <c r="H1054" s="2">
        <v>41</v>
      </c>
      <c r="I1054" s="2">
        <f>IFERROR(INDEX(Raw_Orders!H1054:H3482,MATCH(B1054,Raw_Orders!A1054:A3482,0)),0)</f>
        <v>41</v>
      </c>
      <c r="J1054" s="2" t="str">
        <f t="shared" si="64"/>
        <v>No</v>
      </c>
      <c r="K1054" s="2" t="str">
        <f t="shared" si="65"/>
        <v>Yes</v>
      </c>
      <c r="L1054" s="2" t="str">
        <f t="shared" si="67"/>
        <v>No</v>
      </c>
      <c r="M1054" s="2">
        <f t="shared" si="66"/>
        <v>0</v>
      </c>
    </row>
    <row r="1055" spans="1:13" x14ac:dyDescent="0.3">
      <c r="A1055" s="5" t="s">
        <v>3684</v>
      </c>
      <c r="B1055" s="5" t="s">
        <v>1204</v>
      </c>
      <c r="C1055" s="5" t="s">
        <v>2606</v>
      </c>
      <c r="D1055" s="6">
        <v>45823</v>
      </c>
      <c r="E1055" s="6">
        <v>45827</v>
      </c>
      <c r="F1055" s="6">
        <v>45829</v>
      </c>
      <c r="G1055" s="5" t="s">
        <v>2629</v>
      </c>
      <c r="H1055" s="5">
        <v>49</v>
      </c>
      <c r="I1055" s="5">
        <f>IFERROR(INDEX(Raw_Orders!H1055:H3483,MATCH(B1055,Raw_Orders!A1055:A3483,0)),0)</f>
        <v>49</v>
      </c>
      <c r="J1055" s="5" t="str">
        <f t="shared" si="64"/>
        <v>No</v>
      </c>
      <c r="K1055" s="5" t="str">
        <f t="shared" si="65"/>
        <v>Yes</v>
      </c>
      <c r="L1055" s="5" t="str">
        <f t="shared" si="67"/>
        <v>No</v>
      </c>
      <c r="M1055" s="5">
        <f t="shared" si="66"/>
        <v>0</v>
      </c>
    </row>
    <row r="1056" spans="1:13" x14ac:dyDescent="0.3">
      <c r="A1056" s="2" t="s">
        <v>3685</v>
      </c>
      <c r="B1056" s="2" t="s">
        <v>1205</v>
      </c>
      <c r="C1056" s="2" t="s">
        <v>2608</v>
      </c>
      <c r="D1056" s="3">
        <v>45823</v>
      </c>
      <c r="E1056" s="3">
        <v>45829</v>
      </c>
      <c r="F1056" s="3">
        <v>45835</v>
      </c>
      <c r="G1056" s="2" t="s">
        <v>2629</v>
      </c>
      <c r="H1056" s="2">
        <v>11</v>
      </c>
      <c r="I1056" s="2">
        <f>IFERROR(INDEX(Raw_Orders!H1056:H3484,MATCH(B1056,Raw_Orders!A1056:A3484,0)),0)</f>
        <v>11</v>
      </c>
      <c r="J1056" s="2" t="str">
        <f t="shared" si="64"/>
        <v>No</v>
      </c>
      <c r="K1056" s="2" t="str">
        <f t="shared" si="65"/>
        <v>Yes</v>
      </c>
      <c r="L1056" s="2" t="str">
        <f t="shared" si="67"/>
        <v>No</v>
      </c>
      <c r="M1056" s="2">
        <f t="shared" si="66"/>
        <v>0</v>
      </c>
    </row>
    <row r="1057" spans="1:13" x14ac:dyDescent="0.3">
      <c r="A1057" s="5" t="s">
        <v>3686</v>
      </c>
      <c r="B1057" s="5" t="s">
        <v>1206</v>
      </c>
      <c r="C1057" s="5" t="s">
        <v>2608</v>
      </c>
      <c r="D1057" s="6">
        <v>45822</v>
      </c>
      <c r="E1057" s="6">
        <v>45831</v>
      </c>
      <c r="F1057" s="6">
        <v>45834</v>
      </c>
      <c r="G1057" s="5" t="s">
        <v>2629</v>
      </c>
      <c r="H1057" s="5">
        <v>9</v>
      </c>
      <c r="I1057" s="5">
        <f>IFERROR(INDEX(Raw_Orders!H1057:H3485,MATCH(B1057,Raw_Orders!A1057:A3485,0)),0)</f>
        <v>9</v>
      </c>
      <c r="J1057" s="5" t="str">
        <f t="shared" si="64"/>
        <v>No</v>
      </c>
      <c r="K1057" s="5" t="str">
        <f t="shared" si="65"/>
        <v>Yes</v>
      </c>
      <c r="L1057" s="5" t="str">
        <f t="shared" si="67"/>
        <v>No</v>
      </c>
      <c r="M1057" s="5">
        <f t="shared" si="66"/>
        <v>0</v>
      </c>
    </row>
    <row r="1058" spans="1:13" x14ac:dyDescent="0.3">
      <c r="A1058" s="2" t="s">
        <v>3687</v>
      </c>
      <c r="B1058" s="2" t="s">
        <v>1207</v>
      </c>
      <c r="C1058" s="2" t="s">
        <v>2611</v>
      </c>
      <c r="D1058" s="3">
        <v>45825</v>
      </c>
      <c r="E1058" s="3">
        <v>45829</v>
      </c>
      <c r="F1058" s="3">
        <v>45832</v>
      </c>
      <c r="G1058" s="2" t="s">
        <v>2627</v>
      </c>
      <c r="H1058" s="2">
        <v>17</v>
      </c>
      <c r="I1058" s="2">
        <f>IFERROR(INDEX(Raw_Orders!H1058:H3486,MATCH(B1058,Raw_Orders!A1058:A3486,0)),0)</f>
        <v>17</v>
      </c>
      <c r="J1058" s="2" t="str">
        <f t="shared" si="64"/>
        <v>No</v>
      </c>
      <c r="K1058" s="2" t="str">
        <f t="shared" si="65"/>
        <v>Yes</v>
      </c>
      <c r="L1058" s="2" t="str">
        <f t="shared" si="67"/>
        <v>No</v>
      </c>
      <c r="M1058" s="2">
        <f t="shared" si="66"/>
        <v>0</v>
      </c>
    </row>
    <row r="1059" spans="1:13" x14ac:dyDescent="0.3">
      <c r="A1059" s="5" t="s">
        <v>3688</v>
      </c>
      <c r="B1059" s="5" t="s">
        <v>1208</v>
      </c>
      <c r="C1059" s="5" t="s">
        <v>2616</v>
      </c>
      <c r="D1059" s="6">
        <v>45824</v>
      </c>
      <c r="E1059" s="6">
        <v>45828</v>
      </c>
      <c r="F1059" s="6">
        <v>45838</v>
      </c>
      <c r="G1059" s="5" t="s">
        <v>2633</v>
      </c>
      <c r="H1059" s="5">
        <v>20</v>
      </c>
      <c r="I1059" s="5">
        <f>IFERROR(INDEX(Raw_Orders!H1059:H3487,MATCH(B1059,Raw_Orders!A1059:A3487,0)),0)</f>
        <v>20</v>
      </c>
      <c r="J1059" s="5" t="str">
        <f t="shared" si="64"/>
        <v>No</v>
      </c>
      <c r="K1059" s="5" t="str">
        <f t="shared" si="65"/>
        <v>Yes</v>
      </c>
      <c r="L1059" s="5" t="str">
        <f t="shared" si="67"/>
        <v>No</v>
      </c>
      <c r="M1059" s="5">
        <f t="shared" si="66"/>
        <v>0</v>
      </c>
    </row>
    <row r="1060" spans="1:13" x14ac:dyDescent="0.3">
      <c r="A1060" s="2" t="s">
        <v>3689</v>
      </c>
      <c r="B1060" s="2" t="s">
        <v>1209</v>
      </c>
      <c r="C1060" s="2" t="s">
        <v>2606</v>
      </c>
      <c r="D1060" s="3">
        <v>45823</v>
      </c>
      <c r="E1060" s="3">
        <v>45827</v>
      </c>
      <c r="F1060" s="3">
        <v>45831</v>
      </c>
      <c r="G1060" s="2" t="s">
        <v>2633</v>
      </c>
      <c r="H1060" s="2">
        <v>46</v>
      </c>
      <c r="I1060" s="2">
        <f>IFERROR(INDEX(Raw_Orders!H1060:H3488,MATCH(B1060,Raw_Orders!A1060:A3488,0)),0)</f>
        <v>46</v>
      </c>
      <c r="J1060" s="2" t="str">
        <f t="shared" si="64"/>
        <v>No</v>
      </c>
      <c r="K1060" s="2" t="str">
        <f t="shared" si="65"/>
        <v>Yes</v>
      </c>
      <c r="L1060" s="2" t="str">
        <f t="shared" si="67"/>
        <v>No</v>
      </c>
      <c r="M1060" s="2">
        <f t="shared" si="66"/>
        <v>0</v>
      </c>
    </row>
    <row r="1061" spans="1:13" x14ac:dyDescent="0.3">
      <c r="A1061" s="5" t="s">
        <v>3690</v>
      </c>
      <c r="B1061" s="5" t="s">
        <v>1210</v>
      </c>
      <c r="C1061" s="5" t="s">
        <v>2608</v>
      </c>
      <c r="D1061" s="6">
        <v>45824</v>
      </c>
      <c r="E1061" s="6">
        <v>45829</v>
      </c>
      <c r="F1061" s="6">
        <v>45837</v>
      </c>
      <c r="G1061" s="5" t="s">
        <v>2629</v>
      </c>
      <c r="H1061" s="5">
        <v>5</v>
      </c>
      <c r="I1061" s="5">
        <f>IFERROR(INDEX(Raw_Orders!H1061:H3489,MATCH(B1061,Raw_Orders!A1061:A3489,0)),0)</f>
        <v>8</v>
      </c>
      <c r="J1061" s="5" t="str">
        <f t="shared" si="64"/>
        <v>No</v>
      </c>
      <c r="K1061" s="5" t="str">
        <f t="shared" si="65"/>
        <v>N0</v>
      </c>
      <c r="L1061" s="5" t="str">
        <f t="shared" si="67"/>
        <v>No</v>
      </c>
      <c r="M1061" s="5">
        <f t="shared" si="66"/>
        <v>0</v>
      </c>
    </row>
    <row r="1062" spans="1:13" x14ac:dyDescent="0.3">
      <c r="A1062" s="2" t="s">
        <v>3691</v>
      </c>
      <c r="B1062" s="2" t="s">
        <v>1211</v>
      </c>
      <c r="C1062" s="2" t="s">
        <v>2611</v>
      </c>
      <c r="D1062" s="3">
        <v>45824</v>
      </c>
      <c r="E1062" s="3">
        <v>45830</v>
      </c>
      <c r="F1062" s="3">
        <v>45831</v>
      </c>
      <c r="G1062" s="2" t="s">
        <v>2627</v>
      </c>
      <c r="H1062" s="2">
        <v>25</v>
      </c>
      <c r="I1062" s="2">
        <f>IFERROR(INDEX(Raw_Orders!H1062:H3490,MATCH(B1062,Raw_Orders!A1062:A3490,0)),0)</f>
        <v>27</v>
      </c>
      <c r="J1062" s="2" t="str">
        <f t="shared" si="64"/>
        <v>No</v>
      </c>
      <c r="K1062" s="2" t="str">
        <f t="shared" si="65"/>
        <v>N0</v>
      </c>
      <c r="L1062" s="2" t="str">
        <f t="shared" si="67"/>
        <v>No</v>
      </c>
      <c r="M1062" s="2">
        <f t="shared" si="66"/>
        <v>0</v>
      </c>
    </row>
    <row r="1063" spans="1:13" x14ac:dyDescent="0.3">
      <c r="A1063" s="5" t="s">
        <v>3692</v>
      </c>
      <c r="B1063" s="5" t="s">
        <v>1212</v>
      </c>
      <c r="C1063" s="5" t="s">
        <v>2611</v>
      </c>
      <c r="D1063" s="6">
        <v>45826</v>
      </c>
      <c r="E1063" s="6">
        <v>45830</v>
      </c>
      <c r="F1063" s="6">
        <v>45833</v>
      </c>
      <c r="G1063" s="5" t="s">
        <v>2631</v>
      </c>
      <c r="H1063" s="5">
        <v>35</v>
      </c>
      <c r="I1063" s="5">
        <f>IFERROR(INDEX(Raw_Orders!H1063:H3491,MATCH(B1063,Raw_Orders!A1063:A3491,0)),0)</f>
        <v>35</v>
      </c>
      <c r="J1063" s="5" t="str">
        <f t="shared" si="64"/>
        <v>No</v>
      </c>
      <c r="K1063" s="5" t="str">
        <f t="shared" si="65"/>
        <v>Yes</v>
      </c>
      <c r="L1063" s="5" t="str">
        <f t="shared" si="67"/>
        <v>No</v>
      </c>
      <c r="M1063" s="5">
        <f t="shared" si="66"/>
        <v>0</v>
      </c>
    </row>
    <row r="1064" spans="1:13" x14ac:dyDescent="0.3">
      <c r="A1064" s="2" t="s">
        <v>3693</v>
      </c>
      <c r="B1064" s="2" t="s">
        <v>1213</v>
      </c>
      <c r="C1064" s="2" t="s">
        <v>2601</v>
      </c>
      <c r="D1064" s="3">
        <v>45826</v>
      </c>
      <c r="E1064" s="3">
        <v>45831</v>
      </c>
      <c r="F1064" s="3">
        <v>45831</v>
      </c>
      <c r="G1064" s="2" t="s">
        <v>2633</v>
      </c>
      <c r="H1064" s="2">
        <v>16</v>
      </c>
      <c r="I1064" s="2">
        <f>IFERROR(INDEX(Raw_Orders!H1064:H3492,MATCH(B1064,Raw_Orders!A1064:A3492,0)),0)</f>
        <v>16</v>
      </c>
      <c r="J1064" s="2" t="str">
        <f t="shared" si="64"/>
        <v>Yes</v>
      </c>
      <c r="K1064" s="2" t="str">
        <f t="shared" si="65"/>
        <v>Yes</v>
      </c>
      <c r="L1064" s="2" t="str">
        <f t="shared" si="67"/>
        <v>Yes</v>
      </c>
      <c r="M1064" s="2">
        <f t="shared" si="66"/>
        <v>1</v>
      </c>
    </row>
    <row r="1065" spans="1:13" x14ac:dyDescent="0.3">
      <c r="A1065" s="5" t="s">
        <v>3694</v>
      </c>
      <c r="B1065" s="5" t="s">
        <v>1214</v>
      </c>
      <c r="C1065" s="5" t="s">
        <v>2614</v>
      </c>
      <c r="D1065" s="6">
        <v>45826</v>
      </c>
      <c r="E1065" s="6">
        <v>45834</v>
      </c>
      <c r="F1065" s="6">
        <v>45844</v>
      </c>
      <c r="G1065" s="5" t="s">
        <v>2629</v>
      </c>
      <c r="H1065" s="5">
        <v>9</v>
      </c>
      <c r="I1065" s="5">
        <f>IFERROR(INDEX(Raw_Orders!H1065:H3493,MATCH(B1065,Raw_Orders!A1065:A3493,0)),0)</f>
        <v>17</v>
      </c>
      <c r="J1065" s="5" t="str">
        <f t="shared" si="64"/>
        <v>No</v>
      </c>
      <c r="K1065" s="5" t="str">
        <f t="shared" si="65"/>
        <v>N0</v>
      </c>
      <c r="L1065" s="5" t="str">
        <f t="shared" si="67"/>
        <v>No</v>
      </c>
      <c r="M1065" s="5">
        <f t="shared" si="66"/>
        <v>0</v>
      </c>
    </row>
    <row r="1066" spans="1:13" x14ac:dyDescent="0.3">
      <c r="A1066" s="2" t="s">
        <v>3695</v>
      </c>
      <c r="B1066" s="2" t="s">
        <v>1215</v>
      </c>
      <c r="C1066" s="2" t="s">
        <v>2606</v>
      </c>
      <c r="D1066" s="3">
        <v>45826</v>
      </c>
      <c r="E1066" s="3">
        <v>45833</v>
      </c>
      <c r="F1066" s="3">
        <v>45836</v>
      </c>
      <c r="G1066" s="2" t="s">
        <v>2631</v>
      </c>
      <c r="H1066" s="2">
        <v>41</v>
      </c>
      <c r="I1066" s="2">
        <f>IFERROR(INDEX(Raw_Orders!H1066:H3494,MATCH(B1066,Raw_Orders!A1066:A3494,0)),0)</f>
        <v>41</v>
      </c>
      <c r="J1066" s="2" t="str">
        <f t="shared" si="64"/>
        <v>No</v>
      </c>
      <c r="K1066" s="2" t="str">
        <f t="shared" si="65"/>
        <v>Yes</v>
      </c>
      <c r="L1066" s="2" t="str">
        <f t="shared" si="67"/>
        <v>No</v>
      </c>
      <c r="M1066" s="2">
        <f t="shared" si="66"/>
        <v>0</v>
      </c>
    </row>
    <row r="1067" spans="1:13" x14ac:dyDescent="0.3">
      <c r="A1067" s="5" t="s">
        <v>3696</v>
      </c>
      <c r="B1067" s="5" t="s">
        <v>1216</v>
      </c>
      <c r="C1067" s="5" t="s">
        <v>2606</v>
      </c>
      <c r="D1067" s="6">
        <v>45826</v>
      </c>
      <c r="E1067" s="6">
        <v>45827</v>
      </c>
      <c r="F1067" s="6">
        <v>45832</v>
      </c>
      <c r="G1067" s="5" t="s">
        <v>2631</v>
      </c>
      <c r="H1067" s="5">
        <v>46</v>
      </c>
      <c r="I1067" s="5">
        <f>IFERROR(INDEX(Raw_Orders!H1067:H3495,MATCH(B1067,Raw_Orders!A1067:A3495,0)),0)</f>
        <v>51</v>
      </c>
      <c r="J1067" s="5" t="str">
        <f t="shared" si="64"/>
        <v>No</v>
      </c>
      <c r="K1067" s="5" t="str">
        <f t="shared" si="65"/>
        <v>N0</v>
      </c>
      <c r="L1067" s="5" t="str">
        <f t="shared" si="67"/>
        <v>No</v>
      </c>
      <c r="M1067" s="5">
        <f t="shared" si="66"/>
        <v>0</v>
      </c>
    </row>
    <row r="1068" spans="1:13" x14ac:dyDescent="0.3">
      <c r="A1068" s="2" t="s">
        <v>3697</v>
      </c>
      <c r="B1068" s="2" t="s">
        <v>1217</v>
      </c>
      <c r="C1068" s="2" t="s">
        <v>2608</v>
      </c>
      <c r="D1068" s="3">
        <v>45825</v>
      </c>
      <c r="E1068" s="3">
        <v>45827</v>
      </c>
      <c r="F1068" s="3">
        <v>45842</v>
      </c>
      <c r="G1068" s="2" t="s">
        <v>2627</v>
      </c>
      <c r="H1068" s="2">
        <v>4</v>
      </c>
      <c r="I1068" s="2">
        <f>IFERROR(INDEX(Raw_Orders!H1068:H3496,MATCH(B1068,Raw_Orders!A1068:A3496,0)),0)</f>
        <v>4</v>
      </c>
      <c r="J1068" s="2" t="str">
        <f t="shared" si="64"/>
        <v>No</v>
      </c>
      <c r="K1068" s="2" t="str">
        <f t="shared" si="65"/>
        <v>Yes</v>
      </c>
      <c r="L1068" s="2" t="str">
        <f t="shared" si="67"/>
        <v>No</v>
      </c>
      <c r="M1068" s="2">
        <f t="shared" si="66"/>
        <v>0</v>
      </c>
    </row>
    <row r="1069" spans="1:13" x14ac:dyDescent="0.3">
      <c r="A1069" s="5" t="s">
        <v>3698</v>
      </c>
      <c r="B1069" s="5" t="s">
        <v>1218</v>
      </c>
      <c r="C1069" s="5" t="s">
        <v>2598</v>
      </c>
      <c r="D1069" s="6">
        <v>45827</v>
      </c>
      <c r="E1069" s="6">
        <v>45834</v>
      </c>
      <c r="F1069" s="6">
        <v>45840</v>
      </c>
      <c r="G1069" s="5" t="s">
        <v>2627</v>
      </c>
      <c r="H1069" s="5">
        <v>22</v>
      </c>
      <c r="I1069" s="5">
        <f>IFERROR(INDEX(Raw_Orders!H1069:H3497,MATCH(B1069,Raw_Orders!A1069:A3497,0)),0)</f>
        <v>22</v>
      </c>
      <c r="J1069" s="5" t="str">
        <f t="shared" si="64"/>
        <v>No</v>
      </c>
      <c r="K1069" s="5" t="str">
        <f t="shared" si="65"/>
        <v>Yes</v>
      </c>
      <c r="L1069" s="5" t="str">
        <f t="shared" si="67"/>
        <v>No</v>
      </c>
      <c r="M1069" s="5">
        <f t="shared" si="66"/>
        <v>0</v>
      </c>
    </row>
    <row r="1070" spans="1:13" x14ac:dyDescent="0.3">
      <c r="A1070" s="2" t="s">
        <v>3699</v>
      </c>
      <c r="B1070" s="2" t="s">
        <v>1219</v>
      </c>
      <c r="C1070" s="2" t="s">
        <v>2611</v>
      </c>
      <c r="D1070" s="3">
        <v>45825</v>
      </c>
      <c r="E1070" s="3">
        <v>45830</v>
      </c>
      <c r="F1070" s="3">
        <v>45836</v>
      </c>
      <c r="G1070" s="2" t="s">
        <v>2629</v>
      </c>
      <c r="H1070" s="2">
        <v>18</v>
      </c>
      <c r="I1070" s="2">
        <f>IFERROR(INDEX(Raw_Orders!H1070:H3498,MATCH(B1070,Raw_Orders!A1070:A3498,0)),0)</f>
        <v>18</v>
      </c>
      <c r="J1070" s="2" t="str">
        <f t="shared" si="64"/>
        <v>No</v>
      </c>
      <c r="K1070" s="2" t="str">
        <f t="shared" si="65"/>
        <v>Yes</v>
      </c>
      <c r="L1070" s="2" t="str">
        <f t="shared" si="67"/>
        <v>No</v>
      </c>
      <c r="M1070" s="2">
        <f t="shared" si="66"/>
        <v>0</v>
      </c>
    </row>
    <row r="1071" spans="1:13" x14ac:dyDescent="0.3">
      <c r="A1071" s="5" t="s">
        <v>3700</v>
      </c>
      <c r="B1071" s="5" t="s">
        <v>1220</v>
      </c>
      <c r="C1071" s="5" t="s">
        <v>2614</v>
      </c>
      <c r="D1071" s="6">
        <v>45825</v>
      </c>
      <c r="E1071" s="6">
        <v>45833</v>
      </c>
      <c r="F1071" s="6">
        <v>45838</v>
      </c>
      <c r="G1071" s="5" t="s">
        <v>2629</v>
      </c>
      <c r="H1071" s="5">
        <v>13</v>
      </c>
      <c r="I1071" s="5">
        <f>IFERROR(INDEX(Raw_Orders!H1071:H3499,MATCH(B1071,Raw_Orders!A1071:A3499,0)),0)</f>
        <v>13</v>
      </c>
      <c r="J1071" s="5" t="str">
        <f t="shared" si="64"/>
        <v>No</v>
      </c>
      <c r="K1071" s="5" t="str">
        <f t="shared" si="65"/>
        <v>Yes</v>
      </c>
      <c r="L1071" s="5" t="str">
        <f t="shared" si="67"/>
        <v>No</v>
      </c>
      <c r="M1071" s="5">
        <f t="shared" si="66"/>
        <v>0</v>
      </c>
    </row>
    <row r="1072" spans="1:13" x14ac:dyDescent="0.3">
      <c r="A1072" s="2" t="s">
        <v>3701</v>
      </c>
      <c r="B1072" s="2" t="s">
        <v>1221</v>
      </c>
      <c r="C1072" s="2" t="s">
        <v>2604</v>
      </c>
      <c r="D1072" s="3">
        <v>45825</v>
      </c>
      <c r="E1072" s="3">
        <v>45830</v>
      </c>
      <c r="F1072" s="3">
        <v>45833</v>
      </c>
      <c r="G1072" s="2" t="s">
        <v>2627</v>
      </c>
      <c r="H1072" s="2">
        <v>15</v>
      </c>
      <c r="I1072" s="2">
        <f>IFERROR(INDEX(Raw_Orders!H1072:H3500,MATCH(B1072,Raw_Orders!A1072:A3500,0)),0)</f>
        <v>15</v>
      </c>
      <c r="J1072" s="2" t="str">
        <f t="shared" si="64"/>
        <v>No</v>
      </c>
      <c r="K1072" s="2" t="str">
        <f t="shared" si="65"/>
        <v>Yes</v>
      </c>
      <c r="L1072" s="2" t="str">
        <f t="shared" si="67"/>
        <v>No</v>
      </c>
      <c r="M1072" s="2">
        <f t="shared" si="66"/>
        <v>0</v>
      </c>
    </row>
    <row r="1073" spans="1:13" x14ac:dyDescent="0.3">
      <c r="A1073" s="5" t="s">
        <v>3702</v>
      </c>
      <c r="B1073" s="5" t="s">
        <v>1222</v>
      </c>
      <c r="C1073" s="5" t="s">
        <v>2606</v>
      </c>
      <c r="D1073" s="6">
        <v>45825</v>
      </c>
      <c r="E1073" s="6">
        <v>45832</v>
      </c>
      <c r="F1073" s="6">
        <v>45831</v>
      </c>
      <c r="G1073" s="5" t="s">
        <v>2631</v>
      </c>
      <c r="H1073" s="5">
        <v>41</v>
      </c>
      <c r="I1073" s="5">
        <f>IFERROR(INDEX(Raw_Orders!H1073:H3501,MATCH(B1073,Raw_Orders!A1073:A3501,0)),0)</f>
        <v>41</v>
      </c>
      <c r="J1073" s="5" t="str">
        <f t="shared" si="64"/>
        <v>Yes</v>
      </c>
      <c r="K1073" s="5" t="str">
        <f t="shared" si="65"/>
        <v>Yes</v>
      </c>
      <c r="L1073" s="5" t="str">
        <f t="shared" si="67"/>
        <v>Yes</v>
      </c>
      <c r="M1073" s="5">
        <f t="shared" si="66"/>
        <v>1</v>
      </c>
    </row>
    <row r="1074" spans="1:13" x14ac:dyDescent="0.3">
      <c r="A1074" s="2" t="s">
        <v>3703</v>
      </c>
      <c r="B1074" s="2" t="s">
        <v>1223</v>
      </c>
      <c r="C1074" s="2" t="s">
        <v>2606</v>
      </c>
      <c r="D1074" s="3">
        <v>45827</v>
      </c>
      <c r="E1074" s="3">
        <v>45835</v>
      </c>
      <c r="F1074" s="3">
        <v>45833</v>
      </c>
      <c r="G1074" s="2" t="s">
        <v>2629</v>
      </c>
      <c r="H1074" s="2">
        <v>33</v>
      </c>
      <c r="I1074" s="2">
        <f>IFERROR(INDEX(Raw_Orders!H1074:H3502,MATCH(B1074,Raw_Orders!A1074:A3502,0)),0)</f>
        <v>33</v>
      </c>
      <c r="J1074" s="2" t="str">
        <f t="shared" si="64"/>
        <v>Yes</v>
      </c>
      <c r="K1074" s="2" t="str">
        <f t="shared" si="65"/>
        <v>Yes</v>
      </c>
      <c r="L1074" s="2" t="str">
        <f t="shared" si="67"/>
        <v>Yes</v>
      </c>
      <c r="M1074" s="2">
        <f t="shared" si="66"/>
        <v>1</v>
      </c>
    </row>
    <row r="1075" spans="1:13" x14ac:dyDescent="0.3">
      <c r="A1075" s="5" t="s">
        <v>3704</v>
      </c>
      <c r="B1075" s="5" t="s">
        <v>1224</v>
      </c>
      <c r="C1075" s="5" t="s">
        <v>2611</v>
      </c>
      <c r="D1075" s="6">
        <v>45828</v>
      </c>
      <c r="E1075" s="6">
        <v>45832</v>
      </c>
      <c r="F1075" s="6">
        <v>45837</v>
      </c>
      <c r="G1075" s="5" t="s">
        <v>2631</v>
      </c>
      <c r="H1075" s="5">
        <v>49</v>
      </c>
      <c r="I1075" s="5">
        <f>IFERROR(INDEX(Raw_Orders!H1075:H3503,MATCH(B1075,Raw_Orders!A1075:A3503,0)),0)</f>
        <v>49</v>
      </c>
      <c r="J1075" s="5" t="str">
        <f t="shared" si="64"/>
        <v>No</v>
      </c>
      <c r="K1075" s="5" t="str">
        <f t="shared" si="65"/>
        <v>Yes</v>
      </c>
      <c r="L1075" s="5" t="str">
        <f t="shared" si="67"/>
        <v>No</v>
      </c>
      <c r="M1075" s="5">
        <f t="shared" si="66"/>
        <v>0</v>
      </c>
    </row>
    <row r="1076" spans="1:13" x14ac:dyDescent="0.3">
      <c r="A1076" s="2" t="s">
        <v>3705</v>
      </c>
      <c r="B1076" s="2" t="s">
        <v>1225</v>
      </c>
      <c r="C1076" s="2" t="s">
        <v>2598</v>
      </c>
      <c r="D1076" s="3">
        <v>45828</v>
      </c>
      <c r="E1076" s="3">
        <v>45836</v>
      </c>
      <c r="F1076" s="3">
        <v>45841</v>
      </c>
      <c r="G1076" s="2" t="s">
        <v>2627</v>
      </c>
      <c r="H1076" s="2">
        <v>22</v>
      </c>
      <c r="I1076" s="2">
        <f>IFERROR(INDEX(Raw_Orders!H1076:H3504,MATCH(B1076,Raw_Orders!A1076:A3504,0)),0)</f>
        <v>22</v>
      </c>
      <c r="J1076" s="2" t="str">
        <f t="shared" si="64"/>
        <v>No</v>
      </c>
      <c r="K1076" s="2" t="str">
        <f t="shared" si="65"/>
        <v>Yes</v>
      </c>
      <c r="L1076" s="2" t="str">
        <f t="shared" si="67"/>
        <v>No</v>
      </c>
      <c r="M1076" s="2">
        <f t="shared" si="66"/>
        <v>0</v>
      </c>
    </row>
    <row r="1077" spans="1:13" x14ac:dyDescent="0.3">
      <c r="A1077" s="5" t="s">
        <v>3706</v>
      </c>
      <c r="B1077" s="5" t="s">
        <v>1226</v>
      </c>
      <c r="C1077" s="5" t="s">
        <v>2614</v>
      </c>
      <c r="D1077" s="6">
        <v>45827</v>
      </c>
      <c r="E1077" s="6">
        <v>45834</v>
      </c>
      <c r="F1077" s="6">
        <v>45840</v>
      </c>
      <c r="G1077" s="5" t="s">
        <v>2633</v>
      </c>
      <c r="H1077" s="5">
        <v>29</v>
      </c>
      <c r="I1077" s="5">
        <f>IFERROR(INDEX(Raw_Orders!H1077:H3505,MATCH(B1077,Raw_Orders!A1077:A3505,0)),0)</f>
        <v>29</v>
      </c>
      <c r="J1077" s="5" t="str">
        <f t="shared" si="64"/>
        <v>No</v>
      </c>
      <c r="K1077" s="5" t="str">
        <f t="shared" si="65"/>
        <v>Yes</v>
      </c>
      <c r="L1077" s="5" t="str">
        <f t="shared" si="67"/>
        <v>No</v>
      </c>
      <c r="M1077" s="5">
        <f t="shared" si="66"/>
        <v>0</v>
      </c>
    </row>
    <row r="1078" spans="1:13" x14ac:dyDescent="0.3">
      <c r="A1078" s="2" t="s">
        <v>3707</v>
      </c>
      <c r="B1078" s="2" t="s">
        <v>1227</v>
      </c>
      <c r="C1078" s="2" t="s">
        <v>2604</v>
      </c>
      <c r="D1078" s="3">
        <v>45828</v>
      </c>
      <c r="E1078" s="3">
        <v>45834</v>
      </c>
      <c r="F1078" s="3">
        <v>45831</v>
      </c>
      <c r="G1078" s="2" t="s">
        <v>2631</v>
      </c>
      <c r="H1078" s="2">
        <v>13</v>
      </c>
      <c r="I1078" s="2">
        <f>IFERROR(INDEX(Raw_Orders!H1078:H3506,MATCH(B1078,Raw_Orders!A1078:A3506,0)),0)</f>
        <v>13</v>
      </c>
      <c r="J1078" s="2" t="str">
        <f t="shared" si="64"/>
        <v>Yes</v>
      </c>
      <c r="K1078" s="2" t="str">
        <f t="shared" si="65"/>
        <v>Yes</v>
      </c>
      <c r="L1078" s="2" t="str">
        <f t="shared" si="67"/>
        <v>Yes</v>
      </c>
      <c r="M1078" s="2">
        <f t="shared" si="66"/>
        <v>1</v>
      </c>
    </row>
    <row r="1079" spans="1:13" x14ac:dyDescent="0.3">
      <c r="A1079" s="5" t="s">
        <v>3708</v>
      </c>
      <c r="B1079" s="5" t="s">
        <v>1228</v>
      </c>
      <c r="C1079" s="5" t="s">
        <v>2604</v>
      </c>
      <c r="D1079" s="6">
        <v>45827</v>
      </c>
      <c r="E1079" s="6">
        <v>45831</v>
      </c>
      <c r="F1079" s="6">
        <v>45831</v>
      </c>
      <c r="G1079" s="5" t="s">
        <v>2629</v>
      </c>
      <c r="H1079" s="5">
        <v>15</v>
      </c>
      <c r="I1079" s="5">
        <f>IFERROR(INDEX(Raw_Orders!H1079:H3507,MATCH(B1079,Raw_Orders!A1079:A3507,0)),0)</f>
        <v>15</v>
      </c>
      <c r="J1079" s="5" t="str">
        <f t="shared" si="64"/>
        <v>Yes</v>
      </c>
      <c r="K1079" s="5" t="str">
        <f t="shared" si="65"/>
        <v>Yes</v>
      </c>
      <c r="L1079" s="5" t="str">
        <f t="shared" si="67"/>
        <v>Yes</v>
      </c>
      <c r="M1079" s="5">
        <f t="shared" si="66"/>
        <v>1</v>
      </c>
    </row>
    <row r="1080" spans="1:13" x14ac:dyDescent="0.3">
      <c r="A1080" s="2" t="s">
        <v>3709</v>
      </c>
      <c r="B1080" s="2" t="s">
        <v>1229</v>
      </c>
      <c r="C1080" s="2" t="s">
        <v>2606</v>
      </c>
      <c r="D1080" s="3">
        <v>45826</v>
      </c>
      <c r="E1080" s="3">
        <v>45831</v>
      </c>
      <c r="F1080" s="3">
        <v>45833</v>
      </c>
      <c r="G1080" s="2" t="s">
        <v>2627</v>
      </c>
      <c r="H1080" s="2">
        <v>24</v>
      </c>
      <c r="I1080" s="2">
        <f>IFERROR(INDEX(Raw_Orders!H1080:H3508,MATCH(B1080,Raw_Orders!A1080:A3508,0)),0)</f>
        <v>27</v>
      </c>
      <c r="J1080" s="2" t="str">
        <f t="shared" si="64"/>
        <v>No</v>
      </c>
      <c r="K1080" s="2" t="str">
        <f t="shared" si="65"/>
        <v>N0</v>
      </c>
      <c r="L1080" s="2" t="str">
        <f t="shared" si="67"/>
        <v>No</v>
      </c>
      <c r="M1080" s="2">
        <f t="shared" si="66"/>
        <v>0</v>
      </c>
    </row>
    <row r="1081" spans="1:13" x14ac:dyDescent="0.3">
      <c r="A1081" s="5" t="s">
        <v>3710</v>
      </c>
      <c r="B1081" s="5" t="s">
        <v>1230</v>
      </c>
      <c r="C1081" s="5" t="s">
        <v>2608</v>
      </c>
      <c r="D1081" s="6">
        <v>45826</v>
      </c>
      <c r="E1081" s="6">
        <v>45836</v>
      </c>
      <c r="F1081" s="6">
        <v>45838</v>
      </c>
      <c r="G1081" s="5" t="s">
        <v>2633</v>
      </c>
      <c r="H1081" s="5">
        <v>26</v>
      </c>
      <c r="I1081" s="5">
        <f>IFERROR(INDEX(Raw_Orders!H1081:H3509,MATCH(B1081,Raw_Orders!A1081:A3509,0)),0)</f>
        <v>26</v>
      </c>
      <c r="J1081" s="5" t="str">
        <f t="shared" si="64"/>
        <v>No</v>
      </c>
      <c r="K1081" s="5" t="str">
        <f t="shared" si="65"/>
        <v>Yes</v>
      </c>
      <c r="L1081" s="5" t="str">
        <f t="shared" si="67"/>
        <v>No</v>
      </c>
      <c r="M1081" s="5">
        <f t="shared" si="66"/>
        <v>0</v>
      </c>
    </row>
    <row r="1082" spans="1:13" x14ac:dyDescent="0.3">
      <c r="A1082" s="2" t="s">
        <v>3711</v>
      </c>
      <c r="B1082" s="2" t="s">
        <v>1231</v>
      </c>
      <c r="C1082" s="2" t="s">
        <v>2608</v>
      </c>
      <c r="D1082" s="3">
        <v>45826</v>
      </c>
      <c r="E1082" s="3">
        <v>45835</v>
      </c>
      <c r="F1082" s="3">
        <v>45838</v>
      </c>
      <c r="G1082" s="2" t="s">
        <v>2627</v>
      </c>
      <c r="H1082" s="2">
        <v>7</v>
      </c>
      <c r="I1082" s="2">
        <f>IFERROR(INDEX(Raw_Orders!H1082:H3510,MATCH(B1082,Raw_Orders!A1082:A3510,0)),0)</f>
        <v>7</v>
      </c>
      <c r="J1082" s="2" t="str">
        <f t="shared" si="64"/>
        <v>No</v>
      </c>
      <c r="K1082" s="2" t="str">
        <f t="shared" si="65"/>
        <v>Yes</v>
      </c>
      <c r="L1082" s="2" t="str">
        <f t="shared" si="67"/>
        <v>No</v>
      </c>
      <c r="M1082" s="2">
        <f t="shared" si="66"/>
        <v>0</v>
      </c>
    </row>
    <row r="1083" spans="1:13" x14ac:dyDescent="0.3">
      <c r="A1083" s="5" t="s">
        <v>3712</v>
      </c>
      <c r="B1083" s="5" t="s">
        <v>1232</v>
      </c>
      <c r="C1083" s="5" t="s">
        <v>2611</v>
      </c>
      <c r="D1083" s="6">
        <v>45828</v>
      </c>
      <c r="E1083" s="6">
        <v>45831</v>
      </c>
      <c r="F1083" s="6">
        <v>45835</v>
      </c>
      <c r="G1083" s="5" t="s">
        <v>2633</v>
      </c>
      <c r="H1083" s="5">
        <v>4</v>
      </c>
      <c r="I1083" s="5">
        <f>IFERROR(INDEX(Raw_Orders!H1083:H3511,MATCH(B1083,Raw_Orders!A1083:A3511,0)),0)</f>
        <v>9</v>
      </c>
      <c r="J1083" s="5" t="str">
        <f t="shared" si="64"/>
        <v>No</v>
      </c>
      <c r="K1083" s="5" t="str">
        <f t="shared" si="65"/>
        <v>N0</v>
      </c>
      <c r="L1083" s="5" t="str">
        <f t="shared" si="67"/>
        <v>No</v>
      </c>
      <c r="M1083" s="5">
        <f t="shared" si="66"/>
        <v>0</v>
      </c>
    </row>
    <row r="1084" spans="1:13" x14ac:dyDescent="0.3">
      <c r="A1084" s="2" t="s">
        <v>3713</v>
      </c>
      <c r="B1084" s="2" t="s">
        <v>1233</v>
      </c>
      <c r="C1084" s="2" t="s">
        <v>2601</v>
      </c>
      <c r="D1084" s="3">
        <v>45827</v>
      </c>
      <c r="E1084" s="3">
        <v>45837</v>
      </c>
      <c r="F1084" s="3">
        <v>45834</v>
      </c>
      <c r="G1084" s="2" t="s">
        <v>2631</v>
      </c>
      <c r="H1084" s="2">
        <v>20</v>
      </c>
      <c r="I1084" s="2">
        <f>IFERROR(INDEX(Raw_Orders!H1084:H3512,MATCH(B1084,Raw_Orders!A1084:A3512,0)),0)</f>
        <v>20</v>
      </c>
      <c r="J1084" s="2" t="str">
        <f t="shared" si="64"/>
        <v>Yes</v>
      </c>
      <c r="K1084" s="2" t="str">
        <f t="shared" si="65"/>
        <v>Yes</v>
      </c>
      <c r="L1084" s="2" t="str">
        <f t="shared" si="67"/>
        <v>Yes</v>
      </c>
      <c r="M1084" s="2">
        <f t="shared" si="66"/>
        <v>1</v>
      </c>
    </row>
    <row r="1085" spans="1:13" x14ac:dyDescent="0.3">
      <c r="A1085" s="5" t="s">
        <v>3714</v>
      </c>
      <c r="B1085" s="5" t="s">
        <v>1234</v>
      </c>
      <c r="C1085" s="5" t="s">
        <v>2616</v>
      </c>
      <c r="D1085" s="6">
        <v>45827</v>
      </c>
      <c r="E1085" s="6">
        <v>45830</v>
      </c>
      <c r="F1085" s="6">
        <v>45843</v>
      </c>
      <c r="G1085" s="5" t="s">
        <v>2627</v>
      </c>
      <c r="H1085" s="5">
        <v>12</v>
      </c>
      <c r="I1085" s="5">
        <f>IFERROR(INDEX(Raw_Orders!H1085:H3513,MATCH(B1085,Raw_Orders!A1085:A3513,0)),0)</f>
        <v>12</v>
      </c>
      <c r="J1085" s="5" t="str">
        <f t="shared" si="64"/>
        <v>No</v>
      </c>
      <c r="K1085" s="5" t="str">
        <f t="shared" si="65"/>
        <v>Yes</v>
      </c>
      <c r="L1085" s="5" t="str">
        <f t="shared" si="67"/>
        <v>No</v>
      </c>
      <c r="M1085" s="5">
        <f t="shared" si="66"/>
        <v>0</v>
      </c>
    </row>
    <row r="1086" spans="1:13" x14ac:dyDescent="0.3">
      <c r="A1086" s="2" t="s">
        <v>3715</v>
      </c>
      <c r="B1086" s="2" t="s">
        <v>1235</v>
      </c>
      <c r="C1086" s="2" t="s">
        <v>2616</v>
      </c>
      <c r="D1086" s="3">
        <v>45827</v>
      </c>
      <c r="E1086" s="3">
        <v>45836</v>
      </c>
      <c r="F1086" s="3">
        <v>45846</v>
      </c>
      <c r="G1086" s="2" t="s">
        <v>2633</v>
      </c>
      <c r="H1086" s="2">
        <v>45</v>
      </c>
      <c r="I1086" s="2">
        <f>IFERROR(INDEX(Raw_Orders!H1086:H3514,MATCH(B1086,Raw_Orders!A1086:A3514,0)),0)</f>
        <v>45</v>
      </c>
      <c r="J1086" s="2" t="str">
        <f t="shared" si="64"/>
        <v>No</v>
      </c>
      <c r="K1086" s="2" t="str">
        <f t="shared" si="65"/>
        <v>Yes</v>
      </c>
      <c r="L1086" s="2" t="str">
        <f t="shared" si="67"/>
        <v>No</v>
      </c>
      <c r="M1086" s="2">
        <f t="shared" si="66"/>
        <v>0</v>
      </c>
    </row>
    <row r="1087" spans="1:13" x14ac:dyDescent="0.3">
      <c r="A1087" s="5" t="s">
        <v>3716</v>
      </c>
      <c r="B1087" s="5" t="s">
        <v>1236</v>
      </c>
      <c r="C1087" s="5" t="s">
        <v>2604</v>
      </c>
      <c r="D1087" s="6">
        <v>45829</v>
      </c>
      <c r="E1087" s="6">
        <v>45833</v>
      </c>
      <c r="F1087" s="6">
        <v>45833</v>
      </c>
      <c r="G1087" s="5" t="s">
        <v>2627</v>
      </c>
      <c r="H1087" s="5">
        <v>20</v>
      </c>
      <c r="I1087" s="5">
        <f>IFERROR(INDEX(Raw_Orders!H1087:H3515,MATCH(B1087,Raw_Orders!A1087:A3515,0)),0)</f>
        <v>20</v>
      </c>
      <c r="J1087" s="5" t="str">
        <f t="shared" si="64"/>
        <v>Yes</v>
      </c>
      <c r="K1087" s="5" t="str">
        <f t="shared" si="65"/>
        <v>Yes</v>
      </c>
      <c r="L1087" s="5" t="str">
        <f t="shared" si="67"/>
        <v>Yes</v>
      </c>
      <c r="M1087" s="5">
        <f t="shared" si="66"/>
        <v>1</v>
      </c>
    </row>
    <row r="1088" spans="1:13" x14ac:dyDescent="0.3">
      <c r="A1088" s="2" t="s">
        <v>3717</v>
      </c>
      <c r="B1088" s="2" t="s">
        <v>1237</v>
      </c>
      <c r="C1088" s="2" t="s">
        <v>2606</v>
      </c>
      <c r="D1088" s="3">
        <v>45829</v>
      </c>
      <c r="E1088" s="3">
        <v>45836</v>
      </c>
      <c r="F1088" s="3">
        <v>45835</v>
      </c>
      <c r="G1088" s="2" t="s">
        <v>2631</v>
      </c>
      <c r="H1088" s="2">
        <v>38</v>
      </c>
      <c r="I1088" s="2">
        <f>IFERROR(INDEX(Raw_Orders!H1088:H3516,MATCH(B1088,Raw_Orders!A1088:A3516,0)),0)</f>
        <v>43</v>
      </c>
      <c r="J1088" s="2" t="str">
        <f t="shared" si="64"/>
        <v>Yes</v>
      </c>
      <c r="K1088" s="2" t="str">
        <f t="shared" si="65"/>
        <v>N0</v>
      </c>
      <c r="L1088" s="2" t="str">
        <f t="shared" si="67"/>
        <v>No</v>
      </c>
      <c r="M1088" s="2">
        <f t="shared" si="66"/>
        <v>0</v>
      </c>
    </row>
    <row r="1089" spans="1:13" x14ac:dyDescent="0.3">
      <c r="A1089" s="5" t="s">
        <v>3718</v>
      </c>
      <c r="B1089" s="5" t="s">
        <v>1238</v>
      </c>
      <c r="C1089" s="5" t="s">
        <v>2606</v>
      </c>
      <c r="D1089" s="6">
        <v>45827</v>
      </c>
      <c r="E1089" s="6">
        <v>45837</v>
      </c>
      <c r="F1089" s="6">
        <v>45834</v>
      </c>
      <c r="G1089" s="5" t="s">
        <v>2631</v>
      </c>
      <c r="H1089" s="5">
        <v>32</v>
      </c>
      <c r="I1089" s="5">
        <f>IFERROR(INDEX(Raw_Orders!H1089:H3517,MATCH(B1089,Raw_Orders!A1089:A3517,0)),0)</f>
        <v>32</v>
      </c>
      <c r="J1089" s="5" t="str">
        <f t="shared" si="64"/>
        <v>Yes</v>
      </c>
      <c r="K1089" s="5" t="str">
        <f t="shared" si="65"/>
        <v>Yes</v>
      </c>
      <c r="L1089" s="5" t="str">
        <f t="shared" si="67"/>
        <v>Yes</v>
      </c>
      <c r="M1089" s="5">
        <f t="shared" si="66"/>
        <v>1</v>
      </c>
    </row>
    <row r="1090" spans="1:13" x14ac:dyDescent="0.3">
      <c r="A1090" s="2" t="s">
        <v>3719</v>
      </c>
      <c r="B1090" s="2" t="s">
        <v>1239</v>
      </c>
      <c r="C1090" s="2" t="s">
        <v>2608</v>
      </c>
      <c r="D1090" s="3">
        <v>45827</v>
      </c>
      <c r="E1090" s="3">
        <v>45833</v>
      </c>
      <c r="F1090" s="3">
        <v>45842</v>
      </c>
      <c r="G1090" s="2" t="s">
        <v>2627</v>
      </c>
      <c r="H1090" s="2">
        <v>8</v>
      </c>
      <c r="I1090" s="2">
        <f>IFERROR(INDEX(Raw_Orders!H1090:H3518,MATCH(B1090,Raw_Orders!A1090:A3518,0)),0)</f>
        <v>8</v>
      </c>
      <c r="J1090" s="2" t="str">
        <f t="shared" si="64"/>
        <v>No</v>
      </c>
      <c r="K1090" s="2" t="str">
        <f t="shared" si="65"/>
        <v>Yes</v>
      </c>
      <c r="L1090" s="2" t="str">
        <f t="shared" si="67"/>
        <v>No</v>
      </c>
      <c r="M1090" s="2">
        <f t="shared" si="66"/>
        <v>0</v>
      </c>
    </row>
    <row r="1091" spans="1:13" x14ac:dyDescent="0.3">
      <c r="A1091" s="5" t="s">
        <v>3720</v>
      </c>
      <c r="B1091" s="5" t="s">
        <v>1240</v>
      </c>
      <c r="C1091" s="5" t="s">
        <v>2611</v>
      </c>
      <c r="D1091" s="6">
        <v>45828</v>
      </c>
      <c r="E1091" s="6">
        <v>45837</v>
      </c>
      <c r="F1091" s="6">
        <v>45835</v>
      </c>
      <c r="G1091" s="5" t="s">
        <v>2629</v>
      </c>
      <c r="H1091" s="5">
        <v>40</v>
      </c>
      <c r="I1091" s="5">
        <f>IFERROR(INDEX(Raw_Orders!H1091:H3519,MATCH(B1091,Raw_Orders!A1091:A3519,0)),0)</f>
        <v>42</v>
      </c>
      <c r="J1091" s="5" t="str">
        <f t="shared" ref="J1091:J1154" si="68">IF(E1091&gt;=F1091,"Yes","No")</f>
        <v>Yes</v>
      </c>
      <c r="K1091" s="5" t="str">
        <f t="shared" ref="K1091:K1154" si="69">IF(H1091&gt;=I1091,"Yes","N0")</f>
        <v>N0</v>
      </c>
      <c r="L1091" s="5" t="str">
        <f t="shared" si="67"/>
        <v>No</v>
      </c>
      <c r="M1091" s="5">
        <f t="shared" ref="M1091:M1154" si="70">IF(L1091="Yes",1,0)</f>
        <v>0</v>
      </c>
    </row>
    <row r="1092" spans="1:13" x14ac:dyDescent="0.3">
      <c r="A1092" s="2" t="s">
        <v>3721</v>
      </c>
      <c r="B1092" s="2" t="s">
        <v>1241</v>
      </c>
      <c r="C1092" s="2" t="s">
        <v>2614</v>
      </c>
      <c r="D1092" s="3">
        <v>45828</v>
      </c>
      <c r="E1092" s="3">
        <v>45836</v>
      </c>
      <c r="F1092" s="3">
        <v>45842</v>
      </c>
      <c r="G1092" s="2" t="s">
        <v>2627</v>
      </c>
      <c r="H1092" s="2">
        <v>12</v>
      </c>
      <c r="I1092" s="2">
        <f>IFERROR(INDEX(Raw_Orders!H1092:H3520,MATCH(B1092,Raw_Orders!A1092:A3520,0)),0)</f>
        <v>12</v>
      </c>
      <c r="J1092" s="2" t="str">
        <f t="shared" si="68"/>
        <v>No</v>
      </c>
      <c r="K1092" s="2" t="str">
        <f t="shared" si="69"/>
        <v>Yes</v>
      </c>
      <c r="L1092" s="2" t="str">
        <f t="shared" ref="L1092:L1155" si="71">IF(AND(J1092="Yes",K1092="Yes"),"Yes","No")</f>
        <v>No</v>
      </c>
      <c r="M1092" s="2">
        <f t="shared" si="70"/>
        <v>0</v>
      </c>
    </row>
    <row r="1093" spans="1:13" x14ac:dyDescent="0.3">
      <c r="A1093" s="5" t="s">
        <v>3722</v>
      </c>
      <c r="B1093" s="5" t="s">
        <v>1242</v>
      </c>
      <c r="C1093" s="5" t="s">
        <v>2606</v>
      </c>
      <c r="D1093" s="6">
        <v>45828</v>
      </c>
      <c r="E1093" s="6">
        <v>45838</v>
      </c>
      <c r="F1093" s="6">
        <v>45834</v>
      </c>
      <c r="G1093" s="5" t="s">
        <v>2633</v>
      </c>
      <c r="H1093" s="5">
        <v>39</v>
      </c>
      <c r="I1093" s="5">
        <f>IFERROR(INDEX(Raw_Orders!H1093:H3521,MATCH(B1093,Raw_Orders!A1093:A3521,0)),0)</f>
        <v>40</v>
      </c>
      <c r="J1093" s="5" t="str">
        <f t="shared" si="68"/>
        <v>Yes</v>
      </c>
      <c r="K1093" s="5" t="str">
        <f t="shared" si="69"/>
        <v>N0</v>
      </c>
      <c r="L1093" s="5" t="str">
        <f t="shared" si="71"/>
        <v>No</v>
      </c>
      <c r="M1093" s="5">
        <f t="shared" si="70"/>
        <v>0</v>
      </c>
    </row>
    <row r="1094" spans="1:13" x14ac:dyDescent="0.3">
      <c r="A1094" s="2" t="s">
        <v>3723</v>
      </c>
      <c r="B1094" s="2" t="s">
        <v>1243</v>
      </c>
      <c r="C1094" s="2" t="s">
        <v>2608</v>
      </c>
      <c r="D1094" s="3">
        <v>45829</v>
      </c>
      <c r="E1094" s="3">
        <v>45834</v>
      </c>
      <c r="F1094" s="3">
        <v>45842</v>
      </c>
      <c r="G1094" s="2" t="s">
        <v>2633</v>
      </c>
      <c r="H1094" s="2">
        <v>39</v>
      </c>
      <c r="I1094" s="2">
        <f>IFERROR(INDEX(Raw_Orders!H1094:H3522,MATCH(B1094,Raw_Orders!A1094:A3522,0)),0)</f>
        <v>39</v>
      </c>
      <c r="J1094" s="2" t="str">
        <f t="shared" si="68"/>
        <v>No</v>
      </c>
      <c r="K1094" s="2" t="str">
        <f t="shared" si="69"/>
        <v>Yes</v>
      </c>
      <c r="L1094" s="2" t="str">
        <f t="shared" si="71"/>
        <v>No</v>
      </c>
      <c r="M1094" s="2">
        <f t="shared" si="70"/>
        <v>0</v>
      </c>
    </row>
    <row r="1095" spans="1:13" x14ac:dyDescent="0.3">
      <c r="A1095" s="5" t="s">
        <v>3724</v>
      </c>
      <c r="B1095" s="5" t="s">
        <v>1244</v>
      </c>
      <c r="C1095" s="5" t="s">
        <v>2608</v>
      </c>
      <c r="D1095" s="6">
        <v>45828</v>
      </c>
      <c r="E1095" s="6">
        <v>45831</v>
      </c>
      <c r="F1095" s="6">
        <v>45840</v>
      </c>
      <c r="G1095" s="5" t="s">
        <v>2641</v>
      </c>
      <c r="H1095" s="5">
        <v>9</v>
      </c>
      <c r="I1095" s="5">
        <f>IFERROR(INDEX(Raw_Orders!H1095:H3523,MATCH(B1095,Raw_Orders!A1095:A3523,0)),0)</f>
        <v>9</v>
      </c>
      <c r="J1095" s="5" t="str">
        <f t="shared" si="68"/>
        <v>No</v>
      </c>
      <c r="K1095" s="5" t="str">
        <f t="shared" si="69"/>
        <v>Yes</v>
      </c>
      <c r="L1095" s="5" t="str">
        <f t="shared" si="71"/>
        <v>No</v>
      </c>
      <c r="M1095" s="5">
        <f t="shared" si="70"/>
        <v>0</v>
      </c>
    </row>
    <row r="1096" spans="1:13" x14ac:dyDescent="0.3">
      <c r="A1096" s="2" t="s">
        <v>3725</v>
      </c>
      <c r="B1096" s="2" t="s">
        <v>1245</v>
      </c>
      <c r="C1096" s="2" t="s">
        <v>2611</v>
      </c>
      <c r="D1096" s="3">
        <v>45830</v>
      </c>
      <c r="E1096" s="3">
        <v>45836</v>
      </c>
      <c r="F1096" s="3">
        <v>45839</v>
      </c>
      <c r="G1096" s="2" t="s">
        <v>2633</v>
      </c>
      <c r="H1096" s="2">
        <v>16</v>
      </c>
      <c r="I1096" s="2">
        <f>IFERROR(INDEX(Raw_Orders!H1096:H3524,MATCH(B1096,Raw_Orders!A1096:A3524,0)),0)</f>
        <v>16</v>
      </c>
      <c r="J1096" s="2" t="str">
        <f t="shared" si="68"/>
        <v>No</v>
      </c>
      <c r="K1096" s="2" t="str">
        <f t="shared" si="69"/>
        <v>Yes</v>
      </c>
      <c r="L1096" s="2" t="str">
        <f t="shared" si="71"/>
        <v>No</v>
      </c>
      <c r="M1096" s="2">
        <f t="shared" si="70"/>
        <v>0</v>
      </c>
    </row>
    <row r="1097" spans="1:13" x14ac:dyDescent="0.3">
      <c r="A1097" s="5" t="s">
        <v>3726</v>
      </c>
      <c r="B1097" s="5" t="s">
        <v>1246</v>
      </c>
      <c r="C1097" s="5" t="s">
        <v>2601</v>
      </c>
      <c r="D1097" s="6">
        <v>45829</v>
      </c>
      <c r="E1097" s="6">
        <v>45839</v>
      </c>
      <c r="F1097" s="6">
        <v>45833</v>
      </c>
      <c r="G1097" s="5" t="s">
        <v>2641</v>
      </c>
      <c r="H1097" s="5">
        <v>15</v>
      </c>
      <c r="I1097" s="5">
        <f>IFERROR(INDEX(Raw_Orders!H1097:H3525,MATCH(B1097,Raw_Orders!A1097:A3525,0)),0)</f>
        <v>15</v>
      </c>
      <c r="J1097" s="5" t="str">
        <f t="shared" si="68"/>
        <v>Yes</v>
      </c>
      <c r="K1097" s="5" t="str">
        <f t="shared" si="69"/>
        <v>Yes</v>
      </c>
      <c r="L1097" s="5" t="str">
        <f t="shared" si="71"/>
        <v>Yes</v>
      </c>
      <c r="M1097" s="5">
        <f t="shared" si="70"/>
        <v>1</v>
      </c>
    </row>
    <row r="1098" spans="1:13" x14ac:dyDescent="0.3">
      <c r="A1098" s="2" t="s">
        <v>3727</v>
      </c>
      <c r="B1098" s="2" t="s">
        <v>1247</v>
      </c>
      <c r="C1098" s="2" t="s">
        <v>2616</v>
      </c>
      <c r="D1098" s="3">
        <v>45830</v>
      </c>
      <c r="E1098" s="3">
        <v>45837</v>
      </c>
      <c r="F1098" s="3">
        <v>45847</v>
      </c>
      <c r="G1098" s="2" t="s">
        <v>2641</v>
      </c>
      <c r="H1098" s="2">
        <v>15</v>
      </c>
      <c r="I1098" s="2">
        <f>IFERROR(INDEX(Raw_Orders!H1098:H3526,MATCH(B1098,Raw_Orders!A1098:A3526,0)),0)</f>
        <v>21</v>
      </c>
      <c r="J1098" s="2" t="str">
        <f t="shared" si="68"/>
        <v>No</v>
      </c>
      <c r="K1098" s="2" t="str">
        <f t="shared" si="69"/>
        <v>N0</v>
      </c>
      <c r="L1098" s="2" t="str">
        <f t="shared" si="71"/>
        <v>No</v>
      </c>
      <c r="M1098" s="2">
        <f t="shared" si="70"/>
        <v>0</v>
      </c>
    </row>
    <row r="1099" spans="1:13" x14ac:dyDescent="0.3">
      <c r="A1099" s="5" t="s">
        <v>3728</v>
      </c>
      <c r="B1099" s="5" t="s">
        <v>1248</v>
      </c>
      <c r="C1099" s="5" t="s">
        <v>2606</v>
      </c>
      <c r="D1099" s="6">
        <v>45831</v>
      </c>
      <c r="E1099" s="6">
        <v>45836</v>
      </c>
      <c r="F1099" s="6">
        <v>45838</v>
      </c>
      <c r="G1099" s="5" t="s">
        <v>2629</v>
      </c>
      <c r="H1099" s="5">
        <v>42</v>
      </c>
      <c r="I1099" s="5">
        <f>IFERROR(INDEX(Raw_Orders!H1099:H3527,MATCH(B1099,Raw_Orders!A1099:A3527,0)),0)</f>
        <v>48</v>
      </c>
      <c r="J1099" s="5" t="str">
        <f t="shared" si="68"/>
        <v>No</v>
      </c>
      <c r="K1099" s="5" t="str">
        <f t="shared" si="69"/>
        <v>N0</v>
      </c>
      <c r="L1099" s="5" t="str">
        <f t="shared" si="71"/>
        <v>No</v>
      </c>
      <c r="M1099" s="5">
        <f t="shared" si="70"/>
        <v>0</v>
      </c>
    </row>
    <row r="1100" spans="1:13" x14ac:dyDescent="0.3">
      <c r="A1100" s="2" t="s">
        <v>3729</v>
      </c>
      <c r="B1100" s="2" t="s">
        <v>1249</v>
      </c>
      <c r="C1100" s="2" t="s">
        <v>2606</v>
      </c>
      <c r="D1100" s="3">
        <v>45831</v>
      </c>
      <c r="E1100" s="3">
        <v>45836</v>
      </c>
      <c r="F1100" s="3">
        <v>45837</v>
      </c>
      <c r="G1100" s="2" t="s">
        <v>2629</v>
      </c>
      <c r="H1100" s="2">
        <v>70</v>
      </c>
      <c r="I1100" s="2">
        <f>IFERROR(INDEX(Raw_Orders!H1100:H3528,MATCH(B1100,Raw_Orders!A1100:A3528,0)),0)</f>
        <v>72</v>
      </c>
      <c r="J1100" s="2" t="str">
        <f t="shared" si="68"/>
        <v>No</v>
      </c>
      <c r="K1100" s="2" t="str">
        <f t="shared" si="69"/>
        <v>N0</v>
      </c>
      <c r="L1100" s="2" t="str">
        <f t="shared" si="71"/>
        <v>No</v>
      </c>
      <c r="M1100" s="2">
        <f t="shared" si="70"/>
        <v>0</v>
      </c>
    </row>
    <row r="1101" spans="1:13" x14ac:dyDescent="0.3">
      <c r="A1101" s="5" t="s">
        <v>3730</v>
      </c>
      <c r="B1101" s="5" t="s">
        <v>1250</v>
      </c>
      <c r="C1101" s="5" t="s">
        <v>2606</v>
      </c>
      <c r="D1101" s="6">
        <v>45829</v>
      </c>
      <c r="E1101" s="6">
        <v>45832</v>
      </c>
      <c r="F1101" s="6">
        <v>45835</v>
      </c>
      <c r="G1101" s="5" t="s">
        <v>2631</v>
      </c>
      <c r="H1101" s="5">
        <v>38</v>
      </c>
      <c r="I1101" s="5">
        <f>IFERROR(INDEX(Raw_Orders!H1101:H3529,MATCH(B1101,Raw_Orders!A1101:A3529,0)),0)</f>
        <v>38</v>
      </c>
      <c r="J1101" s="5" t="str">
        <f t="shared" si="68"/>
        <v>No</v>
      </c>
      <c r="K1101" s="5" t="str">
        <f t="shared" si="69"/>
        <v>Yes</v>
      </c>
      <c r="L1101" s="5" t="str">
        <f t="shared" si="71"/>
        <v>No</v>
      </c>
      <c r="M1101" s="5">
        <f t="shared" si="70"/>
        <v>0</v>
      </c>
    </row>
    <row r="1102" spans="1:13" x14ac:dyDescent="0.3">
      <c r="A1102" s="2" t="s">
        <v>3731</v>
      </c>
      <c r="B1102" s="2" t="s">
        <v>1251</v>
      </c>
      <c r="C1102" s="2" t="s">
        <v>2608</v>
      </c>
      <c r="D1102" s="3">
        <v>45829</v>
      </c>
      <c r="E1102" s="3">
        <v>45838</v>
      </c>
      <c r="F1102" s="3">
        <v>45846</v>
      </c>
      <c r="G1102" s="2" t="s">
        <v>2631</v>
      </c>
      <c r="H1102" s="2">
        <v>30</v>
      </c>
      <c r="I1102" s="2">
        <f>IFERROR(INDEX(Raw_Orders!H1102:H3530,MATCH(B1102,Raw_Orders!A1102:A3530,0)),0)</f>
        <v>30</v>
      </c>
      <c r="J1102" s="2" t="str">
        <f t="shared" si="68"/>
        <v>No</v>
      </c>
      <c r="K1102" s="2" t="str">
        <f t="shared" si="69"/>
        <v>Yes</v>
      </c>
      <c r="L1102" s="2" t="str">
        <f t="shared" si="71"/>
        <v>No</v>
      </c>
      <c r="M1102" s="2">
        <f t="shared" si="70"/>
        <v>0</v>
      </c>
    </row>
    <row r="1103" spans="1:13" x14ac:dyDescent="0.3">
      <c r="A1103" s="5" t="s">
        <v>3732</v>
      </c>
      <c r="B1103" s="5" t="s">
        <v>1252</v>
      </c>
      <c r="C1103" s="5" t="s">
        <v>2608</v>
      </c>
      <c r="D1103" s="6">
        <v>45829</v>
      </c>
      <c r="E1103" s="6">
        <v>45837</v>
      </c>
      <c r="F1103" s="6">
        <v>45842</v>
      </c>
      <c r="G1103" s="5" t="s">
        <v>2633</v>
      </c>
      <c r="H1103" s="5">
        <v>8</v>
      </c>
      <c r="I1103" s="5">
        <f>IFERROR(INDEX(Raw_Orders!H1103:H3531,MATCH(B1103,Raw_Orders!A1103:A3531,0)),0)</f>
        <v>8</v>
      </c>
      <c r="J1103" s="5" t="str">
        <f t="shared" si="68"/>
        <v>No</v>
      </c>
      <c r="K1103" s="5" t="str">
        <f t="shared" si="69"/>
        <v>Yes</v>
      </c>
      <c r="L1103" s="5" t="str">
        <f t="shared" si="71"/>
        <v>No</v>
      </c>
      <c r="M1103" s="5">
        <f t="shared" si="70"/>
        <v>0</v>
      </c>
    </row>
    <row r="1104" spans="1:13" x14ac:dyDescent="0.3">
      <c r="A1104" s="2" t="s">
        <v>3733</v>
      </c>
      <c r="B1104" s="2" t="s">
        <v>1253</v>
      </c>
      <c r="C1104" s="2" t="s">
        <v>2611</v>
      </c>
      <c r="D1104" s="3">
        <v>45830</v>
      </c>
      <c r="E1104" s="3">
        <v>45833</v>
      </c>
      <c r="F1104" s="3">
        <v>45837</v>
      </c>
      <c r="G1104" s="2" t="s">
        <v>2631</v>
      </c>
      <c r="H1104" s="2">
        <v>34</v>
      </c>
      <c r="I1104" s="2">
        <f>IFERROR(INDEX(Raw_Orders!H1104:H3532,MATCH(B1104,Raw_Orders!A1104:A3532,0)),0)</f>
        <v>38</v>
      </c>
      <c r="J1104" s="2" t="str">
        <f t="shared" si="68"/>
        <v>No</v>
      </c>
      <c r="K1104" s="2" t="str">
        <f t="shared" si="69"/>
        <v>N0</v>
      </c>
      <c r="L1104" s="2" t="str">
        <f t="shared" si="71"/>
        <v>No</v>
      </c>
      <c r="M1104" s="2">
        <f t="shared" si="70"/>
        <v>0</v>
      </c>
    </row>
    <row r="1105" spans="1:13" x14ac:dyDescent="0.3">
      <c r="A1105" s="5" t="s">
        <v>3734</v>
      </c>
      <c r="B1105" s="5" t="s">
        <v>1254</v>
      </c>
      <c r="C1105" s="5" t="s">
        <v>2611</v>
      </c>
      <c r="D1105" s="6">
        <v>45832</v>
      </c>
      <c r="E1105" s="6">
        <v>45835</v>
      </c>
      <c r="F1105" s="6">
        <v>45838</v>
      </c>
      <c r="G1105" s="5" t="s">
        <v>2629</v>
      </c>
      <c r="H1105" s="5">
        <v>41</v>
      </c>
      <c r="I1105" s="5">
        <f>IFERROR(INDEX(Raw_Orders!H1105:H3533,MATCH(B1105,Raw_Orders!A1105:A3533,0)),0)</f>
        <v>41</v>
      </c>
      <c r="J1105" s="5" t="str">
        <f t="shared" si="68"/>
        <v>No</v>
      </c>
      <c r="K1105" s="5" t="str">
        <f t="shared" si="69"/>
        <v>Yes</v>
      </c>
      <c r="L1105" s="5" t="str">
        <f t="shared" si="71"/>
        <v>No</v>
      </c>
      <c r="M1105" s="5">
        <f t="shared" si="70"/>
        <v>0</v>
      </c>
    </row>
    <row r="1106" spans="1:13" x14ac:dyDescent="0.3">
      <c r="A1106" s="2" t="s">
        <v>3735</v>
      </c>
      <c r="B1106" s="2" t="s">
        <v>1255</v>
      </c>
      <c r="C1106" s="2" t="s">
        <v>2601</v>
      </c>
      <c r="D1106" s="3">
        <v>45832</v>
      </c>
      <c r="E1106" s="3">
        <v>45836</v>
      </c>
      <c r="F1106" s="3">
        <v>45837</v>
      </c>
      <c r="G1106" s="2" t="s">
        <v>2641</v>
      </c>
      <c r="H1106" s="2">
        <v>8</v>
      </c>
      <c r="I1106" s="2">
        <f>IFERROR(INDEX(Raw_Orders!H1106:H3534,MATCH(B1106,Raw_Orders!A1106:A3534,0)),0)</f>
        <v>8</v>
      </c>
      <c r="J1106" s="2" t="str">
        <f t="shared" si="68"/>
        <v>No</v>
      </c>
      <c r="K1106" s="2" t="str">
        <f t="shared" si="69"/>
        <v>Yes</v>
      </c>
      <c r="L1106" s="2" t="str">
        <f t="shared" si="71"/>
        <v>No</v>
      </c>
      <c r="M1106" s="2">
        <f t="shared" si="70"/>
        <v>0</v>
      </c>
    </row>
    <row r="1107" spans="1:13" x14ac:dyDescent="0.3">
      <c r="A1107" s="5" t="s">
        <v>3736</v>
      </c>
      <c r="B1107" s="5" t="s">
        <v>1256</v>
      </c>
      <c r="C1107" s="5" t="s">
        <v>2601</v>
      </c>
      <c r="D1107" s="6">
        <v>45830</v>
      </c>
      <c r="E1107" s="6">
        <v>45839</v>
      </c>
      <c r="F1107" s="6">
        <v>45839</v>
      </c>
      <c r="G1107" s="5" t="s">
        <v>2627</v>
      </c>
      <c r="H1107" s="5">
        <v>8</v>
      </c>
      <c r="I1107" s="5">
        <f>IFERROR(INDEX(Raw_Orders!H1107:H3535,MATCH(B1107,Raw_Orders!A1107:A3535,0)),0)</f>
        <v>8</v>
      </c>
      <c r="J1107" s="5" t="str">
        <f t="shared" si="68"/>
        <v>Yes</v>
      </c>
      <c r="K1107" s="5" t="str">
        <f t="shared" si="69"/>
        <v>Yes</v>
      </c>
      <c r="L1107" s="5" t="str">
        <f t="shared" si="71"/>
        <v>Yes</v>
      </c>
      <c r="M1107" s="5">
        <f t="shared" si="70"/>
        <v>1</v>
      </c>
    </row>
    <row r="1108" spans="1:13" x14ac:dyDescent="0.3">
      <c r="A1108" s="2" t="s">
        <v>3737</v>
      </c>
      <c r="B1108" s="2" t="s">
        <v>1257</v>
      </c>
      <c r="C1108" s="2" t="s">
        <v>2616</v>
      </c>
      <c r="D1108" s="3">
        <v>45832</v>
      </c>
      <c r="E1108" s="3">
        <v>45840</v>
      </c>
      <c r="F1108" s="3">
        <v>45847</v>
      </c>
      <c r="G1108" s="2" t="s">
        <v>2629</v>
      </c>
      <c r="H1108" s="2">
        <v>18</v>
      </c>
      <c r="I1108" s="2">
        <f>IFERROR(INDEX(Raw_Orders!H1108:H3536,MATCH(B1108,Raw_Orders!A1108:A3536,0)),0)</f>
        <v>18</v>
      </c>
      <c r="J1108" s="2" t="str">
        <f t="shared" si="68"/>
        <v>No</v>
      </c>
      <c r="K1108" s="2" t="str">
        <f t="shared" si="69"/>
        <v>Yes</v>
      </c>
      <c r="L1108" s="2" t="str">
        <f t="shared" si="71"/>
        <v>No</v>
      </c>
      <c r="M1108" s="2">
        <f t="shared" si="70"/>
        <v>0</v>
      </c>
    </row>
    <row r="1109" spans="1:13" x14ac:dyDescent="0.3">
      <c r="A1109" s="5" t="s">
        <v>3738</v>
      </c>
      <c r="B1109" s="5" t="s">
        <v>1258</v>
      </c>
      <c r="C1109" s="5" t="s">
        <v>2606</v>
      </c>
      <c r="D1109" s="6">
        <v>45832</v>
      </c>
      <c r="E1109" s="6">
        <v>45839</v>
      </c>
      <c r="F1109" s="6">
        <v>45838</v>
      </c>
      <c r="G1109" s="5" t="s">
        <v>2633</v>
      </c>
      <c r="H1109" s="5">
        <v>55</v>
      </c>
      <c r="I1109" s="5">
        <f>IFERROR(INDEX(Raw_Orders!H1109:H3537,MATCH(B1109,Raw_Orders!A1109:A3537,0)),0)</f>
        <v>55</v>
      </c>
      <c r="J1109" s="5" t="str">
        <f t="shared" si="68"/>
        <v>Yes</v>
      </c>
      <c r="K1109" s="5" t="str">
        <f t="shared" si="69"/>
        <v>Yes</v>
      </c>
      <c r="L1109" s="5" t="str">
        <f t="shared" si="71"/>
        <v>Yes</v>
      </c>
      <c r="M1109" s="5">
        <f t="shared" si="70"/>
        <v>1</v>
      </c>
    </row>
    <row r="1110" spans="1:13" x14ac:dyDescent="0.3">
      <c r="A1110" s="2" t="s">
        <v>3739</v>
      </c>
      <c r="B1110" s="2" t="s">
        <v>1259</v>
      </c>
      <c r="C1110" s="2" t="s">
        <v>2606</v>
      </c>
      <c r="D1110" s="3">
        <v>45830</v>
      </c>
      <c r="E1110" s="3">
        <v>45839</v>
      </c>
      <c r="F1110" s="3">
        <v>45836</v>
      </c>
      <c r="G1110" s="2" t="s">
        <v>2641</v>
      </c>
      <c r="H1110" s="2">
        <v>24</v>
      </c>
      <c r="I1110" s="2">
        <f>IFERROR(INDEX(Raw_Orders!H1110:H3538,MATCH(B1110,Raw_Orders!A1110:A3538,0)),0)</f>
        <v>24</v>
      </c>
      <c r="J1110" s="2" t="str">
        <f t="shared" si="68"/>
        <v>Yes</v>
      </c>
      <c r="K1110" s="2" t="str">
        <f t="shared" si="69"/>
        <v>Yes</v>
      </c>
      <c r="L1110" s="2" t="str">
        <f t="shared" si="71"/>
        <v>Yes</v>
      </c>
      <c r="M1110" s="2">
        <f t="shared" si="70"/>
        <v>1</v>
      </c>
    </row>
    <row r="1111" spans="1:13" x14ac:dyDescent="0.3">
      <c r="A1111" s="5" t="s">
        <v>3740</v>
      </c>
      <c r="B1111" s="5" t="s">
        <v>1260</v>
      </c>
      <c r="C1111" s="5" t="s">
        <v>2606</v>
      </c>
      <c r="D1111" s="6">
        <v>45830</v>
      </c>
      <c r="E1111" s="6">
        <v>45839</v>
      </c>
      <c r="F1111" s="6">
        <v>45836</v>
      </c>
      <c r="G1111" s="5" t="s">
        <v>2627</v>
      </c>
      <c r="H1111" s="5">
        <v>15</v>
      </c>
      <c r="I1111" s="5">
        <f>IFERROR(INDEX(Raw_Orders!H1111:H3539,MATCH(B1111,Raw_Orders!A1111:A3539,0)),0)</f>
        <v>15</v>
      </c>
      <c r="J1111" s="5" t="str">
        <f t="shared" si="68"/>
        <v>Yes</v>
      </c>
      <c r="K1111" s="5" t="str">
        <f t="shared" si="69"/>
        <v>Yes</v>
      </c>
      <c r="L1111" s="5" t="str">
        <f t="shared" si="71"/>
        <v>Yes</v>
      </c>
      <c r="M1111" s="5">
        <f t="shared" si="70"/>
        <v>1</v>
      </c>
    </row>
    <row r="1112" spans="1:13" x14ac:dyDescent="0.3">
      <c r="A1112" s="2" t="s">
        <v>3741</v>
      </c>
      <c r="B1112" s="2" t="s">
        <v>1261</v>
      </c>
      <c r="C1112" s="2" t="s">
        <v>2608</v>
      </c>
      <c r="D1112" s="3">
        <v>45830</v>
      </c>
      <c r="E1112" s="3">
        <v>45838</v>
      </c>
      <c r="F1112" s="3">
        <v>45843</v>
      </c>
      <c r="G1112" s="2" t="s">
        <v>2633</v>
      </c>
      <c r="H1112" s="2">
        <v>27</v>
      </c>
      <c r="I1112" s="2">
        <f>IFERROR(INDEX(Raw_Orders!H1112:H3540,MATCH(B1112,Raw_Orders!A1112:A3540,0)),0)</f>
        <v>27</v>
      </c>
      <c r="J1112" s="2" t="str">
        <f t="shared" si="68"/>
        <v>No</v>
      </c>
      <c r="K1112" s="2" t="str">
        <f t="shared" si="69"/>
        <v>Yes</v>
      </c>
      <c r="L1112" s="2" t="str">
        <f t="shared" si="71"/>
        <v>No</v>
      </c>
      <c r="M1112" s="2">
        <f t="shared" si="70"/>
        <v>0</v>
      </c>
    </row>
    <row r="1113" spans="1:13" x14ac:dyDescent="0.3">
      <c r="A1113" s="5" t="s">
        <v>3742</v>
      </c>
      <c r="B1113" s="5" t="s">
        <v>1262</v>
      </c>
      <c r="C1113" s="5" t="s">
        <v>2608</v>
      </c>
      <c r="D1113" s="6">
        <v>45830</v>
      </c>
      <c r="E1113" s="6">
        <v>45839</v>
      </c>
      <c r="F1113" s="6">
        <v>45843</v>
      </c>
      <c r="G1113" s="5" t="s">
        <v>2641</v>
      </c>
      <c r="H1113" s="5">
        <v>6</v>
      </c>
      <c r="I1113" s="5">
        <f>IFERROR(INDEX(Raw_Orders!H1113:H3541,MATCH(B1113,Raw_Orders!A1113:A3541,0)),0)</f>
        <v>6</v>
      </c>
      <c r="J1113" s="5" t="str">
        <f t="shared" si="68"/>
        <v>No</v>
      </c>
      <c r="K1113" s="5" t="str">
        <f t="shared" si="69"/>
        <v>Yes</v>
      </c>
      <c r="L1113" s="5" t="str">
        <f t="shared" si="71"/>
        <v>No</v>
      </c>
      <c r="M1113" s="5">
        <f t="shared" si="70"/>
        <v>0</v>
      </c>
    </row>
    <row r="1114" spans="1:13" x14ac:dyDescent="0.3">
      <c r="A1114" s="2" t="s">
        <v>3743</v>
      </c>
      <c r="B1114" s="2" t="s">
        <v>1263</v>
      </c>
      <c r="C1114" s="2" t="s">
        <v>2611</v>
      </c>
      <c r="D1114" s="3">
        <v>45831</v>
      </c>
      <c r="E1114" s="3">
        <v>45838</v>
      </c>
      <c r="F1114" s="3">
        <v>45838</v>
      </c>
      <c r="G1114" s="2" t="s">
        <v>2633</v>
      </c>
      <c r="H1114" s="2">
        <v>17</v>
      </c>
      <c r="I1114" s="2">
        <f>IFERROR(INDEX(Raw_Orders!H1114:H3542,MATCH(B1114,Raw_Orders!A1114:A3542,0)),0)</f>
        <v>17</v>
      </c>
      <c r="J1114" s="2" t="str">
        <f t="shared" si="68"/>
        <v>Yes</v>
      </c>
      <c r="K1114" s="2" t="str">
        <f t="shared" si="69"/>
        <v>Yes</v>
      </c>
      <c r="L1114" s="2" t="str">
        <f t="shared" si="71"/>
        <v>Yes</v>
      </c>
      <c r="M1114" s="2">
        <f t="shared" si="70"/>
        <v>1</v>
      </c>
    </row>
    <row r="1115" spans="1:13" x14ac:dyDescent="0.3">
      <c r="A1115" s="5" t="s">
        <v>3744</v>
      </c>
      <c r="B1115" s="5" t="s">
        <v>1264</v>
      </c>
      <c r="C1115" s="5" t="s">
        <v>2614</v>
      </c>
      <c r="D1115" s="6">
        <v>45832</v>
      </c>
      <c r="E1115" s="6">
        <v>45837</v>
      </c>
      <c r="F1115" s="6">
        <v>45848</v>
      </c>
      <c r="G1115" s="5" t="s">
        <v>2629</v>
      </c>
      <c r="H1115" s="5">
        <v>13</v>
      </c>
      <c r="I1115" s="5">
        <f>IFERROR(INDEX(Raw_Orders!H1115:H3543,MATCH(B1115,Raw_Orders!A1115:A3543,0)),0)</f>
        <v>13</v>
      </c>
      <c r="J1115" s="5" t="str">
        <f t="shared" si="68"/>
        <v>No</v>
      </c>
      <c r="K1115" s="5" t="str">
        <f t="shared" si="69"/>
        <v>Yes</v>
      </c>
      <c r="L1115" s="5" t="str">
        <f t="shared" si="71"/>
        <v>No</v>
      </c>
      <c r="M1115" s="5">
        <f t="shared" si="70"/>
        <v>0</v>
      </c>
    </row>
    <row r="1116" spans="1:13" x14ac:dyDescent="0.3">
      <c r="A1116" s="2" t="s">
        <v>3745</v>
      </c>
      <c r="B1116" s="2" t="s">
        <v>1265</v>
      </c>
      <c r="C1116" s="2" t="s">
        <v>2606</v>
      </c>
      <c r="D1116" s="3">
        <v>45832</v>
      </c>
      <c r="E1116" s="3">
        <v>45839</v>
      </c>
      <c r="F1116" s="3">
        <v>45839</v>
      </c>
      <c r="G1116" s="2" t="s">
        <v>2629</v>
      </c>
      <c r="H1116" s="2">
        <v>8</v>
      </c>
      <c r="I1116" s="2">
        <f>IFERROR(INDEX(Raw_Orders!H1116:H3544,MATCH(B1116,Raw_Orders!A1116:A3544,0)),0)</f>
        <v>11</v>
      </c>
      <c r="J1116" s="2" t="str">
        <f t="shared" si="68"/>
        <v>Yes</v>
      </c>
      <c r="K1116" s="2" t="str">
        <f t="shared" si="69"/>
        <v>N0</v>
      </c>
      <c r="L1116" s="2" t="str">
        <f t="shared" si="71"/>
        <v>No</v>
      </c>
      <c r="M1116" s="2">
        <f t="shared" si="70"/>
        <v>0</v>
      </c>
    </row>
    <row r="1117" spans="1:13" x14ac:dyDescent="0.3">
      <c r="A1117" s="5" t="s">
        <v>3746</v>
      </c>
      <c r="B1117" s="5" t="s">
        <v>1266</v>
      </c>
      <c r="C1117" s="5" t="s">
        <v>2608</v>
      </c>
      <c r="D1117" s="6">
        <v>45832</v>
      </c>
      <c r="E1117" s="6">
        <v>45835</v>
      </c>
      <c r="F1117" s="6">
        <v>45844</v>
      </c>
      <c r="G1117" s="5" t="s">
        <v>2641</v>
      </c>
      <c r="H1117" s="5">
        <v>36</v>
      </c>
      <c r="I1117" s="5">
        <f>IFERROR(INDEX(Raw_Orders!H1117:H3545,MATCH(B1117,Raw_Orders!A1117:A3545,0)),0)</f>
        <v>36</v>
      </c>
      <c r="J1117" s="5" t="str">
        <f t="shared" si="68"/>
        <v>No</v>
      </c>
      <c r="K1117" s="5" t="str">
        <f t="shared" si="69"/>
        <v>Yes</v>
      </c>
      <c r="L1117" s="5" t="str">
        <f t="shared" si="71"/>
        <v>No</v>
      </c>
      <c r="M1117" s="5">
        <f t="shared" si="70"/>
        <v>0</v>
      </c>
    </row>
    <row r="1118" spans="1:13" x14ac:dyDescent="0.3">
      <c r="A1118" s="2" t="s">
        <v>3747</v>
      </c>
      <c r="B1118" s="2" t="s">
        <v>1267</v>
      </c>
      <c r="C1118" s="2" t="s">
        <v>2608</v>
      </c>
      <c r="D1118" s="3">
        <v>45832</v>
      </c>
      <c r="E1118" s="3">
        <v>45835</v>
      </c>
      <c r="F1118" s="3">
        <v>45844</v>
      </c>
      <c r="G1118" s="2" t="s">
        <v>2631</v>
      </c>
      <c r="H1118" s="2">
        <v>7</v>
      </c>
      <c r="I1118" s="2">
        <f>IFERROR(INDEX(Raw_Orders!H1118:H3546,MATCH(B1118,Raw_Orders!A1118:A3546,0)),0)</f>
        <v>7</v>
      </c>
      <c r="J1118" s="2" t="str">
        <f t="shared" si="68"/>
        <v>No</v>
      </c>
      <c r="K1118" s="2" t="str">
        <f t="shared" si="69"/>
        <v>Yes</v>
      </c>
      <c r="L1118" s="2" t="str">
        <f t="shared" si="71"/>
        <v>No</v>
      </c>
      <c r="M1118" s="2">
        <f t="shared" si="70"/>
        <v>0</v>
      </c>
    </row>
    <row r="1119" spans="1:13" x14ac:dyDescent="0.3">
      <c r="A1119" s="5" t="s">
        <v>3748</v>
      </c>
      <c r="B1119" s="5" t="s">
        <v>1268</v>
      </c>
      <c r="C1119" s="5" t="s">
        <v>2608</v>
      </c>
      <c r="D1119" s="6">
        <v>45833</v>
      </c>
      <c r="E1119" s="6">
        <v>45837</v>
      </c>
      <c r="F1119" s="6">
        <v>45847</v>
      </c>
      <c r="G1119" s="5" t="s">
        <v>2627</v>
      </c>
      <c r="H1119" s="5">
        <v>10</v>
      </c>
      <c r="I1119" s="5">
        <f>IFERROR(INDEX(Raw_Orders!H1119:H3547,MATCH(B1119,Raw_Orders!A1119:A3547,0)),0)</f>
        <v>13</v>
      </c>
      <c r="J1119" s="5" t="str">
        <f t="shared" si="68"/>
        <v>No</v>
      </c>
      <c r="K1119" s="5" t="str">
        <f t="shared" si="69"/>
        <v>N0</v>
      </c>
      <c r="L1119" s="5" t="str">
        <f t="shared" si="71"/>
        <v>No</v>
      </c>
      <c r="M1119" s="5">
        <f t="shared" si="70"/>
        <v>0</v>
      </c>
    </row>
    <row r="1120" spans="1:13" x14ac:dyDescent="0.3">
      <c r="A1120" s="2" t="s">
        <v>3749</v>
      </c>
      <c r="B1120" s="2" t="s">
        <v>1269</v>
      </c>
      <c r="C1120" s="2" t="s">
        <v>2611</v>
      </c>
      <c r="D1120" s="3">
        <v>45834</v>
      </c>
      <c r="E1120" s="3">
        <v>45837</v>
      </c>
      <c r="F1120" s="3">
        <v>45841</v>
      </c>
      <c r="G1120" s="2" t="s">
        <v>2627</v>
      </c>
      <c r="H1120" s="2">
        <v>16</v>
      </c>
      <c r="I1120" s="2">
        <f>IFERROR(INDEX(Raw_Orders!H1120:H3548,MATCH(B1120,Raw_Orders!A1120:A3548,0)),0)</f>
        <v>16</v>
      </c>
      <c r="J1120" s="2" t="str">
        <f t="shared" si="68"/>
        <v>No</v>
      </c>
      <c r="K1120" s="2" t="str">
        <f t="shared" si="69"/>
        <v>Yes</v>
      </c>
      <c r="L1120" s="2" t="str">
        <f t="shared" si="71"/>
        <v>No</v>
      </c>
      <c r="M1120" s="2">
        <f t="shared" si="70"/>
        <v>0</v>
      </c>
    </row>
    <row r="1121" spans="1:13" x14ac:dyDescent="0.3">
      <c r="A1121" s="5" t="s">
        <v>3750</v>
      </c>
      <c r="B1121" s="5" t="s">
        <v>1270</v>
      </c>
      <c r="C1121" s="5" t="s">
        <v>2601</v>
      </c>
      <c r="D1121" s="6">
        <v>45833</v>
      </c>
      <c r="E1121" s="6">
        <v>45836</v>
      </c>
      <c r="F1121" s="6">
        <v>45837</v>
      </c>
      <c r="G1121" s="5" t="s">
        <v>2631</v>
      </c>
      <c r="H1121" s="5">
        <v>19</v>
      </c>
      <c r="I1121" s="5">
        <f>IFERROR(INDEX(Raw_Orders!H1121:H3549,MATCH(B1121,Raw_Orders!A1121:A3549,0)),0)</f>
        <v>21</v>
      </c>
      <c r="J1121" s="5" t="str">
        <f t="shared" si="68"/>
        <v>No</v>
      </c>
      <c r="K1121" s="5" t="str">
        <f t="shared" si="69"/>
        <v>N0</v>
      </c>
      <c r="L1121" s="5" t="str">
        <f t="shared" si="71"/>
        <v>No</v>
      </c>
      <c r="M1121" s="5">
        <f t="shared" si="70"/>
        <v>0</v>
      </c>
    </row>
    <row r="1122" spans="1:13" x14ac:dyDescent="0.3">
      <c r="A1122" s="2" t="s">
        <v>3751</v>
      </c>
      <c r="B1122" s="2" t="s">
        <v>1271</v>
      </c>
      <c r="C1122" s="2" t="s">
        <v>2601</v>
      </c>
      <c r="D1122" s="3">
        <v>45833</v>
      </c>
      <c r="E1122" s="3">
        <v>45840</v>
      </c>
      <c r="F1122" s="3">
        <v>45839</v>
      </c>
      <c r="G1122" s="2" t="s">
        <v>2633</v>
      </c>
      <c r="H1122" s="2">
        <v>28</v>
      </c>
      <c r="I1122" s="2">
        <f>IFERROR(INDEX(Raw_Orders!H1122:H3550,MATCH(B1122,Raw_Orders!A1122:A3550,0)),0)</f>
        <v>28</v>
      </c>
      <c r="J1122" s="2" t="str">
        <f t="shared" si="68"/>
        <v>Yes</v>
      </c>
      <c r="K1122" s="2" t="str">
        <f t="shared" si="69"/>
        <v>Yes</v>
      </c>
      <c r="L1122" s="2" t="str">
        <f t="shared" si="71"/>
        <v>Yes</v>
      </c>
      <c r="M1122" s="2">
        <f t="shared" si="70"/>
        <v>1</v>
      </c>
    </row>
    <row r="1123" spans="1:13" x14ac:dyDescent="0.3">
      <c r="A1123" s="5" t="s">
        <v>3752</v>
      </c>
      <c r="B1123" s="5" t="s">
        <v>1272</v>
      </c>
      <c r="C1123" s="5" t="s">
        <v>2606</v>
      </c>
      <c r="D1123" s="6">
        <v>45833</v>
      </c>
      <c r="E1123" s="6">
        <v>45835</v>
      </c>
      <c r="F1123" s="6">
        <v>45840</v>
      </c>
      <c r="G1123" s="5" t="s">
        <v>2627</v>
      </c>
      <c r="H1123" s="5">
        <v>33</v>
      </c>
      <c r="I1123" s="5">
        <f>IFERROR(INDEX(Raw_Orders!H1123:H3551,MATCH(B1123,Raw_Orders!A1123:A3551,0)),0)</f>
        <v>33</v>
      </c>
      <c r="J1123" s="5" t="str">
        <f t="shared" si="68"/>
        <v>No</v>
      </c>
      <c r="K1123" s="5" t="str">
        <f t="shared" si="69"/>
        <v>Yes</v>
      </c>
      <c r="L1123" s="5" t="str">
        <f t="shared" si="71"/>
        <v>No</v>
      </c>
      <c r="M1123" s="5">
        <f t="shared" si="70"/>
        <v>0</v>
      </c>
    </row>
    <row r="1124" spans="1:13" x14ac:dyDescent="0.3">
      <c r="A1124" s="2" t="s">
        <v>3753</v>
      </c>
      <c r="B1124" s="2" t="s">
        <v>1273</v>
      </c>
      <c r="C1124" s="2" t="s">
        <v>2614</v>
      </c>
      <c r="D1124" s="3">
        <v>45834</v>
      </c>
      <c r="E1124" s="3">
        <v>45838</v>
      </c>
      <c r="F1124" s="3">
        <v>45848</v>
      </c>
      <c r="G1124" s="2" t="s">
        <v>2631</v>
      </c>
      <c r="H1124" s="2">
        <v>8</v>
      </c>
      <c r="I1124" s="2">
        <f>IFERROR(INDEX(Raw_Orders!H1124:H3552,MATCH(B1124,Raw_Orders!A1124:A3552,0)),0)</f>
        <v>8</v>
      </c>
      <c r="J1124" s="2" t="str">
        <f t="shared" si="68"/>
        <v>No</v>
      </c>
      <c r="K1124" s="2" t="str">
        <f t="shared" si="69"/>
        <v>Yes</v>
      </c>
      <c r="L1124" s="2" t="str">
        <f t="shared" si="71"/>
        <v>No</v>
      </c>
      <c r="M1124" s="2">
        <f t="shared" si="70"/>
        <v>0</v>
      </c>
    </row>
    <row r="1125" spans="1:13" x14ac:dyDescent="0.3">
      <c r="A1125" s="5" t="s">
        <v>3754</v>
      </c>
      <c r="B1125" s="5" t="s">
        <v>1274</v>
      </c>
      <c r="C1125" s="5" t="s">
        <v>2616</v>
      </c>
      <c r="D1125" s="6">
        <v>45833</v>
      </c>
      <c r="E1125" s="6">
        <v>45840</v>
      </c>
      <c r="F1125" s="6">
        <v>45848</v>
      </c>
      <c r="G1125" s="5" t="s">
        <v>2633</v>
      </c>
      <c r="H1125" s="5">
        <v>11</v>
      </c>
      <c r="I1125" s="5">
        <f>IFERROR(INDEX(Raw_Orders!H1125:H3553,MATCH(B1125,Raw_Orders!A1125:A3553,0)),0)</f>
        <v>11</v>
      </c>
      <c r="J1125" s="5" t="str">
        <f t="shared" si="68"/>
        <v>No</v>
      </c>
      <c r="K1125" s="5" t="str">
        <f t="shared" si="69"/>
        <v>Yes</v>
      </c>
      <c r="L1125" s="5" t="str">
        <f t="shared" si="71"/>
        <v>No</v>
      </c>
      <c r="M1125" s="5">
        <f t="shared" si="70"/>
        <v>0</v>
      </c>
    </row>
    <row r="1126" spans="1:13" x14ac:dyDescent="0.3">
      <c r="A1126" s="2" t="s">
        <v>3755</v>
      </c>
      <c r="B1126" s="2" t="s">
        <v>1275</v>
      </c>
      <c r="C1126" s="2" t="s">
        <v>2606</v>
      </c>
      <c r="D1126" s="3">
        <v>45835</v>
      </c>
      <c r="E1126" s="3">
        <v>45837</v>
      </c>
      <c r="F1126" s="3">
        <v>45842</v>
      </c>
      <c r="G1126" s="2" t="s">
        <v>2629</v>
      </c>
      <c r="H1126" s="2">
        <v>22</v>
      </c>
      <c r="I1126" s="2">
        <f>IFERROR(INDEX(Raw_Orders!H1126:H3554,MATCH(B1126,Raw_Orders!A1126:A3554,0)),0)</f>
        <v>22</v>
      </c>
      <c r="J1126" s="2" t="str">
        <f t="shared" si="68"/>
        <v>No</v>
      </c>
      <c r="K1126" s="2" t="str">
        <f t="shared" si="69"/>
        <v>Yes</v>
      </c>
      <c r="L1126" s="2" t="str">
        <f t="shared" si="71"/>
        <v>No</v>
      </c>
      <c r="M1126" s="2">
        <f t="shared" si="70"/>
        <v>0</v>
      </c>
    </row>
    <row r="1127" spans="1:13" x14ac:dyDescent="0.3">
      <c r="A1127" s="5" t="s">
        <v>3756</v>
      </c>
      <c r="B1127" s="5" t="s">
        <v>1276</v>
      </c>
      <c r="C1127" s="5" t="s">
        <v>2608</v>
      </c>
      <c r="D1127" s="6">
        <v>45833</v>
      </c>
      <c r="E1127" s="6">
        <v>45843</v>
      </c>
      <c r="F1127" s="6">
        <v>45847</v>
      </c>
      <c r="G1127" s="5" t="s">
        <v>2629</v>
      </c>
      <c r="H1127" s="5">
        <v>9</v>
      </c>
      <c r="I1127" s="5">
        <f>IFERROR(INDEX(Raw_Orders!H1127:H3555,MATCH(B1127,Raw_Orders!A1127:A3555,0)),0)</f>
        <v>9</v>
      </c>
      <c r="J1127" s="5" t="str">
        <f t="shared" si="68"/>
        <v>No</v>
      </c>
      <c r="K1127" s="5" t="str">
        <f t="shared" si="69"/>
        <v>Yes</v>
      </c>
      <c r="L1127" s="5" t="str">
        <f t="shared" si="71"/>
        <v>No</v>
      </c>
      <c r="M1127" s="5">
        <f t="shared" si="70"/>
        <v>0</v>
      </c>
    </row>
    <row r="1128" spans="1:13" x14ac:dyDescent="0.3">
      <c r="A1128" s="2" t="s">
        <v>3757</v>
      </c>
      <c r="B1128" s="2" t="s">
        <v>1277</v>
      </c>
      <c r="C1128" s="2" t="s">
        <v>2598</v>
      </c>
      <c r="D1128" s="3">
        <v>45836</v>
      </c>
      <c r="E1128" s="3">
        <v>45842</v>
      </c>
      <c r="F1128" s="3">
        <v>45848</v>
      </c>
      <c r="G1128" s="2" t="s">
        <v>2629</v>
      </c>
      <c r="H1128" s="2">
        <v>20</v>
      </c>
      <c r="I1128" s="2">
        <f>IFERROR(INDEX(Raw_Orders!H1128:H3556,MATCH(B1128,Raw_Orders!A1128:A3556,0)),0)</f>
        <v>20</v>
      </c>
      <c r="J1128" s="2" t="str">
        <f t="shared" si="68"/>
        <v>No</v>
      </c>
      <c r="K1128" s="2" t="str">
        <f t="shared" si="69"/>
        <v>Yes</v>
      </c>
      <c r="L1128" s="2" t="str">
        <f t="shared" si="71"/>
        <v>No</v>
      </c>
      <c r="M1128" s="2">
        <f t="shared" si="70"/>
        <v>0</v>
      </c>
    </row>
    <row r="1129" spans="1:13" x14ac:dyDescent="0.3">
      <c r="A1129" s="5" t="s">
        <v>3758</v>
      </c>
      <c r="B1129" s="5" t="s">
        <v>1278</v>
      </c>
      <c r="C1129" s="5" t="s">
        <v>2611</v>
      </c>
      <c r="D1129" s="6">
        <v>45836</v>
      </c>
      <c r="E1129" s="6">
        <v>45843</v>
      </c>
      <c r="F1129" s="6">
        <v>45847</v>
      </c>
      <c r="G1129" s="5" t="s">
        <v>2633</v>
      </c>
      <c r="H1129" s="5">
        <v>24</v>
      </c>
      <c r="I1129" s="5">
        <f>IFERROR(INDEX(Raw_Orders!H1129:H3557,MATCH(B1129,Raw_Orders!A1129:A3557,0)),0)</f>
        <v>24</v>
      </c>
      <c r="J1129" s="5" t="str">
        <f t="shared" si="68"/>
        <v>No</v>
      </c>
      <c r="K1129" s="5" t="str">
        <f t="shared" si="69"/>
        <v>Yes</v>
      </c>
      <c r="L1129" s="5" t="str">
        <f t="shared" si="71"/>
        <v>No</v>
      </c>
      <c r="M1129" s="5">
        <f t="shared" si="70"/>
        <v>0</v>
      </c>
    </row>
    <row r="1130" spans="1:13" x14ac:dyDescent="0.3">
      <c r="A1130" s="2" t="s">
        <v>3759</v>
      </c>
      <c r="B1130" s="2" t="s">
        <v>1279</v>
      </c>
      <c r="C1130" s="2" t="s">
        <v>2614</v>
      </c>
      <c r="D1130" s="3">
        <v>45835</v>
      </c>
      <c r="E1130" s="3">
        <v>45842</v>
      </c>
      <c r="F1130" s="3">
        <v>45848</v>
      </c>
      <c r="G1130" s="2" t="s">
        <v>2629</v>
      </c>
      <c r="H1130" s="2">
        <v>5</v>
      </c>
      <c r="I1130" s="2">
        <f>IFERROR(INDEX(Raw_Orders!H1130:H3558,MATCH(B1130,Raw_Orders!A1130:A3558,0)),0)</f>
        <v>9</v>
      </c>
      <c r="J1130" s="2" t="str">
        <f t="shared" si="68"/>
        <v>No</v>
      </c>
      <c r="K1130" s="2" t="str">
        <f t="shared" si="69"/>
        <v>N0</v>
      </c>
      <c r="L1130" s="2" t="str">
        <f t="shared" si="71"/>
        <v>No</v>
      </c>
      <c r="M1130" s="2">
        <f t="shared" si="70"/>
        <v>0</v>
      </c>
    </row>
    <row r="1131" spans="1:13" x14ac:dyDescent="0.3">
      <c r="A1131" s="5" t="s">
        <v>3760</v>
      </c>
      <c r="B1131" s="5" t="s">
        <v>1280</v>
      </c>
      <c r="C1131" s="5" t="s">
        <v>2601</v>
      </c>
      <c r="D1131" s="6">
        <v>45834</v>
      </c>
      <c r="E1131" s="6">
        <v>45837</v>
      </c>
      <c r="F1131" s="6">
        <v>45843</v>
      </c>
      <c r="G1131" s="5" t="s">
        <v>2641</v>
      </c>
      <c r="H1131" s="5">
        <v>33</v>
      </c>
      <c r="I1131" s="5">
        <f>IFERROR(INDEX(Raw_Orders!H1131:H3559,MATCH(B1131,Raw_Orders!A1131:A3559,0)),0)</f>
        <v>33</v>
      </c>
      <c r="J1131" s="5" t="str">
        <f t="shared" si="68"/>
        <v>No</v>
      </c>
      <c r="K1131" s="5" t="str">
        <f t="shared" si="69"/>
        <v>Yes</v>
      </c>
      <c r="L1131" s="5" t="str">
        <f t="shared" si="71"/>
        <v>No</v>
      </c>
      <c r="M1131" s="5">
        <f t="shared" si="70"/>
        <v>0</v>
      </c>
    </row>
    <row r="1132" spans="1:13" x14ac:dyDescent="0.3">
      <c r="A1132" s="2" t="s">
        <v>3761</v>
      </c>
      <c r="B1132" s="2" t="s">
        <v>1281</v>
      </c>
      <c r="C1132" s="2" t="s">
        <v>2614</v>
      </c>
      <c r="D1132" s="3">
        <v>45836</v>
      </c>
      <c r="E1132" s="3">
        <v>45839</v>
      </c>
      <c r="F1132" s="3">
        <v>45850</v>
      </c>
      <c r="G1132" s="2" t="s">
        <v>2627</v>
      </c>
      <c r="H1132" s="2">
        <v>8</v>
      </c>
      <c r="I1132" s="2">
        <f>IFERROR(INDEX(Raw_Orders!H1132:H3560,MATCH(B1132,Raw_Orders!A1132:A3560,0)),0)</f>
        <v>8</v>
      </c>
      <c r="J1132" s="2" t="str">
        <f t="shared" si="68"/>
        <v>No</v>
      </c>
      <c r="K1132" s="2" t="str">
        <f t="shared" si="69"/>
        <v>Yes</v>
      </c>
      <c r="L1132" s="2" t="str">
        <f t="shared" si="71"/>
        <v>No</v>
      </c>
      <c r="M1132" s="2">
        <f t="shared" si="70"/>
        <v>0</v>
      </c>
    </row>
    <row r="1133" spans="1:13" x14ac:dyDescent="0.3">
      <c r="A1133" s="5" t="s">
        <v>3762</v>
      </c>
      <c r="B1133" s="5" t="s">
        <v>1282</v>
      </c>
      <c r="C1133" s="5" t="s">
        <v>2616</v>
      </c>
      <c r="D1133" s="6">
        <v>45834</v>
      </c>
      <c r="E1133" s="6">
        <v>45837</v>
      </c>
      <c r="F1133" s="6">
        <v>45850</v>
      </c>
      <c r="G1133" s="5" t="s">
        <v>2631</v>
      </c>
      <c r="H1133" s="5">
        <v>22</v>
      </c>
      <c r="I1133" s="5">
        <f>IFERROR(INDEX(Raw_Orders!H1133:H3561,MATCH(B1133,Raw_Orders!A1133:A3561,0)),0)</f>
        <v>26</v>
      </c>
      <c r="J1133" s="5" t="str">
        <f t="shared" si="68"/>
        <v>No</v>
      </c>
      <c r="K1133" s="5" t="str">
        <f t="shared" si="69"/>
        <v>N0</v>
      </c>
      <c r="L1133" s="5" t="str">
        <f t="shared" si="71"/>
        <v>No</v>
      </c>
      <c r="M1133" s="5">
        <f t="shared" si="70"/>
        <v>0</v>
      </c>
    </row>
    <row r="1134" spans="1:13" x14ac:dyDescent="0.3">
      <c r="A1134" s="2" t="s">
        <v>3763</v>
      </c>
      <c r="B1134" s="2" t="s">
        <v>1283</v>
      </c>
      <c r="C1134" s="2" t="s">
        <v>2616</v>
      </c>
      <c r="D1134" s="3">
        <v>45835</v>
      </c>
      <c r="E1134" s="3">
        <v>45841</v>
      </c>
      <c r="F1134" s="3">
        <v>45850</v>
      </c>
      <c r="G1134" s="2" t="s">
        <v>2641</v>
      </c>
      <c r="H1134" s="2">
        <v>12</v>
      </c>
      <c r="I1134" s="2">
        <f>IFERROR(INDEX(Raw_Orders!H1134:H3562,MATCH(B1134,Raw_Orders!A1134:A3562,0)),0)</f>
        <v>12</v>
      </c>
      <c r="J1134" s="2" t="str">
        <f t="shared" si="68"/>
        <v>No</v>
      </c>
      <c r="K1134" s="2" t="str">
        <f t="shared" si="69"/>
        <v>Yes</v>
      </c>
      <c r="L1134" s="2" t="str">
        <f t="shared" si="71"/>
        <v>No</v>
      </c>
      <c r="M1134" s="2">
        <f t="shared" si="70"/>
        <v>0</v>
      </c>
    </row>
    <row r="1135" spans="1:13" x14ac:dyDescent="0.3">
      <c r="A1135" s="5" t="s">
        <v>3764</v>
      </c>
      <c r="B1135" s="5" t="s">
        <v>1284</v>
      </c>
      <c r="C1135" s="5" t="s">
        <v>2608</v>
      </c>
      <c r="D1135" s="6">
        <v>45834</v>
      </c>
      <c r="E1135" s="6">
        <v>45842</v>
      </c>
      <c r="F1135" s="6">
        <v>45846</v>
      </c>
      <c r="G1135" s="5" t="s">
        <v>2641</v>
      </c>
      <c r="H1135" s="5">
        <v>4</v>
      </c>
      <c r="I1135" s="5">
        <f>IFERROR(INDEX(Raw_Orders!H1135:H3563,MATCH(B1135,Raw_Orders!A1135:A3563,0)),0)</f>
        <v>4</v>
      </c>
      <c r="J1135" s="5" t="str">
        <f t="shared" si="68"/>
        <v>No</v>
      </c>
      <c r="K1135" s="5" t="str">
        <f t="shared" si="69"/>
        <v>Yes</v>
      </c>
      <c r="L1135" s="5" t="str">
        <f t="shared" si="71"/>
        <v>No</v>
      </c>
      <c r="M1135" s="5">
        <f t="shared" si="70"/>
        <v>0</v>
      </c>
    </row>
    <row r="1136" spans="1:13" x14ac:dyDescent="0.3">
      <c r="A1136" s="2" t="s">
        <v>3765</v>
      </c>
      <c r="B1136" s="2" t="s">
        <v>1285</v>
      </c>
      <c r="C1136" s="2" t="s">
        <v>2611</v>
      </c>
      <c r="D1136" s="3">
        <v>45837</v>
      </c>
      <c r="E1136" s="3">
        <v>45845</v>
      </c>
      <c r="F1136" s="3">
        <v>45846</v>
      </c>
      <c r="G1136" s="2" t="s">
        <v>2627</v>
      </c>
      <c r="H1136" s="2">
        <v>9</v>
      </c>
      <c r="I1136" s="2">
        <f>IFERROR(INDEX(Raw_Orders!H1136:H3564,MATCH(B1136,Raw_Orders!A1136:A3564,0)),0)</f>
        <v>10</v>
      </c>
      <c r="J1136" s="2" t="str">
        <f t="shared" si="68"/>
        <v>No</v>
      </c>
      <c r="K1136" s="2" t="str">
        <f t="shared" si="69"/>
        <v>N0</v>
      </c>
      <c r="L1136" s="2" t="str">
        <f t="shared" si="71"/>
        <v>No</v>
      </c>
      <c r="M1136" s="2">
        <f t="shared" si="70"/>
        <v>0</v>
      </c>
    </row>
    <row r="1137" spans="1:13" x14ac:dyDescent="0.3">
      <c r="A1137" s="5" t="s">
        <v>3766</v>
      </c>
      <c r="B1137" s="5" t="s">
        <v>1286</v>
      </c>
      <c r="C1137" s="5" t="s">
        <v>2614</v>
      </c>
      <c r="D1137" s="6">
        <v>45835</v>
      </c>
      <c r="E1137" s="6">
        <v>45841</v>
      </c>
      <c r="F1137" s="6">
        <v>45849</v>
      </c>
      <c r="G1137" s="5" t="s">
        <v>2633</v>
      </c>
      <c r="H1137" s="5">
        <v>35</v>
      </c>
      <c r="I1137" s="5">
        <f>IFERROR(INDEX(Raw_Orders!H1137:H3565,MATCH(B1137,Raw_Orders!A1137:A3565,0)),0)</f>
        <v>35</v>
      </c>
      <c r="J1137" s="5" t="str">
        <f t="shared" si="68"/>
        <v>No</v>
      </c>
      <c r="K1137" s="5" t="str">
        <f t="shared" si="69"/>
        <v>Yes</v>
      </c>
      <c r="L1137" s="5" t="str">
        <f t="shared" si="71"/>
        <v>No</v>
      </c>
      <c r="M1137" s="5">
        <f t="shared" si="70"/>
        <v>0</v>
      </c>
    </row>
    <row r="1138" spans="1:13" x14ac:dyDescent="0.3">
      <c r="A1138" s="2" t="s">
        <v>3767</v>
      </c>
      <c r="B1138" s="2" t="s">
        <v>1287</v>
      </c>
      <c r="C1138" s="2" t="s">
        <v>2601</v>
      </c>
      <c r="D1138" s="3">
        <v>45835</v>
      </c>
      <c r="E1138" s="3">
        <v>45840</v>
      </c>
      <c r="F1138" s="3">
        <v>45839</v>
      </c>
      <c r="G1138" s="2" t="s">
        <v>2629</v>
      </c>
      <c r="H1138" s="2">
        <v>10</v>
      </c>
      <c r="I1138" s="2">
        <f>IFERROR(INDEX(Raw_Orders!H1138:H3566,MATCH(B1138,Raw_Orders!A1138:A3566,0)),0)</f>
        <v>10</v>
      </c>
      <c r="J1138" s="2" t="str">
        <f t="shared" si="68"/>
        <v>Yes</v>
      </c>
      <c r="K1138" s="2" t="str">
        <f t="shared" si="69"/>
        <v>Yes</v>
      </c>
      <c r="L1138" s="2" t="str">
        <f t="shared" si="71"/>
        <v>Yes</v>
      </c>
      <c r="M1138" s="2">
        <f t="shared" si="70"/>
        <v>1</v>
      </c>
    </row>
    <row r="1139" spans="1:13" x14ac:dyDescent="0.3">
      <c r="A1139" s="5" t="s">
        <v>3768</v>
      </c>
      <c r="B1139" s="5" t="s">
        <v>1288</v>
      </c>
      <c r="C1139" s="5" t="s">
        <v>2604</v>
      </c>
      <c r="D1139" s="6">
        <v>45836</v>
      </c>
      <c r="E1139" s="6">
        <v>45842</v>
      </c>
      <c r="F1139" s="6">
        <v>45842</v>
      </c>
      <c r="G1139" s="5" t="s">
        <v>2629</v>
      </c>
      <c r="H1139" s="5">
        <v>20</v>
      </c>
      <c r="I1139" s="5">
        <f>IFERROR(INDEX(Raw_Orders!H1139:H3567,MATCH(B1139,Raw_Orders!A1139:A3567,0)),0)</f>
        <v>20</v>
      </c>
      <c r="J1139" s="5" t="str">
        <f t="shared" si="68"/>
        <v>Yes</v>
      </c>
      <c r="K1139" s="5" t="str">
        <f t="shared" si="69"/>
        <v>Yes</v>
      </c>
      <c r="L1139" s="5" t="str">
        <f t="shared" si="71"/>
        <v>Yes</v>
      </c>
      <c r="M1139" s="5">
        <f t="shared" si="70"/>
        <v>1</v>
      </c>
    </row>
    <row r="1140" spans="1:13" x14ac:dyDescent="0.3">
      <c r="A1140" s="2" t="s">
        <v>3769</v>
      </c>
      <c r="B1140" s="2" t="s">
        <v>1289</v>
      </c>
      <c r="C1140" s="2" t="s">
        <v>2616</v>
      </c>
      <c r="D1140" s="3">
        <v>45835</v>
      </c>
      <c r="E1140" s="3">
        <v>45842</v>
      </c>
      <c r="F1140" s="3">
        <v>45851</v>
      </c>
      <c r="G1140" s="2" t="s">
        <v>2633</v>
      </c>
      <c r="H1140" s="2">
        <v>30</v>
      </c>
      <c r="I1140" s="2">
        <f>IFERROR(INDEX(Raw_Orders!H1140:H3568,MATCH(B1140,Raw_Orders!A1140:A3568,0)),0)</f>
        <v>31</v>
      </c>
      <c r="J1140" s="2" t="str">
        <f t="shared" si="68"/>
        <v>No</v>
      </c>
      <c r="K1140" s="2" t="str">
        <f t="shared" si="69"/>
        <v>N0</v>
      </c>
      <c r="L1140" s="2" t="str">
        <f t="shared" si="71"/>
        <v>No</v>
      </c>
      <c r="M1140" s="2">
        <f t="shared" si="70"/>
        <v>0</v>
      </c>
    </row>
    <row r="1141" spans="1:13" x14ac:dyDescent="0.3">
      <c r="A1141" s="5" t="s">
        <v>3770</v>
      </c>
      <c r="B1141" s="5" t="s">
        <v>1290</v>
      </c>
      <c r="C1141" s="5" t="s">
        <v>2606</v>
      </c>
      <c r="D1141" s="6">
        <v>45835</v>
      </c>
      <c r="E1141" s="6">
        <v>45838</v>
      </c>
      <c r="F1141" s="6">
        <v>45841</v>
      </c>
      <c r="G1141" s="5" t="s">
        <v>2633</v>
      </c>
      <c r="H1141" s="5">
        <v>28</v>
      </c>
      <c r="I1141" s="5">
        <f>IFERROR(INDEX(Raw_Orders!H1141:H3569,MATCH(B1141,Raw_Orders!A1141:A3569,0)),0)</f>
        <v>29</v>
      </c>
      <c r="J1141" s="5" t="str">
        <f t="shared" si="68"/>
        <v>No</v>
      </c>
      <c r="K1141" s="5" t="str">
        <f t="shared" si="69"/>
        <v>N0</v>
      </c>
      <c r="L1141" s="5" t="str">
        <f t="shared" si="71"/>
        <v>No</v>
      </c>
      <c r="M1141" s="5">
        <f t="shared" si="70"/>
        <v>0</v>
      </c>
    </row>
    <row r="1142" spans="1:13" x14ac:dyDescent="0.3">
      <c r="A1142" s="2" t="s">
        <v>3771</v>
      </c>
      <c r="B1142" s="2" t="s">
        <v>1291</v>
      </c>
      <c r="C1142" s="2" t="s">
        <v>2608</v>
      </c>
      <c r="D1142" s="3">
        <v>45836</v>
      </c>
      <c r="E1142" s="3">
        <v>45839</v>
      </c>
      <c r="F1142" s="3">
        <v>45850</v>
      </c>
      <c r="G1142" s="2" t="s">
        <v>2641</v>
      </c>
      <c r="H1142" s="2">
        <v>9</v>
      </c>
      <c r="I1142" s="2">
        <f>IFERROR(INDEX(Raw_Orders!H1142:H3570,MATCH(B1142,Raw_Orders!A1142:A3570,0)),0)</f>
        <v>9</v>
      </c>
      <c r="J1142" s="2" t="str">
        <f t="shared" si="68"/>
        <v>No</v>
      </c>
      <c r="K1142" s="2" t="str">
        <f t="shared" si="69"/>
        <v>Yes</v>
      </c>
      <c r="L1142" s="2" t="str">
        <f t="shared" si="71"/>
        <v>No</v>
      </c>
      <c r="M1142" s="2">
        <f t="shared" si="70"/>
        <v>0</v>
      </c>
    </row>
    <row r="1143" spans="1:13" x14ac:dyDescent="0.3">
      <c r="A1143" s="5" t="s">
        <v>3772</v>
      </c>
      <c r="B1143" s="5" t="s">
        <v>1292</v>
      </c>
      <c r="C1143" s="5" t="s">
        <v>2598</v>
      </c>
      <c r="D1143" s="6">
        <v>45836</v>
      </c>
      <c r="E1143" s="6">
        <v>45844</v>
      </c>
      <c r="F1143" s="6">
        <v>45851</v>
      </c>
      <c r="G1143" s="5" t="s">
        <v>2629</v>
      </c>
      <c r="H1143" s="5">
        <v>38</v>
      </c>
      <c r="I1143" s="5">
        <f>IFERROR(INDEX(Raw_Orders!H1143:H3571,MATCH(B1143,Raw_Orders!A1143:A3571,0)),0)</f>
        <v>38</v>
      </c>
      <c r="J1143" s="5" t="str">
        <f t="shared" si="68"/>
        <v>No</v>
      </c>
      <c r="K1143" s="5" t="str">
        <f t="shared" si="69"/>
        <v>Yes</v>
      </c>
      <c r="L1143" s="5" t="str">
        <f t="shared" si="71"/>
        <v>No</v>
      </c>
      <c r="M1143" s="5">
        <f t="shared" si="70"/>
        <v>0</v>
      </c>
    </row>
    <row r="1144" spans="1:13" x14ac:dyDescent="0.3">
      <c r="A1144" s="2" t="s">
        <v>3773</v>
      </c>
      <c r="B1144" s="2" t="s">
        <v>1293</v>
      </c>
      <c r="C1144" s="2" t="s">
        <v>2611</v>
      </c>
      <c r="D1144" s="3">
        <v>45838</v>
      </c>
      <c r="E1144" s="3">
        <v>45841</v>
      </c>
      <c r="F1144" s="3">
        <v>45847</v>
      </c>
      <c r="G1144" s="2" t="s">
        <v>2629</v>
      </c>
      <c r="H1144" s="2">
        <v>15</v>
      </c>
      <c r="I1144" s="2">
        <f>IFERROR(INDEX(Raw_Orders!H1144:H3572,MATCH(B1144,Raw_Orders!A1144:A3572,0)),0)</f>
        <v>15</v>
      </c>
      <c r="J1144" s="2" t="str">
        <f t="shared" si="68"/>
        <v>No</v>
      </c>
      <c r="K1144" s="2" t="str">
        <f t="shared" si="69"/>
        <v>Yes</v>
      </c>
      <c r="L1144" s="2" t="str">
        <f t="shared" si="71"/>
        <v>No</v>
      </c>
      <c r="M1144" s="2">
        <f t="shared" si="70"/>
        <v>0</v>
      </c>
    </row>
    <row r="1145" spans="1:13" x14ac:dyDescent="0.3">
      <c r="A1145" s="5" t="s">
        <v>3774</v>
      </c>
      <c r="B1145" s="5" t="s">
        <v>1294</v>
      </c>
      <c r="C1145" s="5" t="s">
        <v>2601</v>
      </c>
      <c r="D1145" s="6">
        <v>45838</v>
      </c>
      <c r="E1145" s="6">
        <v>45844</v>
      </c>
      <c r="F1145" s="6">
        <v>45847</v>
      </c>
      <c r="G1145" s="5" t="s">
        <v>2627</v>
      </c>
      <c r="H1145" s="5">
        <v>22</v>
      </c>
      <c r="I1145" s="5">
        <f>IFERROR(INDEX(Raw_Orders!H1145:H3573,MATCH(B1145,Raw_Orders!A1145:A3573,0)),0)</f>
        <v>22</v>
      </c>
      <c r="J1145" s="5" t="str">
        <f t="shared" si="68"/>
        <v>No</v>
      </c>
      <c r="K1145" s="5" t="str">
        <f t="shared" si="69"/>
        <v>Yes</v>
      </c>
      <c r="L1145" s="5" t="str">
        <f t="shared" si="71"/>
        <v>No</v>
      </c>
      <c r="M1145" s="5">
        <f t="shared" si="70"/>
        <v>0</v>
      </c>
    </row>
    <row r="1146" spans="1:13" x14ac:dyDescent="0.3">
      <c r="A1146" s="2" t="s">
        <v>3775</v>
      </c>
      <c r="B1146" s="2" t="s">
        <v>1295</v>
      </c>
      <c r="C1146" s="2" t="s">
        <v>2601</v>
      </c>
      <c r="D1146" s="3">
        <v>45838</v>
      </c>
      <c r="E1146" s="3">
        <v>45845</v>
      </c>
      <c r="F1146" s="3">
        <v>45843</v>
      </c>
      <c r="G1146" s="2" t="s">
        <v>2627</v>
      </c>
      <c r="H1146" s="2">
        <v>20</v>
      </c>
      <c r="I1146" s="2">
        <f>IFERROR(INDEX(Raw_Orders!H1146:H3574,MATCH(B1146,Raw_Orders!A1146:A3574,0)),0)</f>
        <v>20</v>
      </c>
      <c r="J1146" s="2" t="str">
        <f t="shared" si="68"/>
        <v>Yes</v>
      </c>
      <c r="K1146" s="2" t="str">
        <f t="shared" si="69"/>
        <v>Yes</v>
      </c>
      <c r="L1146" s="2" t="str">
        <f t="shared" si="71"/>
        <v>Yes</v>
      </c>
      <c r="M1146" s="2">
        <f t="shared" si="70"/>
        <v>1</v>
      </c>
    </row>
    <row r="1147" spans="1:13" x14ac:dyDescent="0.3">
      <c r="A1147" s="5" t="s">
        <v>3776</v>
      </c>
      <c r="B1147" s="5" t="s">
        <v>1296</v>
      </c>
      <c r="C1147" s="5" t="s">
        <v>2616</v>
      </c>
      <c r="D1147" s="6">
        <v>45836</v>
      </c>
      <c r="E1147" s="6">
        <v>45841</v>
      </c>
      <c r="F1147" s="6">
        <v>45850</v>
      </c>
      <c r="G1147" s="5" t="s">
        <v>2641</v>
      </c>
      <c r="H1147" s="5">
        <v>13</v>
      </c>
      <c r="I1147" s="5">
        <f>IFERROR(INDEX(Raw_Orders!H1147:H3575,MATCH(B1147,Raw_Orders!A1147:A3575,0)),0)</f>
        <v>18</v>
      </c>
      <c r="J1147" s="5" t="str">
        <f t="shared" si="68"/>
        <v>No</v>
      </c>
      <c r="K1147" s="5" t="str">
        <f t="shared" si="69"/>
        <v>N0</v>
      </c>
      <c r="L1147" s="5" t="str">
        <f t="shared" si="71"/>
        <v>No</v>
      </c>
      <c r="M1147" s="5">
        <f t="shared" si="70"/>
        <v>0</v>
      </c>
    </row>
    <row r="1148" spans="1:13" x14ac:dyDescent="0.3">
      <c r="A1148" s="2" t="s">
        <v>3777</v>
      </c>
      <c r="B1148" s="2" t="s">
        <v>1297</v>
      </c>
      <c r="C1148" s="2" t="s">
        <v>2604</v>
      </c>
      <c r="D1148" s="3">
        <v>45837</v>
      </c>
      <c r="E1148" s="3">
        <v>45845</v>
      </c>
      <c r="F1148" s="3">
        <v>45840</v>
      </c>
      <c r="G1148" s="2" t="s">
        <v>2641</v>
      </c>
      <c r="H1148" s="2">
        <v>28</v>
      </c>
      <c r="I1148" s="2">
        <f>IFERROR(INDEX(Raw_Orders!H1148:H3576,MATCH(B1148,Raw_Orders!A1148:A3576,0)),0)</f>
        <v>28</v>
      </c>
      <c r="J1148" s="2" t="str">
        <f t="shared" si="68"/>
        <v>Yes</v>
      </c>
      <c r="K1148" s="2" t="str">
        <f t="shared" si="69"/>
        <v>Yes</v>
      </c>
      <c r="L1148" s="2" t="str">
        <f t="shared" si="71"/>
        <v>Yes</v>
      </c>
      <c r="M1148" s="2">
        <f t="shared" si="70"/>
        <v>1</v>
      </c>
    </row>
    <row r="1149" spans="1:13" x14ac:dyDescent="0.3">
      <c r="A1149" s="5" t="s">
        <v>3778</v>
      </c>
      <c r="B1149" s="5" t="s">
        <v>1298</v>
      </c>
      <c r="C1149" s="5" t="s">
        <v>2608</v>
      </c>
      <c r="D1149" s="6">
        <v>45836</v>
      </c>
      <c r="E1149" s="6">
        <v>45841</v>
      </c>
      <c r="F1149" s="6">
        <v>45848</v>
      </c>
      <c r="G1149" s="5" t="s">
        <v>2633</v>
      </c>
      <c r="H1149" s="5">
        <v>8</v>
      </c>
      <c r="I1149" s="5">
        <f>IFERROR(INDEX(Raw_Orders!H1149:H3577,MATCH(B1149,Raw_Orders!A1149:A3577,0)),0)</f>
        <v>8</v>
      </c>
      <c r="J1149" s="5" t="str">
        <f t="shared" si="68"/>
        <v>No</v>
      </c>
      <c r="K1149" s="5" t="str">
        <f t="shared" si="69"/>
        <v>Yes</v>
      </c>
      <c r="L1149" s="5" t="str">
        <f t="shared" si="71"/>
        <v>No</v>
      </c>
      <c r="M1149" s="5">
        <f t="shared" si="70"/>
        <v>0</v>
      </c>
    </row>
    <row r="1150" spans="1:13" x14ac:dyDescent="0.3">
      <c r="A1150" s="2" t="s">
        <v>3779</v>
      </c>
      <c r="B1150" s="2" t="s">
        <v>1299</v>
      </c>
      <c r="C1150" s="2" t="s">
        <v>2616</v>
      </c>
      <c r="D1150" s="3">
        <v>45837</v>
      </c>
      <c r="E1150" s="3">
        <v>45841</v>
      </c>
      <c r="F1150" s="3">
        <v>45854</v>
      </c>
      <c r="G1150" s="2" t="s">
        <v>2627</v>
      </c>
      <c r="H1150" s="2">
        <v>17</v>
      </c>
      <c r="I1150" s="2">
        <f>IFERROR(INDEX(Raw_Orders!H1150:H3578,MATCH(B1150,Raw_Orders!A1150:A3578,0)),0)</f>
        <v>17</v>
      </c>
      <c r="J1150" s="2" t="str">
        <f t="shared" si="68"/>
        <v>No</v>
      </c>
      <c r="K1150" s="2" t="str">
        <f t="shared" si="69"/>
        <v>Yes</v>
      </c>
      <c r="L1150" s="2" t="str">
        <f t="shared" si="71"/>
        <v>No</v>
      </c>
      <c r="M1150" s="2">
        <f t="shared" si="70"/>
        <v>0</v>
      </c>
    </row>
    <row r="1151" spans="1:13" x14ac:dyDescent="0.3">
      <c r="A1151" s="5" t="s">
        <v>3780</v>
      </c>
      <c r="B1151" s="5" t="s">
        <v>1300</v>
      </c>
      <c r="C1151" s="5" t="s">
        <v>2616</v>
      </c>
      <c r="D1151" s="6">
        <v>45838</v>
      </c>
      <c r="E1151" s="6">
        <v>45845</v>
      </c>
      <c r="F1151" s="6">
        <v>45854</v>
      </c>
      <c r="G1151" s="5" t="s">
        <v>2641</v>
      </c>
      <c r="H1151" s="5">
        <v>50</v>
      </c>
      <c r="I1151" s="5">
        <f>IFERROR(INDEX(Raw_Orders!H1151:H3579,MATCH(B1151,Raw_Orders!A1151:A3579,0)),0)</f>
        <v>55</v>
      </c>
      <c r="J1151" s="5" t="str">
        <f t="shared" si="68"/>
        <v>No</v>
      </c>
      <c r="K1151" s="5" t="str">
        <f t="shared" si="69"/>
        <v>N0</v>
      </c>
      <c r="L1151" s="5" t="str">
        <f t="shared" si="71"/>
        <v>No</v>
      </c>
      <c r="M1151" s="5">
        <f t="shared" si="70"/>
        <v>0</v>
      </c>
    </row>
    <row r="1152" spans="1:13" x14ac:dyDescent="0.3">
      <c r="A1152" s="2" t="s">
        <v>3781</v>
      </c>
      <c r="B1152" s="2" t="s">
        <v>1301</v>
      </c>
      <c r="C1152" s="2" t="s">
        <v>2604</v>
      </c>
      <c r="D1152" s="3">
        <v>45837</v>
      </c>
      <c r="E1152" s="3">
        <v>45845</v>
      </c>
      <c r="F1152" s="3">
        <v>45843</v>
      </c>
      <c r="G1152" s="2" t="s">
        <v>2633</v>
      </c>
      <c r="H1152" s="2">
        <v>23</v>
      </c>
      <c r="I1152" s="2">
        <f>IFERROR(INDEX(Raw_Orders!H1152:H3580,MATCH(B1152,Raw_Orders!A1152:A3580,0)),0)</f>
        <v>23</v>
      </c>
      <c r="J1152" s="2" t="str">
        <f t="shared" si="68"/>
        <v>Yes</v>
      </c>
      <c r="K1152" s="2" t="str">
        <f t="shared" si="69"/>
        <v>Yes</v>
      </c>
      <c r="L1152" s="2" t="str">
        <f t="shared" si="71"/>
        <v>Yes</v>
      </c>
      <c r="M1152" s="2">
        <f t="shared" si="70"/>
        <v>1</v>
      </c>
    </row>
    <row r="1153" spans="1:13" x14ac:dyDescent="0.3">
      <c r="A1153" s="5" t="s">
        <v>3782</v>
      </c>
      <c r="B1153" s="5" t="s">
        <v>1302</v>
      </c>
      <c r="C1153" s="5" t="s">
        <v>2606</v>
      </c>
      <c r="D1153" s="6">
        <v>45838</v>
      </c>
      <c r="E1153" s="6">
        <v>45846</v>
      </c>
      <c r="F1153" s="6">
        <v>45844</v>
      </c>
      <c r="G1153" s="5" t="s">
        <v>2641</v>
      </c>
      <c r="H1153" s="5">
        <v>33</v>
      </c>
      <c r="I1153" s="5">
        <f>IFERROR(INDEX(Raw_Orders!H1153:H3581,MATCH(B1153,Raw_Orders!A1153:A3581,0)),0)</f>
        <v>33</v>
      </c>
      <c r="J1153" s="5" t="str">
        <f t="shared" si="68"/>
        <v>Yes</v>
      </c>
      <c r="K1153" s="5" t="str">
        <f t="shared" si="69"/>
        <v>Yes</v>
      </c>
      <c r="L1153" s="5" t="str">
        <f t="shared" si="71"/>
        <v>Yes</v>
      </c>
      <c r="M1153" s="5">
        <f t="shared" si="70"/>
        <v>1</v>
      </c>
    </row>
    <row r="1154" spans="1:13" x14ac:dyDescent="0.3">
      <c r="A1154" s="2" t="s">
        <v>3783</v>
      </c>
      <c r="B1154" s="2" t="s">
        <v>1303</v>
      </c>
      <c r="C1154" s="2" t="s">
        <v>2608</v>
      </c>
      <c r="D1154" s="3">
        <v>45838</v>
      </c>
      <c r="E1154" s="3">
        <v>45841</v>
      </c>
      <c r="F1154" s="3">
        <v>45851</v>
      </c>
      <c r="G1154" s="2" t="s">
        <v>2629</v>
      </c>
      <c r="H1154" s="2">
        <v>1</v>
      </c>
      <c r="I1154" s="2">
        <f>IFERROR(INDEX(Raw_Orders!H1154:H3582,MATCH(B1154,Raw_Orders!A1154:A3582,0)),0)</f>
        <v>7</v>
      </c>
      <c r="J1154" s="2" t="str">
        <f t="shared" si="68"/>
        <v>No</v>
      </c>
      <c r="K1154" s="2" t="str">
        <f t="shared" si="69"/>
        <v>N0</v>
      </c>
      <c r="L1154" s="2" t="str">
        <f t="shared" si="71"/>
        <v>No</v>
      </c>
      <c r="M1154" s="2">
        <f t="shared" si="70"/>
        <v>0</v>
      </c>
    </row>
    <row r="1155" spans="1:13" x14ac:dyDescent="0.3">
      <c r="A1155" s="5" t="s">
        <v>3784</v>
      </c>
      <c r="B1155" s="5" t="s">
        <v>1304</v>
      </c>
      <c r="C1155" s="5" t="s">
        <v>2608</v>
      </c>
      <c r="D1155" s="6">
        <v>45838</v>
      </c>
      <c r="E1155" s="6">
        <v>45840</v>
      </c>
      <c r="F1155" s="6">
        <v>45852</v>
      </c>
      <c r="G1155" s="5" t="s">
        <v>2627</v>
      </c>
      <c r="H1155" s="5">
        <v>5</v>
      </c>
      <c r="I1155" s="5">
        <f>IFERROR(INDEX(Raw_Orders!H1155:H3583,MATCH(B1155,Raw_Orders!A1155:A3583,0)),0)</f>
        <v>5</v>
      </c>
      <c r="J1155" s="5" t="str">
        <f t="shared" ref="J1155:J1218" si="72">IF(E1155&gt;=F1155,"Yes","No")</f>
        <v>No</v>
      </c>
      <c r="K1155" s="5" t="str">
        <f t="shared" ref="K1155:K1218" si="73">IF(H1155&gt;=I1155,"Yes","N0")</f>
        <v>Yes</v>
      </c>
      <c r="L1155" s="5" t="str">
        <f t="shared" si="71"/>
        <v>No</v>
      </c>
      <c r="M1155" s="5">
        <f t="shared" ref="M1155:M1218" si="74">IF(L1155="Yes",1,0)</f>
        <v>0</v>
      </c>
    </row>
    <row r="1156" spans="1:13" x14ac:dyDescent="0.3">
      <c r="A1156" s="2" t="s">
        <v>3785</v>
      </c>
      <c r="B1156" s="2" t="s">
        <v>1305</v>
      </c>
      <c r="C1156" s="2" t="s">
        <v>2606</v>
      </c>
      <c r="D1156" s="3">
        <v>45839</v>
      </c>
      <c r="E1156" s="3">
        <v>45846</v>
      </c>
      <c r="F1156" s="3">
        <v>45845</v>
      </c>
      <c r="G1156" s="2" t="s">
        <v>2633</v>
      </c>
      <c r="H1156" s="2">
        <v>12</v>
      </c>
      <c r="I1156" s="2">
        <f>IFERROR(INDEX(Raw_Orders!H1156:H3584,MATCH(B1156,Raw_Orders!A1156:A3584,0)),0)</f>
        <v>13</v>
      </c>
      <c r="J1156" s="2" t="str">
        <f t="shared" si="72"/>
        <v>Yes</v>
      </c>
      <c r="K1156" s="2" t="str">
        <f t="shared" si="73"/>
        <v>N0</v>
      </c>
      <c r="L1156" s="2" t="str">
        <f t="shared" ref="L1156:L1219" si="75">IF(AND(J1156="Yes",K1156="Yes"),"Yes","No")</f>
        <v>No</v>
      </c>
      <c r="M1156" s="2">
        <f t="shared" si="74"/>
        <v>0</v>
      </c>
    </row>
    <row r="1157" spans="1:13" x14ac:dyDescent="0.3">
      <c r="A1157" s="5" t="s">
        <v>3786</v>
      </c>
      <c r="B1157" s="5" t="s">
        <v>1306</v>
      </c>
      <c r="C1157" s="5" t="s">
        <v>2606</v>
      </c>
      <c r="D1157" s="6">
        <v>45840</v>
      </c>
      <c r="E1157" s="6">
        <v>45847</v>
      </c>
      <c r="F1157" s="6">
        <v>45846</v>
      </c>
      <c r="G1157" s="5" t="s">
        <v>2633</v>
      </c>
      <c r="H1157" s="5">
        <v>32</v>
      </c>
      <c r="I1157" s="5">
        <f>IFERROR(INDEX(Raw_Orders!H1157:H3585,MATCH(B1157,Raw_Orders!A1157:A3585,0)),0)</f>
        <v>32</v>
      </c>
      <c r="J1157" s="5" t="str">
        <f t="shared" si="72"/>
        <v>Yes</v>
      </c>
      <c r="K1157" s="5" t="str">
        <f t="shared" si="73"/>
        <v>Yes</v>
      </c>
      <c r="L1157" s="5" t="str">
        <f t="shared" si="75"/>
        <v>Yes</v>
      </c>
      <c r="M1157" s="5">
        <f t="shared" si="74"/>
        <v>1</v>
      </c>
    </row>
    <row r="1158" spans="1:13" x14ac:dyDescent="0.3">
      <c r="A1158" s="2" t="s">
        <v>3787</v>
      </c>
      <c r="B1158" s="2" t="s">
        <v>1307</v>
      </c>
      <c r="C1158" s="2" t="s">
        <v>2604</v>
      </c>
      <c r="D1158" s="3">
        <v>45841</v>
      </c>
      <c r="E1158" s="3">
        <v>45842</v>
      </c>
      <c r="F1158" s="3">
        <v>45849</v>
      </c>
      <c r="G1158" s="2" t="s">
        <v>2633</v>
      </c>
      <c r="H1158" s="2">
        <v>31</v>
      </c>
      <c r="I1158" s="2">
        <f>IFERROR(INDEX(Raw_Orders!H1158:H3586,MATCH(B1158,Raw_Orders!A1158:A3586,0)),0)</f>
        <v>31</v>
      </c>
      <c r="J1158" s="2" t="str">
        <f t="shared" si="72"/>
        <v>No</v>
      </c>
      <c r="K1158" s="2" t="str">
        <f t="shared" si="73"/>
        <v>Yes</v>
      </c>
      <c r="L1158" s="2" t="str">
        <f t="shared" si="75"/>
        <v>No</v>
      </c>
      <c r="M1158" s="2">
        <f t="shared" si="74"/>
        <v>0</v>
      </c>
    </row>
    <row r="1159" spans="1:13" x14ac:dyDescent="0.3">
      <c r="A1159" s="5" t="s">
        <v>3788</v>
      </c>
      <c r="B1159" s="5" t="s">
        <v>1308</v>
      </c>
      <c r="C1159" s="5" t="s">
        <v>2606</v>
      </c>
      <c r="D1159" s="6">
        <v>45839</v>
      </c>
      <c r="E1159" s="6">
        <v>45844</v>
      </c>
      <c r="F1159" s="6">
        <v>45847</v>
      </c>
      <c r="G1159" s="5" t="s">
        <v>2629</v>
      </c>
      <c r="H1159" s="5">
        <v>35</v>
      </c>
      <c r="I1159" s="5">
        <f>IFERROR(INDEX(Raw_Orders!H1159:H3587,MATCH(B1159,Raw_Orders!A1159:A3587,0)),0)</f>
        <v>35</v>
      </c>
      <c r="J1159" s="5" t="str">
        <f t="shared" si="72"/>
        <v>No</v>
      </c>
      <c r="K1159" s="5" t="str">
        <f t="shared" si="73"/>
        <v>Yes</v>
      </c>
      <c r="L1159" s="5" t="str">
        <f t="shared" si="75"/>
        <v>No</v>
      </c>
      <c r="M1159" s="5">
        <f t="shared" si="74"/>
        <v>0</v>
      </c>
    </row>
    <row r="1160" spans="1:13" x14ac:dyDescent="0.3">
      <c r="A1160" s="2" t="s">
        <v>3789</v>
      </c>
      <c r="B1160" s="2" t="s">
        <v>1309</v>
      </c>
      <c r="C1160" s="2" t="s">
        <v>2608</v>
      </c>
      <c r="D1160" s="3">
        <v>45839</v>
      </c>
      <c r="E1160" s="3">
        <v>45849</v>
      </c>
      <c r="F1160" s="3">
        <v>45852</v>
      </c>
      <c r="G1160" s="2" t="s">
        <v>2629</v>
      </c>
      <c r="H1160" s="2">
        <v>20</v>
      </c>
      <c r="I1160" s="2">
        <f>IFERROR(INDEX(Raw_Orders!H1160:H3588,MATCH(B1160,Raw_Orders!A1160:A3588,0)),0)</f>
        <v>20</v>
      </c>
      <c r="J1160" s="2" t="str">
        <f t="shared" si="72"/>
        <v>No</v>
      </c>
      <c r="K1160" s="2" t="str">
        <f t="shared" si="73"/>
        <v>Yes</v>
      </c>
      <c r="L1160" s="2" t="str">
        <f t="shared" si="75"/>
        <v>No</v>
      </c>
      <c r="M1160" s="2">
        <f t="shared" si="74"/>
        <v>0</v>
      </c>
    </row>
    <row r="1161" spans="1:13" x14ac:dyDescent="0.3">
      <c r="A1161" s="5" t="s">
        <v>3790</v>
      </c>
      <c r="B1161" s="5" t="s">
        <v>1310</v>
      </c>
      <c r="C1161" s="5" t="s">
        <v>2608</v>
      </c>
      <c r="D1161" s="6">
        <v>45839</v>
      </c>
      <c r="E1161" s="6">
        <v>45842</v>
      </c>
      <c r="F1161" s="6">
        <v>45853</v>
      </c>
      <c r="G1161" s="5" t="s">
        <v>2633</v>
      </c>
      <c r="H1161" s="5">
        <v>2</v>
      </c>
      <c r="I1161" s="5">
        <f>IFERROR(INDEX(Raw_Orders!H1161:H3589,MATCH(B1161,Raw_Orders!A1161:A3589,0)),0)</f>
        <v>2</v>
      </c>
      <c r="J1161" s="5" t="str">
        <f t="shared" si="72"/>
        <v>No</v>
      </c>
      <c r="K1161" s="5" t="str">
        <f t="shared" si="73"/>
        <v>Yes</v>
      </c>
      <c r="L1161" s="5" t="str">
        <f t="shared" si="75"/>
        <v>No</v>
      </c>
      <c r="M1161" s="5">
        <f t="shared" si="74"/>
        <v>0</v>
      </c>
    </row>
    <row r="1162" spans="1:13" x14ac:dyDescent="0.3">
      <c r="A1162" s="2" t="s">
        <v>3791</v>
      </c>
      <c r="B1162" s="2" t="s">
        <v>1311</v>
      </c>
      <c r="C1162" s="2" t="s">
        <v>2608</v>
      </c>
      <c r="D1162" s="3">
        <v>45840</v>
      </c>
      <c r="E1162" s="3">
        <v>45847</v>
      </c>
      <c r="F1162" s="3">
        <v>45855</v>
      </c>
      <c r="G1162" s="2" t="s">
        <v>2641</v>
      </c>
      <c r="H1162" s="2">
        <v>9</v>
      </c>
      <c r="I1162" s="2">
        <f>IFERROR(INDEX(Raw_Orders!H1162:H3590,MATCH(B1162,Raw_Orders!A1162:A3590,0)),0)</f>
        <v>9</v>
      </c>
      <c r="J1162" s="2" t="str">
        <f t="shared" si="72"/>
        <v>No</v>
      </c>
      <c r="K1162" s="2" t="str">
        <f t="shared" si="73"/>
        <v>Yes</v>
      </c>
      <c r="L1162" s="2" t="str">
        <f t="shared" si="75"/>
        <v>No</v>
      </c>
      <c r="M1162" s="2">
        <f t="shared" si="74"/>
        <v>0</v>
      </c>
    </row>
    <row r="1163" spans="1:13" x14ac:dyDescent="0.3">
      <c r="A1163" s="5" t="s">
        <v>3792</v>
      </c>
      <c r="B1163" s="5" t="s">
        <v>1312</v>
      </c>
      <c r="C1163" s="5" t="s">
        <v>2611</v>
      </c>
      <c r="D1163" s="6">
        <v>45840</v>
      </c>
      <c r="E1163" s="6">
        <v>45844</v>
      </c>
      <c r="F1163" s="6">
        <v>45851</v>
      </c>
      <c r="G1163" s="5" t="s">
        <v>2641</v>
      </c>
      <c r="H1163" s="5">
        <v>35</v>
      </c>
      <c r="I1163" s="5">
        <f>IFERROR(INDEX(Raw_Orders!H1163:H3591,MATCH(B1163,Raw_Orders!A1163:A3591,0)),0)</f>
        <v>35</v>
      </c>
      <c r="J1163" s="5" t="str">
        <f t="shared" si="72"/>
        <v>No</v>
      </c>
      <c r="K1163" s="5" t="str">
        <f t="shared" si="73"/>
        <v>Yes</v>
      </c>
      <c r="L1163" s="5" t="str">
        <f t="shared" si="75"/>
        <v>No</v>
      </c>
      <c r="M1163" s="5">
        <f t="shared" si="74"/>
        <v>0</v>
      </c>
    </row>
    <row r="1164" spans="1:13" x14ac:dyDescent="0.3">
      <c r="A1164" s="2" t="s">
        <v>3793</v>
      </c>
      <c r="B1164" s="2" t="s">
        <v>1313</v>
      </c>
      <c r="C1164" s="2" t="s">
        <v>2611</v>
      </c>
      <c r="D1164" s="3">
        <v>45841</v>
      </c>
      <c r="E1164" s="3">
        <v>45845</v>
      </c>
      <c r="F1164" s="3">
        <v>45848</v>
      </c>
      <c r="G1164" s="2" t="s">
        <v>2641</v>
      </c>
      <c r="H1164" s="2">
        <v>21</v>
      </c>
      <c r="I1164" s="2">
        <f>IFERROR(INDEX(Raw_Orders!H1164:H3592,MATCH(B1164,Raw_Orders!A1164:A3592,0)),0)</f>
        <v>21</v>
      </c>
      <c r="J1164" s="2" t="str">
        <f t="shared" si="72"/>
        <v>No</v>
      </c>
      <c r="K1164" s="2" t="str">
        <f t="shared" si="73"/>
        <v>Yes</v>
      </c>
      <c r="L1164" s="2" t="str">
        <f t="shared" si="75"/>
        <v>No</v>
      </c>
      <c r="M1164" s="2">
        <f t="shared" si="74"/>
        <v>0</v>
      </c>
    </row>
    <row r="1165" spans="1:13" x14ac:dyDescent="0.3">
      <c r="A1165" s="5" t="s">
        <v>3794</v>
      </c>
      <c r="B1165" s="5" t="s">
        <v>1314</v>
      </c>
      <c r="C1165" s="5" t="s">
        <v>2614</v>
      </c>
      <c r="D1165" s="6">
        <v>45841</v>
      </c>
      <c r="E1165" s="6">
        <v>45848</v>
      </c>
      <c r="F1165" s="6">
        <v>45854</v>
      </c>
      <c r="G1165" s="5" t="s">
        <v>2641</v>
      </c>
      <c r="H1165" s="5">
        <v>19</v>
      </c>
      <c r="I1165" s="5">
        <f>IFERROR(INDEX(Raw_Orders!H1165:H3593,MATCH(B1165,Raw_Orders!A1165:A3593,0)),0)</f>
        <v>21</v>
      </c>
      <c r="J1165" s="5" t="str">
        <f t="shared" si="72"/>
        <v>No</v>
      </c>
      <c r="K1165" s="5" t="str">
        <f t="shared" si="73"/>
        <v>N0</v>
      </c>
      <c r="L1165" s="5" t="str">
        <f t="shared" si="75"/>
        <v>No</v>
      </c>
      <c r="M1165" s="5">
        <f t="shared" si="74"/>
        <v>0</v>
      </c>
    </row>
    <row r="1166" spans="1:13" x14ac:dyDescent="0.3">
      <c r="A1166" s="2" t="s">
        <v>3795</v>
      </c>
      <c r="B1166" s="2" t="s">
        <v>1315</v>
      </c>
      <c r="C1166" s="2" t="s">
        <v>2601</v>
      </c>
      <c r="D1166" s="3">
        <v>45842</v>
      </c>
      <c r="E1166" s="3">
        <v>45848</v>
      </c>
      <c r="F1166" s="3">
        <v>45847</v>
      </c>
      <c r="G1166" s="2" t="s">
        <v>2627</v>
      </c>
      <c r="H1166" s="2">
        <v>16</v>
      </c>
      <c r="I1166" s="2">
        <f>IFERROR(INDEX(Raw_Orders!H1166:H3594,MATCH(B1166,Raw_Orders!A1166:A3594,0)),0)</f>
        <v>16</v>
      </c>
      <c r="J1166" s="2" t="str">
        <f t="shared" si="72"/>
        <v>Yes</v>
      </c>
      <c r="K1166" s="2" t="str">
        <f t="shared" si="73"/>
        <v>Yes</v>
      </c>
      <c r="L1166" s="2" t="str">
        <f t="shared" si="75"/>
        <v>Yes</v>
      </c>
      <c r="M1166" s="2">
        <f t="shared" si="74"/>
        <v>1</v>
      </c>
    </row>
    <row r="1167" spans="1:13" x14ac:dyDescent="0.3">
      <c r="A1167" s="5" t="s">
        <v>3796</v>
      </c>
      <c r="B1167" s="5" t="s">
        <v>1316</v>
      </c>
      <c r="C1167" s="5" t="s">
        <v>2604</v>
      </c>
      <c r="D1167" s="6">
        <v>45842</v>
      </c>
      <c r="E1167" s="6">
        <v>45846</v>
      </c>
      <c r="F1167" s="6">
        <v>45845</v>
      </c>
      <c r="G1167" s="5" t="s">
        <v>2633</v>
      </c>
      <c r="H1167" s="5">
        <v>21</v>
      </c>
      <c r="I1167" s="5">
        <f>IFERROR(INDEX(Raw_Orders!H1167:H3595,MATCH(B1167,Raw_Orders!A1167:A3595,0)),0)</f>
        <v>21</v>
      </c>
      <c r="J1167" s="5" t="str">
        <f t="shared" si="72"/>
        <v>Yes</v>
      </c>
      <c r="K1167" s="5" t="str">
        <f t="shared" si="73"/>
        <v>Yes</v>
      </c>
      <c r="L1167" s="5" t="str">
        <f t="shared" si="75"/>
        <v>Yes</v>
      </c>
      <c r="M1167" s="5">
        <f t="shared" si="74"/>
        <v>1</v>
      </c>
    </row>
    <row r="1168" spans="1:13" x14ac:dyDescent="0.3">
      <c r="A1168" s="2" t="s">
        <v>3797</v>
      </c>
      <c r="B1168" s="2" t="s">
        <v>1317</v>
      </c>
      <c r="C1168" s="2" t="s">
        <v>2606</v>
      </c>
      <c r="D1168" s="3">
        <v>45842</v>
      </c>
      <c r="E1168" s="3">
        <v>45850</v>
      </c>
      <c r="F1168" s="3">
        <v>45848</v>
      </c>
      <c r="G1168" s="2" t="s">
        <v>2633</v>
      </c>
      <c r="H1168" s="2">
        <v>28</v>
      </c>
      <c r="I1168" s="2">
        <f>IFERROR(INDEX(Raw_Orders!H1168:H3596,MATCH(B1168,Raw_Orders!A1168:A3596,0)),0)</f>
        <v>28</v>
      </c>
      <c r="J1168" s="2" t="str">
        <f t="shared" si="72"/>
        <v>Yes</v>
      </c>
      <c r="K1168" s="2" t="str">
        <f t="shared" si="73"/>
        <v>Yes</v>
      </c>
      <c r="L1168" s="2" t="str">
        <f t="shared" si="75"/>
        <v>Yes</v>
      </c>
      <c r="M1168" s="2">
        <f t="shared" si="74"/>
        <v>1</v>
      </c>
    </row>
    <row r="1169" spans="1:13" x14ac:dyDescent="0.3">
      <c r="A1169" s="5" t="s">
        <v>3798</v>
      </c>
      <c r="B1169" s="5" t="s">
        <v>1318</v>
      </c>
      <c r="C1169" s="5" t="s">
        <v>2608</v>
      </c>
      <c r="D1169" s="6">
        <v>45842</v>
      </c>
      <c r="E1169" s="6">
        <v>45843</v>
      </c>
      <c r="F1169" s="6">
        <v>45859</v>
      </c>
      <c r="G1169" s="5" t="s">
        <v>2633</v>
      </c>
      <c r="H1169" s="5">
        <v>28</v>
      </c>
      <c r="I1169" s="5">
        <f>IFERROR(INDEX(Raw_Orders!H1169:H3597,MATCH(B1169,Raw_Orders!A1169:A3597,0)),0)</f>
        <v>28</v>
      </c>
      <c r="J1169" s="5" t="str">
        <f t="shared" si="72"/>
        <v>No</v>
      </c>
      <c r="K1169" s="5" t="str">
        <f t="shared" si="73"/>
        <v>Yes</v>
      </c>
      <c r="L1169" s="5" t="str">
        <f t="shared" si="75"/>
        <v>No</v>
      </c>
      <c r="M1169" s="5">
        <f t="shared" si="74"/>
        <v>0</v>
      </c>
    </row>
    <row r="1170" spans="1:13" x14ac:dyDescent="0.3">
      <c r="A1170" s="2" t="s">
        <v>3799</v>
      </c>
      <c r="B1170" s="2" t="s">
        <v>1319</v>
      </c>
      <c r="C1170" s="2" t="s">
        <v>2608</v>
      </c>
      <c r="D1170" s="3">
        <v>45840</v>
      </c>
      <c r="E1170" s="3">
        <v>45844</v>
      </c>
      <c r="F1170" s="3">
        <v>45853</v>
      </c>
      <c r="G1170" s="2" t="s">
        <v>2641</v>
      </c>
      <c r="H1170" s="2">
        <v>5</v>
      </c>
      <c r="I1170" s="2">
        <f>IFERROR(INDEX(Raw_Orders!H1170:H3598,MATCH(B1170,Raw_Orders!A1170:A3598,0)),0)</f>
        <v>5</v>
      </c>
      <c r="J1170" s="2" t="str">
        <f t="shared" si="72"/>
        <v>No</v>
      </c>
      <c r="K1170" s="2" t="str">
        <f t="shared" si="73"/>
        <v>Yes</v>
      </c>
      <c r="L1170" s="2" t="str">
        <f t="shared" si="75"/>
        <v>No</v>
      </c>
      <c r="M1170" s="2">
        <f t="shared" si="74"/>
        <v>0</v>
      </c>
    </row>
    <row r="1171" spans="1:13" x14ac:dyDescent="0.3">
      <c r="A1171" s="5" t="s">
        <v>3800</v>
      </c>
      <c r="B1171" s="5" t="s">
        <v>1320</v>
      </c>
      <c r="C1171" s="5" t="s">
        <v>2598</v>
      </c>
      <c r="D1171" s="6">
        <v>45842</v>
      </c>
      <c r="E1171" s="6">
        <v>45850</v>
      </c>
      <c r="F1171" s="6">
        <v>45855</v>
      </c>
      <c r="G1171" s="5" t="s">
        <v>2633</v>
      </c>
      <c r="H1171" s="5">
        <v>28</v>
      </c>
      <c r="I1171" s="5">
        <f>IFERROR(INDEX(Raw_Orders!H1171:H3599,MATCH(B1171,Raw_Orders!A1171:A3599,0)),0)</f>
        <v>28</v>
      </c>
      <c r="J1171" s="5" t="str">
        <f t="shared" si="72"/>
        <v>No</v>
      </c>
      <c r="K1171" s="5" t="str">
        <f t="shared" si="73"/>
        <v>Yes</v>
      </c>
      <c r="L1171" s="5" t="str">
        <f t="shared" si="75"/>
        <v>No</v>
      </c>
      <c r="M1171" s="5">
        <f t="shared" si="74"/>
        <v>0</v>
      </c>
    </row>
    <row r="1172" spans="1:13" x14ac:dyDescent="0.3">
      <c r="A1172" s="2" t="s">
        <v>3801</v>
      </c>
      <c r="B1172" s="2" t="s">
        <v>1321</v>
      </c>
      <c r="C1172" s="2" t="s">
        <v>2601</v>
      </c>
      <c r="D1172" s="3">
        <v>45841</v>
      </c>
      <c r="E1172" s="3">
        <v>45847</v>
      </c>
      <c r="F1172" s="3">
        <v>45847</v>
      </c>
      <c r="G1172" s="2" t="s">
        <v>2641</v>
      </c>
      <c r="H1172" s="2">
        <v>21</v>
      </c>
      <c r="I1172" s="2">
        <f>IFERROR(INDEX(Raw_Orders!H1172:H3600,MATCH(B1172,Raw_Orders!A1172:A3600,0)),0)</f>
        <v>21</v>
      </c>
      <c r="J1172" s="2" t="str">
        <f t="shared" si="72"/>
        <v>Yes</v>
      </c>
      <c r="K1172" s="2" t="str">
        <f t="shared" si="73"/>
        <v>Yes</v>
      </c>
      <c r="L1172" s="2" t="str">
        <f t="shared" si="75"/>
        <v>Yes</v>
      </c>
      <c r="M1172" s="2">
        <f t="shared" si="74"/>
        <v>1</v>
      </c>
    </row>
    <row r="1173" spans="1:13" x14ac:dyDescent="0.3">
      <c r="A1173" s="5" t="s">
        <v>3802</v>
      </c>
      <c r="B1173" s="5" t="s">
        <v>1322</v>
      </c>
      <c r="C1173" s="5" t="s">
        <v>2616</v>
      </c>
      <c r="D1173" s="6">
        <v>45841</v>
      </c>
      <c r="E1173" s="6">
        <v>45851</v>
      </c>
      <c r="F1173" s="6">
        <v>45855</v>
      </c>
      <c r="G1173" s="5" t="s">
        <v>2641</v>
      </c>
      <c r="H1173" s="5">
        <v>35</v>
      </c>
      <c r="I1173" s="5">
        <f>IFERROR(INDEX(Raw_Orders!H1173:H3601,MATCH(B1173,Raw_Orders!A1173:A3601,0)),0)</f>
        <v>38</v>
      </c>
      <c r="J1173" s="5" t="str">
        <f t="shared" si="72"/>
        <v>No</v>
      </c>
      <c r="K1173" s="5" t="str">
        <f t="shared" si="73"/>
        <v>N0</v>
      </c>
      <c r="L1173" s="5" t="str">
        <f t="shared" si="75"/>
        <v>No</v>
      </c>
      <c r="M1173" s="5">
        <f t="shared" si="74"/>
        <v>0</v>
      </c>
    </row>
    <row r="1174" spans="1:13" x14ac:dyDescent="0.3">
      <c r="A1174" s="2" t="s">
        <v>3803</v>
      </c>
      <c r="B1174" s="2" t="s">
        <v>1323</v>
      </c>
      <c r="C1174" s="2" t="s">
        <v>2606</v>
      </c>
      <c r="D1174" s="3">
        <v>45843</v>
      </c>
      <c r="E1174" s="3">
        <v>45848</v>
      </c>
      <c r="F1174" s="3">
        <v>45851</v>
      </c>
      <c r="G1174" s="2" t="s">
        <v>2629</v>
      </c>
      <c r="H1174" s="2">
        <v>66</v>
      </c>
      <c r="I1174" s="2">
        <f>IFERROR(INDEX(Raw_Orders!H1174:H3602,MATCH(B1174,Raw_Orders!A1174:A3602,0)),0)</f>
        <v>66</v>
      </c>
      <c r="J1174" s="2" t="str">
        <f t="shared" si="72"/>
        <v>No</v>
      </c>
      <c r="K1174" s="2" t="str">
        <f t="shared" si="73"/>
        <v>Yes</v>
      </c>
      <c r="L1174" s="2" t="str">
        <f t="shared" si="75"/>
        <v>No</v>
      </c>
      <c r="M1174" s="2">
        <f t="shared" si="74"/>
        <v>0</v>
      </c>
    </row>
    <row r="1175" spans="1:13" x14ac:dyDescent="0.3">
      <c r="A1175" s="5" t="s">
        <v>3804</v>
      </c>
      <c r="B1175" s="5" t="s">
        <v>1324</v>
      </c>
      <c r="C1175" s="5" t="s">
        <v>2606</v>
      </c>
      <c r="D1175" s="6">
        <v>45842</v>
      </c>
      <c r="E1175" s="6">
        <v>45849</v>
      </c>
      <c r="F1175" s="6">
        <v>45847</v>
      </c>
      <c r="G1175" s="5" t="s">
        <v>2631</v>
      </c>
      <c r="H1175" s="5">
        <v>28</v>
      </c>
      <c r="I1175" s="5">
        <f>IFERROR(INDEX(Raw_Orders!H1175:H3603,MATCH(B1175,Raw_Orders!A1175:A3603,0)),0)</f>
        <v>33</v>
      </c>
      <c r="J1175" s="5" t="str">
        <f t="shared" si="72"/>
        <v>Yes</v>
      </c>
      <c r="K1175" s="5" t="str">
        <f t="shared" si="73"/>
        <v>N0</v>
      </c>
      <c r="L1175" s="5" t="str">
        <f t="shared" si="75"/>
        <v>No</v>
      </c>
      <c r="M1175" s="5">
        <f t="shared" si="74"/>
        <v>0</v>
      </c>
    </row>
    <row r="1176" spans="1:13" x14ac:dyDescent="0.3">
      <c r="A1176" s="2" t="s">
        <v>3805</v>
      </c>
      <c r="B1176" s="2" t="s">
        <v>1325</v>
      </c>
      <c r="C1176" s="2" t="s">
        <v>2608</v>
      </c>
      <c r="D1176" s="3">
        <v>45841</v>
      </c>
      <c r="E1176" s="3">
        <v>45848</v>
      </c>
      <c r="F1176" s="3">
        <v>45854</v>
      </c>
      <c r="G1176" s="2" t="s">
        <v>2629</v>
      </c>
      <c r="H1176" s="2">
        <v>8</v>
      </c>
      <c r="I1176" s="2">
        <f>IFERROR(INDEX(Raw_Orders!H1176:H3604,MATCH(B1176,Raw_Orders!A1176:A3604,0)),0)</f>
        <v>8</v>
      </c>
      <c r="J1176" s="2" t="str">
        <f t="shared" si="72"/>
        <v>No</v>
      </c>
      <c r="K1176" s="2" t="str">
        <f t="shared" si="73"/>
        <v>Yes</v>
      </c>
      <c r="L1176" s="2" t="str">
        <f t="shared" si="75"/>
        <v>No</v>
      </c>
      <c r="M1176" s="2">
        <f t="shared" si="74"/>
        <v>0</v>
      </c>
    </row>
    <row r="1177" spans="1:13" x14ac:dyDescent="0.3">
      <c r="A1177" s="5" t="s">
        <v>3806</v>
      </c>
      <c r="B1177" s="5" t="s">
        <v>1326</v>
      </c>
      <c r="C1177" s="5" t="s">
        <v>2614</v>
      </c>
      <c r="D1177" s="6">
        <v>45842</v>
      </c>
      <c r="E1177" s="6">
        <v>45850</v>
      </c>
      <c r="F1177" s="6">
        <v>45860</v>
      </c>
      <c r="G1177" s="5" t="s">
        <v>2627</v>
      </c>
      <c r="H1177" s="5">
        <v>7</v>
      </c>
      <c r="I1177" s="5">
        <f>IFERROR(INDEX(Raw_Orders!H1177:H3605,MATCH(B1177,Raw_Orders!A1177:A3605,0)),0)</f>
        <v>7</v>
      </c>
      <c r="J1177" s="5" t="str">
        <f t="shared" si="72"/>
        <v>No</v>
      </c>
      <c r="K1177" s="5" t="str">
        <f t="shared" si="73"/>
        <v>Yes</v>
      </c>
      <c r="L1177" s="5" t="str">
        <f t="shared" si="75"/>
        <v>No</v>
      </c>
      <c r="M1177" s="5">
        <f t="shared" si="74"/>
        <v>0</v>
      </c>
    </row>
    <row r="1178" spans="1:13" x14ac:dyDescent="0.3">
      <c r="A1178" s="2" t="s">
        <v>3807</v>
      </c>
      <c r="B1178" s="2" t="s">
        <v>1327</v>
      </c>
      <c r="C1178" s="2" t="s">
        <v>2606</v>
      </c>
      <c r="D1178" s="3">
        <v>45843</v>
      </c>
      <c r="E1178" s="3">
        <v>45848</v>
      </c>
      <c r="F1178" s="3">
        <v>45851</v>
      </c>
      <c r="G1178" s="2" t="s">
        <v>2641</v>
      </c>
      <c r="H1178" s="2">
        <v>27</v>
      </c>
      <c r="I1178" s="2">
        <f>IFERROR(INDEX(Raw_Orders!H1178:H3606,MATCH(B1178,Raw_Orders!A1178:A3606,0)),0)</f>
        <v>32</v>
      </c>
      <c r="J1178" s="2" t="str">
        <f t="shared" si="72"/>
        <v>No</v>
      </c>
      <c r="K1178" s="2" t="str">
        <f t="shared" si="73"/>
        <v>N0</v>
      </c>
      <c r="L1178" s="2" t="str">
        <f t="shared" si="75"/>
        <v>No</v>
      </c>
      <c r="M1178" s="2">
        <f t="shared" si="74"/>
        <v>0</v>
      </c>
    </row>
    <row r="1179" spans="1:13" x14ac:dyDescent="0.3">
      <c r="A1179" s="5" t="s">
        <v>3808</v>
      </c>
      <c r="B1179" s="5" t="s">
        <v>1328</v>
      </c>
      <c r="C1179" s="5" t="s">
        <v>2606</v>
      </c>
      <c r="D1179" s="6">
        <v>45843</v>
      </c>
      <c r="E1179" s="6">
        <v>45847</v>
      </c>
      <c r="F1179" s="6">
        <v>45849</v>
      </c>
      <c r="G1179" s="5" t="s">
        <v>2627</v>
      </c>
      <c r="H1179" s="5">
        <v>28</v>
      </c>
      <c r="I1179" s="5">
        <f>IFERROR(INDEX(Raw_Orders!H1179:H3607,MATCH(B1179,Raw_Orders!A1179:A3607,0)),0)</f>
        <v>28</v>
      </c>
      <c r="J1179" s="5" t="str">
        <f t="shared" si="72"/>
        <v>No</v>
      </c>
      <c r="K1179" s="5" t="str">
        <f t="shared" si="73"/>
        <v>Yes</v>
      </c>
      <c r="L1179" s="5" t="str">
        <f t="shared" si="75"/>
        <v>No</v>
      </c>
      <c r="M1179" s="5">
        <f t="shared" si="74"/>
        <v>0</v>
      </c>
    </row>
    <row r="1180" spans="1:13" x14ac:dyDescent="0.3">
      <c r="A1180" s="2" t="s">
        <v>3809</v>
      </c>
      <c r="B1180" s="2" t="s">
        <v>1329</v>
      </c>
      <c r="C1180" s="2" t="s">
        <v>2608</v>
      </c>
      <c r="D1180" s="3">
        <v>45842</v>
      </c>
      <c r="E1180" s="3">
        <v>45852</v>
      </c>
      <c r="F1180" s="3">
        <v>45854</v>
      </c>
      <c r="G1180" s="2" t="s">
        <v>2627</v>
      </c>
      <c r="H1180" s="2">
        <v>31</v>
      </c>
      <c r="I1180" s="2">
        <f>IFERROR(INDEX(Raw_Orders!H1180:H3608,MATCH(B1180,Raw_Orders!A1180:A3608,0)),0)</f>
        <v>31</v>
      </c>
      <c r="J1180" s="2" t="str">
        <f t="shared" si="72"/>
        <v>No</v>
      </c>
      <c r="K1180" s="2" t="str">
        <f t="shared" si="73"/>
        <v>Yes</v>
      </c>
      <c r="L1180" s="2" t="str">
        <f t="shared" si="75"/>
        <v>No</v>
      </c>
      <c r="M1180" s="2">
        <f t="shared" si="74"/>
        <v>0</v>
      </c>
    </row>
    <row r="1181" spans="1:13" x14ac:dyDescent="0.3">
      <c r="A1181" s="5" t="s">
        <v>3810</v>
      </c>
      <c r="B1181" s="5" t="s">
        <v>1330</v>
      </c>
      <c r="C1181" s="5" t="s">
        <v>2598</v>
      </c>
      <c r="D1181" s="6">
        <v>45843</v>
      </c>
      <c r="E1181" s="6">
        <v>45846</v>
      </c>
      <c r="F1181" s="6">
        <v>45856</v>
      </c>
      <c r="G1181" s="5" t="s">
        <v>2641</v>
      </c>
      <c r="H1181" s="5">
        <v>17</v>
      </c>
      <c r="I1181" s="5">
        <f>IFERROR(INDEX(Raw_Orders!H1181:H3609,MATCH(B1181,Raw_Orders!A1181:A3609,0)),0)</f>
        <v>17</v>
      </c>
      <c r="J1181" s="5" t="str">
        <f t="shared" si="72"/>
        <v>No</v>
      </c>
      <c r="K1181" s="5" t="str">
        <f t="shared" si="73"/>
        <v>Yes</v>
      </c>
      <c r="L1181" s="5" t="str">
        <f t="shared" si="75"/>
        <v>No</v>
      </c>
      <c r="M1181" s="5">
        <f t="shared" si="74"/>
        <v>0</v>
      </c>
    </row>
    <row r="1182" spans="1:13" x14ac:dyDescent="0.3">
      <c r="A1182" s="2" t="s">
        <v>3811</v>
      </c>
      <c r="B1182" s="2" t="s">
        <v>1331</v>
      </c>
      <c r="C1182" s="2" t="s">
        <v>2614</v>
      </c>
      <c r="D1182" s="3">
        <v>45844</v>
      </c>
      <c r="E1182" s="3">
        <v>45851</v>
      </c>
      <c r="F1182" s="3">
        <v>45862</v>
      </c>
      <c r="G1182" s="2" t="s">
        <v>2627</v>
      </c>
      <c r="H1182" s="2">
        <v>13</v>
      </c>
      <c r="I1182" s="2">
        <f>IFERROR(INDEX(Raw_Orders!H1182:H3610,MATCH(B1182,Raw_Orders!A1182:A3610,0)),0)</f>
        <v>17</v>
      </c>
      <c r="J1182" s="2" t="str">
        <f t="shared" si="72"/>
        <v>No</v>
      </c>
      <c r="K1182" s="2" t="str">
        <f t="shared" si="73"/>
        <v>N0</v>
      </c>
      <c r="L1182" s="2" t="str">
        <f t="shared" si="75"/>
        <v>No</v>
      </c>
      <c r="M1182" s="2">
        <f t="shared" si="74"/>
        <v>0</v>
      </c>
    </row>
    <row r="1183" spans="1:13" x14ac:dyDescent="0.3">
      <c r="A1183" s="5" t="s">
        <v>3812</v>
      </c>
      <c r="B1183" s="5" t="s">
        <v>1332</v>
      </c>
      <c r="C1183" s="5" t="s">
        <v>2616</v>
      </c>
      <c r="D1183" s="6">
        <v>45843</v>
      </c>
      <c r="E1183" s="6">
        <v>45851</v>
      </c>
      <c r="F1183" s="6">
        <v>45858</v>
      </c>
      <c r="G1183" s="5" t="s">
        <v>2631</v>
      </c>
      <c r="H1183" s="5">
        <v>16</v>
      </c>
      <c r="I1183" s="5">
        <f>IFERROR(INDEX(Raw_Orders!H1183:H3611,MATCH(B1183,Raw_Orders!A1183:A3611,0)),0)</f>
        <v>16</v>
      </c>
      <c r="J1183" s="5" t="str">
        <f t="shared" si="72"/>
        <v>No</v>
      </c>
      <c r="K1183" s="5" t="str">
        <f t="shared" si="73"/>
        <v>Yes</v>
      </c>
      <c r="L1183" s="5" t="str">
        <f t="shared" si="75"/>
        <v>No</v>
      </c>
      <c r="M1183" s="5">
        <f t="shared" si="74"/>
        <v>0</v>
      </c>
    </row>
    <row r="1184" spans="1:13" x14ac:dyDescent="0.3">
      <c r="A1184" s="2" t="s">
        <v>3813</v>
      </c>
      <c r="B1184" s="2" t="s">
        <v>1333</v>
      </c>
      <c r="C1184" s="2" t="s">
        <v>2604</v>
      </c>
      <c r="D1184" s="3">
        <v>45843</v>
      </c>
      <c r="E1184" s="3">
        <v>45851</v>
      </c>
      <c r="F1184" s="3">
        <v>45847</v>
      </c>
      <c r="G1184" s="2" t="s">
        <v>2641</v>
      </c>
      <c r="H1184" s="2">
        <v>19</v>
      </c>
      <c r="I1184" s="2">
        <f>IFERROR(INDEX(Raw_Orders!H1184:H3612,MATCH(B1184,Raw_Orders!A1184:A3612,0)),0)</f>
        <v>19</v>
      </c>
      <c r="J1184" s="2" t="str">
        <f t="shared" si="72"/>
        <v>Yes</v>
      </c>
      <c r="K1184" s="2" t="str">
        <f t="shared" si="73"/>
        <v>Yes</v>
      </c>
      <c r="L1184" s="2" t="str">
        <f t="shared" si="75"/>
        <v>Yes</v>
      </c>
      <c r="M1184" s="2">
        <f t="shared" si="74"/>
        <v>1</v>
      </c>
    </row>
    <row r="1185" spans="1:13" x14ac:dyDescent="0.3">
      <c r="A1185" s="5" t="s">
        <v>3814</v>
      </c>
      <c r="B1185" s="5" t="s">
        <v>1334</v>
      </c>
      <c r="C1185" s="5" t="s">
        <v>2608</v>
      </c>
      <c r="D1185" s="6">
        <v>45845</v>
      </c>
      <c r="E1185" s="6">
        <v>45853</v>
      </c>
      <c r="F1185" s="6">
        <v>45858</v>
      </c>
      <c r="G1185" s="5" t="s">
        <v>2633</v>
      </c>
      <c r="H1185" s="5">
        <v>11</v>
      </c>
      <c r="I1185" s="5">
        <f>IFERROR(INDEX(Raw_Orders!H1185:H3613,MATCH(B1185,Raw_Orders!A1185:A3613,0)),0)</f>
        <v>11</v>
      </c>
      <c r="J1185" s="5" t="str">
        <f t="shared" si="72"/>
        <v>No</v>
      </c>
      <c r="K1185" s="5" t="str">
        <f t="shared" si="73"/>
        <v>Yes</v>
      </c>
      <c r="L1185" s="5" t="str">
        <f t="shared" si="75"/>
        <v>No</v>
      </c>
      <c r="M1185" s="5">
        <f t="shared" si="74"/>
        <v>0</v>
      </c>
    </row>
    <row r="1186" spans="1:13" x14ac:dyDescent="0.3">
      <c r="A1186" s="2" t="s">
        <v>3815</v>
      </c>
      <c r="B1186" s="2" t="s">
        <v>1335</v>
      </c>
      <c r="C1186" s="2" t="s">
        <v>2608</v>
      </c>
      <c r="D1186" s="3">
        <v>45844</v>
      </c>
      <c r="E1186" s="3">
        <v>45849</v>
      </c>
      <c r="F1186" s="3">
        <v>45859</v>
      </c>
      <c r="G1186" s="2" t="s">
        <v>2627</v>
      </c>
      <c r="H1186" s="2">
        <v>9</v>
      </c>
      <c r="I1186" s="2">
        <f>IFERROR(INDEX(Raw_Orders!H1186:H3614,MATCH(B1186,Raw_Orders!A1186:A3614,0)),0)</f>
        <v>9</v>
      </c>
      <c r="J1186" s="2" t="str">
        <f t="shared" si="72"/>
        <v>No</v>
      </c>
      <c r="K1186" s="2" t="str">
        <f t="shared" si="73"/>
        <v>Yes</v>
      </c>
      <c r="L1186" s="2" t="str">
        <f t="shared" si="75"/>
        <v>No</v>
      </c>
      <c r="M1186" s="2">
        <f t="shared" si="74"/>
        <v>0</v>
      </c>
    </row>
    <row r="1187" spans="1:13" x14ac:dyDescent="0.3">
      <c r="A1187" s="5" t="s">
        <v>3816</v>
      </c>
      <c r="B1187" s="5" t="s">
        <v>1336</v>
      </c>
      <c r="C1187" s="5" t="s">
        <v>2611</v>
      </c>
      <c r="D1187" s="6">
        <v>45844</v>
      </c>
      <c r="E1187" s="6">
        <v>45851</v>
      </c>
      <c r="F1187" s="6">
        <v>45855</v>
      </c>
      <c r="G1187" s="5" t="s">
        <v>2631</v>
      </c>
      <c r="H1187" s="5">
        <v>10</v>
      </c>
      <c r="I1187" s="5">
        <f>IFERROR(INDEX(Raw_Orders!H1187:H3615,MATCH(B1187,Raw_Orders!A1187:A3615,0)),0)</f>
        <v>12</v>
      </c>
      <c r="J1187" s="5" t="str">
        <f t="shared" si="72"/>
        <v>No</v>
      </c>
      <c r="K1187" s="5" t="str">
        <f t="shared" si="73"/>
        <v>N0</v>
      </c>
      <c r="L1187" s="5" t="str">
        <f t="shared" si="75"/>
        <v>No</v>
      </c>
      <c r="M1187" s="5">
        <f t="shared" si="74"/>
        <v>0</v>
      </c>
    </row>
    <row r="1188" spans="1:13" x14ac:dyDescent="0.3">
      <c r="A1188" s="2" t="s">
        <v>3817</v>
      </c>
      <c r="B1188" s="2" t="s">
        <v>1337</v>
      </c>
      <c r="C1188" s="2" t="s">
        <v>2611</v>
      </c>
      <c r="D1188" s="3">
        <v>45845</v>
      </c>
      <c r="E1188" s="3">
        <v>45849</v>
      </c>
      <c r="F1188" s="3">
        <v>45856</v>
      </c>
      <c r="G1188" s="2" t="s">
        <v>2631</v>
      </c>
      <c r="H1188" s="2">
        <v>42</v>
      </c>
      <c r="I1188" s="2">
        <f>IFERROR(INDEX(Raw_Orders!H1188:H3616,MATCH(B1188,Raw_Orders!A1188:A3616,0)),0)</f>
        <v>42</v>
      </c>
      <c r="J1188" s="2" t="str">
        <f t="shared" si="72"/>
        <v>No</v>
      </c>
      <c r="K1188" s="2" t="str">
        <f t="shared" si="73"/>
        <v>Yes</v>
      </c>
      <c r="L1188" s="2" t="str">
        <f t="shared" si="75"/>
        <v>No</v>
      </c>
      <c r="M1188" s="2">
        <f t="shared" si="74"/>
        <v>0</v>
      </c>
    </row>
    <row r="1189" spans="1:13" x14ac:dyDescent="0.3">
      <c r="A1189" s="5" t="s">
        <v>3818</v>
      </c>
      <c r="B1189" s="5" t="s">
        <v>1338</v>
      </c>
      <c r="C1189" s="5" t="s">
        <v>2614</v>
      </c>
      <c r="D1189" s="6">
        <v>45846</v>
      </c>
      <c r="E1189" s="6">
        <v>45850</v>
      </c>
      <c r="F1189" s="6">
        <v>45860</v>
      </c>
      <c r="G1189" s="5" t="s">
        <v>2633</v>
      </c>
      <c r="H1189" s="5">
        <v>42</v>
      </c>
      <c r="I1189" s="5">
        <f>IFERROR(INDEX(Raw_Orders!H1189:H3617,MATCH(B1189,Raw_Orders!A1189:A3617,0)),0)</f>
        <v>42</v>
      </c>
      <c r="J1189" s="5" t="str">
        <f t="shared" si="72"/>
        <v>No</v>
      </c>
      <c r="K1189" s="5" t="str">
        <f t="shared" si="73"/>
        <v>Yes</v>
      </c>
      <c r="L1189" s="5" t="str">
        <f t="shared" si="75"/>
        <v>No</v>
      </c>
      <c r="M1189" s="5">
        <f t="shared" si="74"/>
        <v>0</v>
      </c>
    </row>
    <row r="1190" spans="1:13" x14ac:dyDescent="0.3">
      <c r="A1190" s="2" t="s">
        <v>3819</v>
      </c>
      <c r="B1190" s="2" t="s">
        <v>1339</v>
      </c>
      <c r="C1190" s="2" t="s">
        <v>2601</v>
      </c>
      <c r="D1190" s="3">
        <v>45846</v>
      </c>
      <c r="E1190" s="3">
        <v>45851</v>
      </c>
      <c r="F1190" s="3">
        <v>45850</v>
      </c>
      <c r="G1190" s="2" t="s">
        <v>2627</v>
      </c>
      <c r="H1190" s="2">
        <v>7</v>
      </c>
      <c r="I1190" s="2">
        <f>IFERROR(INDEX(Raw_Orders!H1190:H3618,MATCH(B1190,Raw_Orders!A1190:A3618,0)),0)</f>
        <v>7</v>
      </c>
      <c r="J1190" s="2" t="str">
        <f t="shared" si="72"/>
        <v>Yes</v>
      </c>
      <c r="K1190" s="2" t="str">
        <f t="shared" si="73"/>
        <v>Yes</v>
      </c>
      <c r="L1190" s="2" t="str">
        <f t="shared" si="75"/>
        <v>Yes</v>
      </c>
      <c r="M1190" s="2">
        <f t="shared" si="74"/>
        <v>1</v>
      </c>
    </row>
    <row r="1191" spans="1:13" x14ac:dyDescent="0.3">
      <c r="A1191" s="5" t="s">
        <v>3820</v>
      </c>
      <c r="B1191" s="5" t="s">
        <v>1340</v>
      </c>
      <c r="C1191" s="5" t="s">
        <v>2604</v>
      </c>
      <c r="D1191" s="6">
        <v>45844</v>
      </c>
      <c r="E1191" s="6">
        <v>45853</v>
      </c>
      <c r="F1191" s="6">
        <v>45848</v>
      </c>
      <c r="G1191" s="5" t="s">
        <v>2633</v>
      </c>
      <c r="H1191" s="5">
        <v>1</v>
      </c>
      <c r="I1191" s="5">
        <f>IFERROR(INDEX(Raw_Orders!H1191:H3619,MATCH(B1191,Raw_Orders!A1191:A3619,0)),0)</f>
        <v>1</v>
      </c>
      <c r="J1191" s="5" t="str">
        <f t="shared" si="72"/>
        <v>Yes</v>
      </c>
      <c r="K1191" s="5" t="str">
        <f t="shared" si="73"/>
        <v>Yes</v>
      </c>
      <c r="L1191" s="5" t="str">
        <f t="shared" si="75"/>
        <v>Yes</v>
      </c>
      <c r="M1191" s="5">
        <f t="shared" si="74"/>
        <v>1</v>
      </c>
    </row>
    <row r="1192" spans="1:13" x14ac:dyDescent="0.3">
      <c r="A1192" s="2" t="s">
        <v>3821</v>
      </c>
      <c r="B1192" s="2" t="s">
        <v>1341</v>
      </c>
      <c r="C1192" s="2" t="s">
        <v>2616</v>
      </c>
      <c r="D1192" s="3">
        <v>45846</v>
      </c>
      <c r="E1192" s="3">
        <v>45848</v>
      </c>
      <c r="F1192" s="3">
        <v>45862</v>
      </c>
      <c r="G1192" s="2" t="s">
        <v>2627</v>
      </c>
      <c r="H1192" s="2">
        <v>23</v>
      </c>
      <c r="I1192" s="2">
        <f>IFERROR(INDEX(Raw_Orders!H1192:H3620,MATCH(B1192,Raw_Orders!A1192:A3620,0)),0)</f>
        <v>23</v>
      </c>
      <c r="J1192" s="2" t="str">
        <f t="shared" si="72"/>
        <v>No</v>
      </c>
      <c r="K1192" s="2" t="str">
        <f t="shared" si="73"/>
        <v>Yes</v>
      </c>
      <c r="L1192" s="2" t="str">
        <f t="shared" si="75"/>
        <v>No</v>
      </c>
      <c r="M1192" s="2">
        <f t="shared" si="74"/>
        <v>0</v>
      </c>
    </row>
    <row r="1193" spans="1:13" x14ac:dyDescent="0.3">
      <c r="A1193" s="5" t="s">
        <v>3822</v>
      </c>
      <c r="B1193" s="5" t="s">
        <v>1342</v>
      </c>
      <c r="C1193" s="5" t="s">
        <v>2606</v>
      </c>
      <c r="D1193" s="6">
        <v>45844</v>
      </c>
      <c r="E1193" s="6">
        <v>45850</v>
      </c>
      <c r="F1193" s="6">
        <v>45850</v>
      </c>
      <c r="G1193" s="5" t="s">
        <v>2627</v>
      </c>
      <c r="H1193" s="5">
        <v>18</v>
      </c>
      <c r="I1193" s="5">
        <f>IFERROR(INDEX(Raw_Orders!H1193:H3621,MATCH(B1193,Raw_Orders!A1193:A3621,0)),0)</f>
        <v>18</v>
      </c>
      <c r="J1193" s="5" t="str">
        <f t="shared" si="72"/>
        <v>Yes</v>
      </c>
      <c r="K1193" s="5" t="str">
        <f t="shared" si="73"/>
        <v>Yes</v>
      </c>
      <c r="L1193" s="5" t="str">
        <f t="shared" si="75"/>
        <v>Yes</v>
      </c>
      <c r="M1193" s="5">
        <f t="shared" si="74"/>
        <v>1</v>
      </c>
    </row>
    <row r="1194" spans="1:13" x14ac:dyDescent="0.3">
      <c r="A1194" s="2" t="s">
        <v>3823</v>
      </c>
      <c r="B1194" s="2" t="s">
        <v>1343</v>
      </c>
      <c r="C1194" s="2" t="s">
        <v>2608</v>
      </c>
      <c r="D1194" s="3">
        <v>45845</v>
      </c>
      <c r="E1194" s="3">
        <v>45847</v>
      </c>
      <c r="F1194" s="3">
        <v>45857</v>
      </c>
      <c r="G1194" s="2" t="s">
        <v>2629</v>
      </c>
      <c r="H1194" s="2">
        <v>6</v>
      </c>
      <c r="I1194" s="2">
        <f>IFERROR(INDEX(Raw_Orders!H1194:H3622,MATCH(B1194,Raw_Orders!A1194:A3622,0)),0)</f>
        <v>6</v>
      </c>
      <c r="J1194" s="2" t="str">
        <f t="shared" si="72"/>
        <v>No</v>
      </c>
      <c r="K1194" s="2" t="str">
        <f t="shared" si="73"/>
        <v>Yes</v>
      </c>
      <c r="L1194" s="2" t="str">
        <f t="shared" si="75"/>
        <v>No</v>
      </c>
      <c r="M1194" s="2">
        <f t="shared" si="74"/>
        <v>0</v>
      </c>
    </row>
    <row r="1195" spans="1:13" x14ac:dyDescent="0.3">
      <c r="A1195" s="5" t="s">
        <v>3824</v>
      </c>
      <c r="B1195" s="5" t="s">
        <v>1344</v>
      </c>
      <c r="C1195" s="5" t="s">
        <v>2611</v>
      </c>
      <c r="D1195" s="6">
        <v>45847</v>
      </c>
      <c r="E1195" s="6">
        <v>45849</v>
      </c>
      <c r="F1195" s="6">
        <v>45854</v>
      </c>
      <c r="G1195" s="5" t="s">
        <v>2641</v>
      </c>
      <c r="H1195" s="5">
        <v>20</v>
      </c>
      <c r="I1195" s="5">
        <f>IFERROR(INDEX(Raw_Orders!H1195:H3623,MATCH(B1195,Raw_Orders!A1195:A3623,0)),0)</f>
        <v>20</v>
      </c>
      <c r="J1195" s="5" t="str">
        <f t="shared" si="72"/>
        <v>No</v>
      </c>
      <c r="K1195" s="5" t="str">
        <f t="shared" si="73"/>
        <v>Yes</v>
      </c>
      <c r="L1195" s="5" t="str">
        <f t="shared" si="75"/>
        <v>No</v>
      </c>
      <c r="M1195" s="5">
        <f t="shared" si="74"/>
        <v>0</v>
      </c>
    </row>
    <row r="1196" spans="1:13" x14ac:dyDescent="0.3">
      <c r="A1196" s="2" t="s">
        <v>3825</v>
      </c>
      <c r="B1196" s="2" t="s">
        <v>1345</v>
      </c>
      <c r="C1196" s="2" t="s">
        <v>2598</v>
      </c>
      <c r="D1196" s="3">
        <v>45846</v>
      </c>
      <c r="E1196" s="3">
        <v>45849</v>
      </c>
      <c r="F1196" s="3">
        <v>45863</v>
      </c>
      <c r="G1196" s="2" t="s">
        <v>2627</v>
      </c>
      <c r="H1196" s="2">
        <v>29</v>
      </c>
      <c r="I1196" s="2">
        <f>IFERROR(INDEX(Raw_Orders!H1196:H3624,MATCH(B1196,Raw_Orders!A1196:A3624,0)),0)</f>
        <v>29</v>
      </c>
      <c r="J1196" s="2" t="str">
        <f t="shared" si="72"/>
        <v>No</v>
      </c>
      <c r="K1196" s="2" t="str">
        <f t="shared" si="73"/>
        <v>Yes</v>
      </c>
      <c r="L1196" s="2" t="str">
        <f t="shared" si="75"/>
        <v>No</v>
      </c>
      <c r="M1196" s="2">
        <f t="shared" si="74"/>
        <v>0</v>
      </c>
    </row>
    <row r="1197" spans="1:13" x14ac:dyDescent="0.3">
      <c r="A1197" s="5" t="s">
        <v>3826</v>
      </c>
      <c r="B1197" s="5" t="s">
        <v>1346</v>
      </c>
      <c r="C1197" s="5" t="s">
        <v>2614</v>
      </c>
      <c r="D1197" s="6">
        <v>45845</v>
      </c>
      <c r="E1197" s="6">
        <v>45848</v>
      </c>
      <c r="F1197" s="6">
        <v>45859</v>
      </c>
      <c r="G1197" s="5" t="s">
        <v>2641</v>
      </c>
      <c r="H1197" s="5">
        <v>20</v>
      </c>
      <c r="I1197" s="5">
        <f>IFERROR(INDEX(Raw_Orders!H1197:H3625,MATCH(B1197,Raw_Orders!A1197:A3625,0)),0)</f>
        <v>20</v>
      </c>
      <c r="J1197" s="5" t="str">
        <f t="shared" si="72"/>
        <v>No</v>
      </c>
      <c r="K1197" s="5" t="str">
        <f t="shared" si="73"/>
        <v>Yes</v>
      </c>
      <c r="L1197" s="5" t="str">
        <f t="shared" si="75"/>
        <v>No</v>
      </c>
      <c r="M1197" s="5">
        <f t="shared" si="74"/>
        <v>0</v>
      </c>
    </row>
    <row r="1198" spans="1:13" x14ac:dyDescent="0.3">
      <c r="A1198" s="2" t="s">
        <v>3827</v>
      </c>
      <c r="B1198" s="2" t="s">
        <v>1347</v>
      </c>
      <c r="C1198" s="2" t="s">
        <v>2601</v>
      </c>
      <c r="D1198" s="3">
        <v>45846</v>
      </c>
      <c r="E1198" s="3">
        <v>45848</v>
      </c>
      <c r="F1198" s="3">
        <v>45853</v>
      </c>
      <c r="G1198" s="2" t="s">
        <v>2627</v>
      </c>
      <c r="H1198" s="2">
        <v>2</v>
      </c>
      <c r="I1198" s="2">
        <f>IFERROR(INDEX(Raw_Orders!H1198:H3626,MATCH(B1198,Raw_Orders!A1198:A3626,0)),0)</f>
        <v>2</v>
      </c>
      <c r="J1198" s="2" t="str">
        <f t="shared" si="72"/>
        <v>No</v>
      </c>
      <c r="K1198" s="2" t="str">
        <f t="shared" si="73"/>
        <v>Yes</v>
      </c>
      <c r="L1198" s="2" t="str">
        <f t="shared" si="75"/>
        <v>No</v>
      </c>
      <c r="M1198" s="2">
        <f t="shared" si="74"/>
        <v>0</v>
      </c>
    </row>
    <row r="1199" spans="1:13" x14ac:dyDescent="0.3">
      <c r="A1199" s="5" t="s">
        <v>3828</v>
      </c>
      <c r="B1199" s="5" t="s">
        <v>1348</v>
      </c>
      <c r="C1199" s="5" t="s">
        <v>2608</v>
      </c>
      <c r="D1199" s="6">
        <v>45845</v>
      </c>
      <c r="E1199" s="6">
        <v>45848</v>
      </c>
      <c r="F1199" s="6">
        <v>45857</v>
      </c>
      <c r="G1199" s="5" t="s">
        <v>2631</v>
      </c>
      <c r="H1199" s="5">
        <v>29</v>
      </c>
      <c r="I1199" s="5">
        <f>IFERROR(INDEX(Raw_Orders!H1199:H3627,MATCH(B1199,Raw_Orders!A1199:A3627,0)),0)</f>
        <v>29</v>
      </c>
      <c r="J1199" s="5" t="str">
        <f t="shared" si="72"/>
        <v>No</v>
      </c>
      <c r="K1199" s="5" t="str">
        <f t="shared" si="73"/>
        <v>Yes</v>
      </c>
      <c r="L1199" s="5" t="str">
        <f t="shared" si="75"/>
        <v>No</v>
      </c>
      <c r="M1199" s="5">
        <f t="shared" si="74"/>
        <v>0</v>
      </c>
    </row>
    <row r="1200" spans="1:13" x14ac:dyDescent="0.3">
      <c r="A1200" s="2" t="s">
        <v>3829</v>
      </c>
      <c r="B1200" s="2" t="s">
        <v>1349</v>
      </c>
      <c r="C1200" s="2" t="s">
        <v>2608</v>
      </c>
      <c r="D1200" s="3">
        <v>45845</v>
      </c>
      <c r="E1200" s="3">
        <v>45850</v>
      </c>
      <c r="F1200" s="3">
        <v>45859</v>
      </c>
      <c r="G1200" s="2" t="s">
        <v>2631</v>
      </c>
      <c r="H1200" s="2">
        <v>7</v>
      </c>
      <c r="I1200" s="2">
        <f>IFERROR(INDEX(Raw_Orders!H1200:H3628,MATCH(B1200,Raw_Orders!A1200:A3628,0)),0)</f>
        <v>7</v>
      </c>
      <c r="J1200" s="2" t="str">
        <f t="shared" si="72"/>
        <v>No</v>
      </c>
      <c r="K1200" s="2" t="str">
        <f t="shared" si="73"/>
        <v>Yes</v>
      </c>
      <c r="L1200" s="2" t="str">
        <f t="shared" si="75"/>
        <v>No</v>
      </c>
      <c r="M1200" s="2">
        <f t="shared" si="74"/>
        <v>0</v>
      </c>
    </row>
    <row r="1201" spans="1:13" x14ac:dyDescent="0.3">
      <c r="A1201" s="5" t="s">
        <v>3830</v>
      </c>
      <c r="B1201" s="5" t="s">
        <v>1350</v>
      </c>
      <c r="C1201" s="5" t="s">
        <v>2608</v>
      </c>
      <c r="D1201" s="6">
        <v>45846</v>
      </c>
      <c r="E1201" s="6">
        <v>45854</v>
      </c>
      <c r="F1201" s="6">
        <v>45859</v>
      </c>
      <c r="G1201" s="5" t="s">
        <v>2641</v>
      </c>
      <c r="H1201" s="5">
        <v>1</v>
      </c>
      <c r="I1201" s="5">
        <f>IFERROR(INDEX(Raw_Orders!H1201:H3629,MATCH(B1201,Raw_Orders!A1201:A3629,0)),0)</f>
        <v>8</v>
      </c>
      <c r="J1201" s="5" t="str">
        <f t="shared" si="72"/>
        <v>No</v>
      </c>
      <c r="K1201" s="5" t="str">
        <f t="shared" si="73"/>
        <v>N0</v>
      </c>
      <c r="L1201" s="5" t="str">
        <f t="shared" si="75"/>
        <v>No</v>
      </c>
      <c r="M1201" s="5">
        <f t="shared" si="74"/>
        <v>0</v>
      </c>
    </row>
    <row r="1202" spans="1:13" x14ac:dyDescent="0.3">
      <c r="A1202" s="2" t="s">
        <v>3831</v>
      </c>
      <c r="B1202" s="2" t="s">
        <v>1351</v>
      </c>
      <c r="C1202" s="2" t="s">
        <v>2611</v>
      </c>
      <c r="D1202" s="3">
        <v>45846</v>
      </c>
      <c r="E1202" s="3">
        <v>45855</v>
      </c>
      <c r="F1202" s="3">
        <v>45853</v>
      </c>
      <c r="G1202" s="2" t="s">
        <v>2627</v>
      </c>
      <c r="H1202" s="2">
        <v>31</v>
      </c>
      <c r="I1202" s="2">
        <f>IFERROR(INDEX(Raw_Orders!H1202:H3630,MATCH(B1202,Raw_Orders!A1202:A3630,0)),0)</f>
        <v>31</v>
      </c>
      <c r="J1202" s="2" t="str">
        <f t="shared" si="72"/>
        <v>Yes</v>
      </c>
      <c r="K1202" s="2" t="str">
        <f t="shared" si="73"/>
        <v>Yes</v>
      </c>
      <c r="L1202" s="2" t="str">
        <f t="shared" si="75"/>
        <v>Yes</v>
      </c>
      <c r="M1202" s="2">
        <f t="shared" si="74"/>
        <v>1</v>
      </c>
    </row>
    <row r="1203" spans="1:13" x14ac:dyDescent="0.3">
      <c r="A1203" s="5" t="s">
        <v>3832</v>
      </c>
      <c r="B1203" s="5" t="s">
        <v>1352</v>
      </c>
      <c r="C1203" s="5" t="s">
        <v>2601</v>
      </c>
      <c r="D1203" s="6">
        <v>45848</v>
      </c>
      <c r="E1203" s="6">
        <v>45850</v>
      </c>
      <c r="F1203" s="6">
        <v>45852</v>
      </c>
      <c r="G1203" s="5" t="s">
        <v>2627</v>
      </c>
      <c r="H1203" s="5">
        <v>15</v>
      </c>
      <c r="I1203" s="5">
        <f>IFERROR(INDEX(Raw_Orders!H1203:H3631,MATCH(B1203,Raw_Orders!A1203:A3631,0)),0)</f>
        <v>15</v>
      </c>
      <c r="J1203" s="5" t="str">
        <f t="shared" si="72"/>
        <v>No</v>
      </c>
      <c r="K1203" s="5" t="str">
        <f t="shared" si="73"/>
        <v>Yes</v>
      </c>
      <c r="L1203" s="5" t="str">
        <f t="shared" si="75"/>
        <v>No</v>
      </c>
      <c r="M1203" s="5">
        <f t="shared" si="74"/>
        <v>0</v>
      </c>
    </row>
    <row r="1204" spans="1:13" x14ac:dyDescent="0.3">
      <c r="A1204" s="2" t="s">
        <v>3833</v>
      </c>
      <c r="B1204" s="2" t="s">
        <v>1353</v>
      </c>
      <c r="C1204" s="2" t="s">
        <v>2616</v>
      </c>
      <c r="D1204" s="3">
        <v>45848</v>
      </c>
      <c r="E1204" s="3">
        <v>45850</v>
      </c>
      <c r="F1204" s="3">
        <v>45862</v>
      </c>
      <c r="G1204" s="2" t="s">
        <v>2629</v>
      </c>
      <c r="H1204" s="2">
        <v>42</v>
      </c>
      <c r="I1204" s="2">
        <f>IFERROR(INDEX(Raw_Orders!H1204:H3632,MATCH(B1204,Raw_Orders!A1204:A3632,0)),0)</f>
        <v>42</v>
      </c>
      <c r="J1204" s="2" t="str">
        <f t="shared" si="72"/>
        <v>No</v>
      </c>
      <c r="K1204" s="2" t="str">
        <f t="shared" si="73"/>
        <v>Yes</v>
      </c>
      <c r="L1204" s="2" t="str">
        <f t="shared" si="75"/>
        <v>No</v>
      </c>
      <c r="M1204" s="2">
        <f t="shared" si="74"/>
        <v>0</v>
      </c>
    </row>
    <row r="1205" spans="1:13" x14ac:dyDescent="0.3">
      <c r="A1205" s="5" t="s">
        <v>3834</v>
      </c>
      <c r="B1205" s="5" t="s">
        <v>1354</v>
      </c>
      <c r="C1205" s="5" t="s">
        <v>2606</v>
      </c>
      <c r="D1205" s="6">
        <v>45846</v>
      </c>
      <c r="E1205" s="6">
        <v>45853</v>
      </c>
      <c r="F1205" s="6">
        <v>45852</v>
      </c>
      <c r="G1205" s="5" t="s">
        <v>2633</v>
      </c>
      <c r="H1205" s="5">
        <v>44</v>
      </c>
      <c r="I1205" s="5">
        <f>IFERROR(INDEX(Raw_Orders!H1205:H3633,MATCH(B1205,Raw_Orders!A1205:A3633,0)),0)</f>
        <v>44</v>
      </c>
      <c r="J1205" s="5" t="str">
        <f t="shared" si="72"/>
        <v>Yes</v>
      </c>
      <c r="K1205" s="5" t="str">
        <f t="shared" si="73"/>
        <v>Yes</v>
      </c>
      <c r="L1205" s="5" t="str">
        <f t="shared" si="75"/>
        <v>Yes</v>
      </c>
      <c r="M1205" s="5">
        <f t="shared" si="74"/>
        <v>1</v>
      </c>
    </row>
    <row r="1206" spans="1:13" x14ac:dyDescent="0.3">
      <c r="A1206" s="2" t="s">
        <v>3835</v>
      </c>
      <c r="B1206" s="2" t="s">
        <v>1355</v>
      </c>
      <c r="C1206" s="2" t="s">
        <v>2608</v>
      </c>
      <c r="D1206" s="3">
        <v>45846</v>
      </c>
      <c r="E1206" s="3">
        <v>45851</v>
      </c>
      <c r="F1206" s="3">
        <v>45858</v>
      </c>
      <c r="G1206" s="2" t="s">
        <v>2627</v>
      </c>
      <c r="H1206" s="2">
        <v>21</v>
      </c>
      <c r="I1206" s="2">
        <f>IFERROR(INDEX(Raw_Orders!H1206:H3634,MATCH(B1206,Raw_Orders!A1206:A3634,0)),0)</f>
        <v>27</v>
      </c>
      <c r="J1206" s="2" t="str">
        <f t="shared" si="72"/>
        <v>No</v>
      </c>
      <c r="K1206" s="2" t="str">
        <f t="shared" si="73"/>
        <v>N0</v>
      </c>
      <c r="L1206" s="2" t="str">
        <f t="shared" si="75"/>
        <v>No</v>
      </c>
      <c r="M1206" s="2">
        <f t="shared" si="74"/>
        <v>0</v>
      </c>
    </row>
    <row r="1207" spans="1:13" x14ac:dyDescent="0.3">
      <c r="A1207" s="5" t="s">
        <v>3836</v>
      </c>
      <c r="B1207" s="5" t="s">
        <v>1356</v>
      </c>
      <c r="C1207" s="5" t="s">
        <v>2598</v>
      </c>
      <c r="D1207" s="6">
        <v>45849</v>
      </c>
      <c r="E1207" s="6">
        <v>45852</v>
      </c>
      <c r="F1207" s="6">
        <v>45864</v>
      </c>
      <c r="G1207" s="5" t="s">
        <v>2641</v>
      </c>
      <c r="H1207" s="5">
        <v>36</v>
      </c>
      <c r="I1207" s="5">
        <f>IFERROR(INDEX(Raw_Orders!H1207:H3635,MATCH(B1207,Raw_Orders!A1207:A3635,0)),0)</f>
        <v>36</v>
      </c>
      <c r="J1207" s="5" t="str">
        <f t="shared" si="72"/>
        <v>No</v>
      </c>
      <c r="K1207" s="5" t="str">
        <f t="shared" si="73"/>
        <v>Yes</v>
      </c>
      <c r="L1207" s="5" t="str">
        <f t="shared" si="75"/>
        <v>No</v>
      </c>
      <c r="M1207" s="5">
        <f t="shared" si="74"/>
        <v>0</v>
      </c>
    </row>
    <row r="1208" spans="1:13" x14ac:dyDescent="0.3">
      <c r="A1208" s="2" t="s">
        <v>3837</v>
      </c>
      <c r="B1208" s="2" t="s">
        <v>1357</v>
      </c>
      <c r="C1208" s="2" t="s">
        <v>2598</v>
      </c>
      <c r="D1208" s="3">
        <v>45847</v>
      </c>
      <c r="E1208" s="3">
        <v>45850</v>
      </c>
      <c r="F1208" s="3">
        <v>45859</v>
      </c>
      <c r="G1208" s="2" t="s">
        <v>2633</v>
      </c>
      <c r="H1208" s="2">
        <v>14</v>
      </c>
      <c r="I1208" s="2">
        <f>IFERROR(INDEX(Raw_Orders!H1208:H3636,MATCH(B1208,Raw_Orders!A1208:A3636,0)),0)</f>
        <v>14</v>
      </c>
      <c r="J1208" s="2" t="str">
        <f t="shared" si="72"/>
        <v>No</v>
      </c>
      <c r="K1208" s="2" t="str">
        <f t="shared" si="73"/>
        <v>Yes</v>
      </c>
      <c r="L1208" s="2" t="str">
        <f t="shared" si="75"/>
        <v>No</v>
      </c>
      <c r="M1208" s="2">
        <f t="shared" si="74"/>
        <v>0</v>
      </c>
    </row>
    <row r="1209" spans="1:13" x14ac:dyDescent="0.3">
      <c r="A1209" s="5" t="s">
        <v>3838</v>
      </c>
      <c r="B1209" s="5" t="s">
        <v>1358</v>
      </c>
      <c r="C1209" s="5" t="s">
        <v>2611</v>
      </c>
      <c r="D1209" s="6">
        <v>45849</v>
      </c>
      <c r="E1209" s="6">
        <v>45850</v>
      </c>
      <c r="F1209" s="6">
        <v>45858</v>
      </c>
      <c r="G1209" s="5" t="s">
        <v>2629</v>
      </c>
      <c r="H1209" s="5">
        <v>45</v>
      </c>
      <c r="I1209" s="5">
        <f>IFERROR(INDEX(Raw_Orders!H1209:H3637,MATCH(B1209,Raw_Orders!A1209:A3637,0)),0)</f>
        <v>45</v>
      </c>
      <c r="J1209" s="5" t="str">
        <f t="shared" si="72"/>
        <v>No</v>
      </c>
      <c r="K1209" s="5" t="str">
        <f t="shared" si="73"/>
        <v>Yes</v>
      </c>
      <c r="L1209" s="5" t="str">
        <f t="shared" si="75"/>
        <v>No</v>
      </c>
      <c r="M1209" s="5">
        <f t="shared" si="74"/>
        <v>0</v>
      </c>
    </row>
    <row r="1210" spans="1:13" x14ac:dyDescent="0.3">
      <c r="A1210" s="2" t="s">
        <v>3839</v>
      </c>
      <c r="B1210" s="2" t="s">
        <v>1359</v>
      </c>
      <c r="C1210" s="2" t="s">
        <v>2601</v>
      </c>
      <c r="D1210" s="3">
        <v>45847</v>
      </c>
      <c r="E1210" s="3">
        <v>45851</v>
      </c>
      <c r="F1210" s="3">
        <v>45852</v>
      </c>
      <c r="G1210" s="2" t="s">
        <v>2633</v>
      </c>
      <c r="H1210" s="2">
        <v>10</v>
      </c>
      <c r="I1210" s="2">
        <f>IFERROR(INDEX(Raw_Orders!H1210:H3638,MATCH(B1210,Raw_Orders!A1210:A3638,0)),0)</f>
        <v>17</v>
      </c>
      <c r="J1210" s="2" t="str">
        <f t="shared" si="72"/>
        <v>No</v>
      </c>
      <c r="K1210" s="2" t="str">
        <f t="shared" si="73"/>
        <v>N0</v>
      </c>
      <c r="L1210" s="2" t="str">
        <f t="shared" si="75"/>
        <v>No</v>
      </c>
      <c r="M1210" s="2">
        <f t="shared" si="74"/>
        <v>0</v>
      </c>
    </row>
    <row r="1211" spans="1:13" x14ac:dyDescent="0.3">
      <c r="A1211" s="5" t="s">
        <v>3840</v>
      </c>
      <c r="B1211" s="5" t="s">
        <v>1360</v>
      </c>
      <c r="C1211" s="5" t="s">
        <v>2604</v>
      </c>
      <c r="D1211" s="6">
        <v>45847</v>
      </c>
      <c r="E1211" s="6">
        <v>45855</v>
      </c>
      <c r="F1211" s="6">
        <v>45851</v>
      </c>
      <c r="G1211" s="5" t="s">
        <v>2633</v>
      </c>
      <c r="H1211" s="5">
        <v>29</v>
      </c>
      <c r="I1211" s="5">
        <f>IFERROR(INDEX(Raw_Orders!H1211:H3639,MATCH(B1211,Raw_Orders!A1211:A3639,0)),0)</f>
        <v>33</v>
      </c>
      <c r="J1211" s="5" t="str">
        <f t="shared" si="72"/>
        <v>Yes</v>
      </c>
      <c r="K1211" s="5" t="str">
        <f t="shared" si="73"/>
        <v>N0</v>
      </c>
      <c r="L1211" s="5" t="str">
        <f t="shared" si="75"/>
        <v>No</v>
      </c>
      <c r="M1211" s="5">
        <f t="shared" si="74"/>
        <v>0</v>
      </c>
    </row>
    <row r="1212" spans="1:13" x14ac:dyDescent="0.3">
      <c r="A1212" s="2" t="s">
        <v>3841</v>
      </c>
      <c r="B1212" s="2" t="s">
        <v>1361</v>
      </c>
      <c r="C1212" s="2" t="s">
        <v>2606</v>
      </c>
      <c r="D1212" s="3">
        <v>45849</v>
      </c>
      <c r="E1212" s="3">
        <v>45850</v>
      </c>
      <c r="F1212" s="3">
        <v>45859</v>
      </c>
      <c r="G1212" s="2" t="s">
        <v>2631</v>
      </c>
      <c r="H1212" s="2">
        <v>46</v>
      </c>
      <c r="I1212" s="2">
        <f>IFERROR(INDEX(Raw_Orders!H1212:H3640,MATCH(B1212,Raw_Orders!A1212:A3640,0)),0)</f>
        <v>46</v>
      </c>
      <c r="J1212" s="2" t="str">
        <f t="shared" si="72"/>
        <v>No</v>
      </c>
      <c r="K1212" s="2" t="str">
        <f t="shared" si="73"/>
        <v>Yes</v>
      </c>
      <c r="L1212" s="2" t="str">
        <f t="shared" si="75"/>
        <v>No</v>
      </c>
      <c r="M1212" s="2">
        <f t="shared" si="74"/>
        <v>0</v>
      </c>
    </row>
    <row r="1213" spans="1:13" x14ac:dyDescent="0.3">
      <c r="A1213" s="5" t="s">
        <v>3842</v>
      </c>
      <c r="B1213" s="5" t="s">
        <v>1362</v>
      </c>
      <c r="C1213" s="5" t="s">
        <v>2608</v>
      </c>
      <c r="D1213" s="6">
        <v>45847</v>
      </c>
      <c r="E1213" s="6">
        <v>45857</v>
      </c>
      <c r="F1213" s="6">
        <v>45859</v>
      </c>
      <c r="G1213" s="5" t="s">
        <v>2633</v>
      </c>
      <c r="H1213" s="5">
        <v>11</v>
      </c>
      <c r="I1213" s="5">
        <f>IFERROR(INDEX(Raw_Orders!H1213:H3641,MATCH(B1213,Raw_Orders!A1213:A3641,0)),0)</f>
        <v>11</v>
      </c>
      <c r="J1213" s="5" t="str">
        <f t="shared" si="72"/>
        <v>No</v>
      </c>
      <c r="K1213" s="5" t="str">
        <f t="shared" si="73"/>
        <v>Yes</v>
      </c>
      <c r="L1213" s="5" t="str">
        <f t="shared" si="75"/>
        <v>No</v>
      </c>
      <c r="M1213" s="5">
        <f t="shared" si="74"/>
        <v>0</v>
      </c>
    </row>
    <row r="1214" spans="1:13" x14ac:dyDescent="0.3">
      <c r="A1214" s="2" t="s">
        <v>3843</v>
      </c>
      <c r="B1214" s="2" t="s">
        <v>1363</v>
      </c>
      <c r="C1214" s="2" t="s">
        <v>2598</v>
      </c>
      <c r="D1214" s="3">
        <v>45848</v>
      </c>
      <c r="E1214" s="3">
        <v>45851</v>
      </c>
      <c r="F1214" s="3">
        <v>45861</v>
      </c>
      <c r="G1214" s="2" t="s">
        <v>2629</v>
      </c>
      <c r="H1214" s="2">
        <v>8</v>
      </c>
      <c r="I1214" s="2">
        <f>IFERROR(INDEX(Raw_Orders!H1214:H3642,MATCH(B1214,Raw_Orders!A1214:A3642,0)),0)</f>
        <v>8</v>
      </c>
      <c r="J1214" s="2" t="str">
        <f t="shared" si="72"/>
        <v>No</v>
      </c>
      <c r="K1214" s="2" t="str">
        <f t="shared" si="73"/>
        <v>Yes</v>
      </c>
      <c r="L1214" s="2" t="str">
        <f t="shared" si="75"/>
        <v>No</v>
      </c>
      <c r="M1214" s="2">
        <f t="shared" si="74"/>
        <v>0</v>
      </c>
    </row>
    <row r="1215" spans="1:13" x14ac:dyDescent="0.3">
      <c r="A1215" s="5" t="s">
        <v>3844</v>
      </c>
      <c r="B1215" s="5" t="s">
        <v>1364</v>
      </c>
      <c r="C1215" s="5" t="s">
        <v>2598</v>
      </c>
      <c r="D1215" s="6">
        <v>45848</v>
      </c>
      <c r="E1215" s="6">
        <v>45851</v>
      </c>
      <c r="F1215" s="6">
        <v>45860</v>
      </c>
      <c r="G1215" s="5" t="s">
        <v>2629</v>
      </c>
      <c r="H1215" s="5">
        <v>49</v>
      </c>
      <c r="I1215" s="5">
        <f>IFERROR(INDEX(Raw_Orders!H1215:H3643,MATCH(B1215,Raw_Orders!A1215:A3643,0)),0)</f>
        <v>49</v>
      </c>
      <c r="J1215" s="5" t="str">
        <f t="shared" si="72"/>
        <v>No</v>
      </c>
      <c r="K1215" s="5" t="str">
        <f t="shared" si="73"/>
        <v>Yes</v>
      </c>
      <c r="L1215" s="5" t="str">
        <f t="shared" si="75"/>
        <v>No</v>
      </c>
      <c r="M1215" s="5">
        <f t="shared" si="74"/>
        <v>0</v>
      </c>
    </row>
    <row r="1216" spans="1:13" x14ac:dyDescent="0.3">
      <c r="A1216" s="2" t="s">
        <v>3845</v>
      </c>
      <c r="B1216" s="2" t="s">
        <v>1365</v>
      </c>
      <c r="C1216" s="2" t="s">
        <v>2601</v>
      </c>
      <c r="D1216" s="3">
        <v>45850</v>
      </c>
      <c r="E1216" s="3">
        <v>45856</v>
      </c>
      <c r="F1216" s="3">
        <v>45859</v>
      </c>
      <c r="G1216" s="2" t="s">
        <v>2631</v>
      </c>
      <c r="H1216" s="2">
        <v>7</v>
      </c>
      <c r="I1216" s="2">
        <f>IFERROR(INDEX(Raw_Orders!H1216:H3644,MATCH(B1216,Raw_Orders!A1216:A3644,0)),0)</f>
        <v>7</v>
      </c>
      <c r="J1216" s="2" t="str">
        <f t="shared" si="72"/>
        <v>No</v>
      </c>
      <c r="K1216" s="2" t="str">
        <f t="shared" si="73"/>
        <v>Yes</v>
      </c>
      <c r="L1216" s="2" t="str">
        <f t="shared" si="75"/>
        <v>No</v>
      </c>
      <c r="M1216" s="2">
        <f t="shared" si="74"/>
        <v>0</v>
      </c>
    </row>
    <row r="1217" spans="1:13" x14ac:dyDescent="0.3">
      <c r="A1217" s="5" t="s">
        <v>3846</v>
      </c>
      <c r="B1217" s="5" t="s">
        <v>1366</v>
      </c>
      <c r="C1217" s="5" t="s">
        <v>2614</v>
      </c>
      <c r="D1217" s="6">
        <v>45848</v>
      </c>
      <c r="E1217" s="6">
        <v>45855</v>
      </c>
      <c r="F1217" s="6">
        <v>45866</v>
      </c>
      <c r="G1217" s="5" t="s">
        <v>2629</v>
      </c>
      <c r="H1217" s="5">
        <v>32</v>
      </c>
      <c r="I1217" s="5">
        <f>IFERROR(INDEX(Raw_Orders!H1217:H3645,MATCH(B1217,Raw_Orders!A1217:A3645,0)),0)</f>
        <v>32</v>
      </c>
      <c r="J1217" s="5" t="str">
        <f t="shared" si="72"/>
        <v>No</v>
      </c>
      <c r="K1217" s="5" t="str">
        <f t="shared" si="73"/>
        <v>Yes</v>
      </c>
      <c r="L1217" s="5" t="str">
        <f t="shared" si="75"/>
        <v>No</v>
      </c>
      <c r="M1217" s="5">
        <f t="shared" si="74"/>
        <v>0</v>
      </c>
    </row>
    <row r="1218" spans="1:13" x14ac:dyDescent="0.3">
      <c r="A1218" s="2" t="s">
        <v>3847</v>
      </c>
      <c r="B1218" s="2" t="s">
        <v>1367</v>
      </c>
      <c r="C1218" s="2" t="s">
        <v>2604</v>
      </c>
      <c r="D1218" s="3">
        <v>45849</v>
      </c>
      <c r="E1218" s="3">
        <v>45851</v>
      </c>
      <c r="F1218" s="3">
        <v>45855</v>
      </c>
      <c r="G1218" s="2" t="s">
        <v>2633</v>
      </c>
      <c r="H1218" s="2">
        <v>32</v>
      </c>
      <c r="I1218" s="2">
        <f>IFERROR(INDEX(Raw_Orders!H1218:H3646,MATCH(B1218,Raw_Orders!A1218:A3646,0)),0)</f>
        <v>32</v>
      </c>
      <c r="J1218" s="2" t="str">
        <f t="shared" si="72"/>
        <v>No</v>
      </c>
      <c r="K1218" s="2" t="str">
        <f t="shared" si="73"/>
        <v>Yes</v>
      </c>
      <c r="L1218" s="2" t="str">
        <f t="shared" si="75"/>
        <v>No</v>
      </c>
      <c r="M1218" s="2">
        <f t="shared" si="74"/>
        <v>0</v>
      </c>
    </row>
    <row r="1219" spans="1:13" x14ac:dyDescent="0.3">
      <c r="A1219" s="5" t="s">
        <v>3848</v>
      </c>
      <c r="B1219" s="5" t="s">
        <v>1368</v>
      </c>
      <c r="C1219" s="5" t="s">
        <v>2606</v>
      </c>
      <c r="D1219" s="6">
        <v>45848</v>
      </c>
      <c r="E1219" s="6">
        <v>45853</v>
      </c>
      <c r="F1219" s="6">
        <v>45855</v>
      </c>
      <c r="G1219" s="5" t="s">
        <v>2629</v>
      </c>
      <c r="H1219" s="5">
        <v>35</v>
      </c>
      <c r="I1219" s="5">
        <f>IFERROR(INDEX(Raw_Orders!H1219:H3647,MATCH(B1219,Raw_Orders!A1219:A3647,0)),0)</f>
        <v>35</v>
      </c>
      <c r="J1219" s="5" t="str">
        <f t="shared" ref="J1219:J1282" si="76">IF(E1219&gt;=F1219,"Yes","No")</f>
        <v>No</v>
      </c>
      <c r="K1219" s="5" t="str">
        <f t="shared" ref="K1219:K1282" si="77">IF(H1219&gt;=I1219,"Yes","N0")</f>
        <v>Yes</v>
      </c>
      <c r="L1219" s="5" t="str">
        <f t="shared" si="75"/>
        <v>No</v>
      </c>
      <c r="M1219" s="5">
        <f t="shared" ref="M1219:M1282" si="78">IF(L1219="Yes",1,0)</f>
        <v>0</v>
      </c>
    </row>
    <row r="1220" spans="1:13" x14ac:dyDescent="0.3">
      <c r="A1220" s="2" t="s">
        <v>3849</v>
      </c>
      <c r="B1220" s="2" t="s">
        <v>1369</v>
      </c>
      <c r="C1220" s="2" t="s">
        <v>2606</v>
      </c>
      <c r="D1220" s="3">
        <v>45849</v>
      </c>
      <c r="E1220" s="3">
        <v>45856</v>
      </c>
      <c r="F1220" s="3">
        <v>45854</v>
      </c>
      <c r="G1220" s="2" t="s">
        <v>2633</v>
      </c>
      <c r="H1220" s="2">
        <v>42</v>
      </c>
      <c r="I1220" s="2">
        <f>IFERROR(INDEX(Raw_Orders!H1220:H3648,MATCH(B1220,Raw_Orders!A1220:A3648,0)),0)</f>
        <v>42</v>
      </c>
      <c r="J1220" s="2" t="str">
        <f t="shared" si="76"/>
        <v>Yes</v>
      </c>
      <c r="K1220" s="2" t="str">
        <f t="shared" si="77"/>
        <v>Yes</v>
      </c>
      <c r="L1220" s="2" t="str">
        <f t="shared" ref="L1220:L1283" si="79">IF(AND(J1220="Yes",K1220="Yes"),"Yes","No")</f>
        <v>Yes</v>
      </c>
      <c r="M1220" s="2">
        <f t="shared" si="78"/>
        <v>1</v>
      </c>
    </row>
    <row r="1221" spans="1:13" x14ac:dyDescent="0.3">
      <c r="A1221" s="5" t="s">
        <v>3850</v>
      </c>
      <c r="B1221" s="5" t="s">
        <v>1370</v>
      </c>
      <c r="C1221" s="5" t="s">
        <v>2598</v>
      </c>
      <c r="D1221" s="6">
        <v>45850</v>
      </c>
      <c r="E1221" s="6">
        <v>45854</v>
      </c>
      <c r="F1221" s="6">
        <v>45863</v>
      </c>
      <c r="G1221" s="5" t="s">
        <v>2631</v>
      </c>
      <c r="H1221" s="5">
        <v>23</v>
      </c>
      <c r="I1221" s="5">
        <f>IFERROR(INDEX(Raw_Orders!H1221:H3649,MATCH(B1221,Raw_Orders!A1221:A3649,0)),0)</f>
        <v>23</v>
      </c>
      <c r="J1221" s="5" t="str">
        <f t="shared" si="76"/>
        <v>No</v>
      </c>
      <c r="K1221" s="5" t="str">
        <f t="shared" si="77"/>
        <v>Yes</v>
      </c>
      <c r="L1221" s="5" t="str">
        <f t="shared" si="79"/>
        <v>No</v>
      </c>
      <c r="M1221" s="5">
        <f t="shared" si="78"/>
        <v>0</v>
      </c>
    </row>
    <row r="1222" spans="1:13" x14ac:dyDescent="0.3">
      <c r="A1222" s="2" t="s">
        <v>3851</v>
      </c>
      <c r="B1222" s="2" t="s">
        <v>1371</v>
      </c>
      <c r="C1222" s="2" t="s">
        <v>2598</v>
      </c>
      <c r="D1222" s="3">
        <v>45851</v>
      </c>
      <c r="E1222" s="3">
        <v>45858</v>
      </c>
      <c r="F1222" s="3">
        <v>45863</v>
      </c>
      <c r="G1222" s="2" t="s">
        <v>2631</v>
      </c>
      <c r="H1222" s="2">
        <v>24</v>
      </c>
      <c r="I1222" s="2">
        <f>IFERROR(INDEX(Raw_Orders!H1222:H3650,MATCH(B1222,Raw_Orders!A1222:A3650,0)),0)</f>
        <v>27</v>
      </c>
      <c r="J1222" s="2" t="str">
        <f t="shared" si="76"/>
        <v>No</v>
      </c>
      <c r="K1222" s="2" t="str">
        <f t="shared" si="77"/>
        <v>N0</v>
      </c>
      <c r="L1222" s="2" t="str">
        <f t="shared" si="79"/>
        <v>No</v>
      </c>
      <c r="M1222" s="2">
        <f t="shared" si="78"/>
        <v>0</v>
      </c>
    </row>
    <row r="1223" spans="1:13" x14ac:dyDescent="0.3">
      <c r="A1223" s="5" t="s">
        <v>3852</v>
      </c>
      <c r="B1223" s="5" t="s">
        <v>1372</v>
      </c>
      <c r="C1223" s="5" t="s">
        <v>2616</v>
      </c>
      <c r="D1223" s="6">
        <v>45851</v>
      </c>
      <c r="E1223" s="6">
        <v>45854</v>
      </c>
      <c r="F1223" s="6">
        <v>45868</v>
      </c>
      <c r="G1223" s="5" t="s">
        <v>2629</v>
      </c>
      <c r="H1223" s="5">
        <v>46</v>
      </c>
      <c r="I1223" s="5">
        <f>IFERROR(INDEX(Raw_Orders!H1223:H3651,MATCH(B1223,Raw_Orders!A1223:A3651,0)),0)</f>
        <v>49</v>
      </c>
      <c r="J1223" s="5" t="str">
        <f t="shared" si="76"/>
        <v>No</v>
      </c>
      <c r="K1223" s="5" t="str">
        <f t="shared" si="77"/>
        <v>N0</v>
      </c>
      <c r="L1223" s="5" t="str">
        <f t="shared" si="79"/>
        <v>No</v>
      </c>
      <c r="M1223" s="5">
        <f t="shared" si="78"/>
        <v>0</v>
      </c>
    </row>
    <row r="1224" spans="1:13" x14ac:dyDescent="0.3">
      <c r="A1224" s="2" t="s">
        <v>3853</v>
      </c>
      <c r="B1224" s="2" t="s">
        <v>1373</v>
      </c>
      <c r="C1224" s="2" t="s">
        <v>2604</v>
      </c>
      <c r="D1224" s="3">
        <v>45851</v>
      </c>
      <c r="E1224" s="3">
        <v>45859</v>
      </c>
      <c r="F1224" s="3">
        <v>45855</v>
      </c>
      <c r="G1224" s="2" t="s">
        <v>2629</v>
      </c>
      <c r="H1224" s="2">
        <v>23</v>
      </c>
      <c r="I1224" s="2">
        <f>IFERROR(INDEX(Raw_Orders!H1224:H3652,MATCH(B1224,Raw_Orders!A1224:A3652,0)),0)</f>
        <v>23</v>
      </c>
      <c r="J1224" s="2" t="str">
        <f t="shared" si="76"/>
        <v>Yes</v>
      </c>
      <c r="K1224" s="2" t="str">
        <f t="shared" si="77"/>
        <v>Yes</v>
      </c>
      <c r="L1224" s="2" t="str">
        <f t="shared" si="79"/>
        <v>Yes</v>
      </c>
      <c r="M1224" s="2">
        <f t="shared" si="78"/>
        <v>1</v>
      </c>
    </row>
    <row r="1225" spans="1:13" x14ac:dyDescent="0.3">
      <c r="A1225" s="5" t="s">
        <v>3854</v>
      </c>
      <c r="B1225" s="5" t="s">
        <v>1374</v>
      </c>
      <c r="C1225" s="5" t="s">
        <v>2608</v>
      </c>
      <c r="D1225" s="6">
        <v>45850</v>
      </c>
      <c r="E1225" s="6">
        <v>45858</v>
      </c>
      <c r="F1225" s="6">
        <v>45862</v>
      </c>
      <c r="G1225" s="5" t="s">
        <v>2631</v>
      </c>
      <c r="H1225" s="5">
        <v>8</v>
      </c>
      <c r="I1225" s="5">
        <f>IFERROR(INDEX(Raw_Orders!H1225:H3653,MATCH(B1225,Raw_Orders!A1225:A3653,0)),0)</f>
        <v>8</v>
      </c>
      <c r="J1225" s="5" t="str">
        <f t="shared" si="76"/>
        <v>No</v>
      </c>
      <c r="K1225" s="5" t="str">
        <f t="shared" si="77"/>
        <v>Yes</v>
      </c>
      <c r="L1225" s="5" t="str">
        <f t="shared" si="79"/>
        <v>No</v>
      </c>
      <c r="M1225" s="5">
        <f t="shared" si="78"/>
        <v>0</v>
      </c>
    </row>
    <row r="1226" spans="1:13" x14ac:dyDescent="0.3">
      <c r="A1226" s="2" t="s">
        <v>3855</v>
      </c>
      <c r="B1226" s="2" t="s">
        <v>1375</v>
      </c>
      <c r="C1226" s="2" t="s">
        <v>2598</v>
      </c>
      <c r="D1226" s="3">
        <v>45852</v>
      </c>
      <c r="E1226" s="3">
        <v>45860</v>
      </c>
      <c r="F1226" s="3">
        <v>45865</v>
      </c>
      <c r="G1226" s="2" t="s">
        <v>2641</v>
      </c>
      <c r="H1226" s="2">
        <v>21</v>
      </c>
      <c r="I1226" s="2">
        <f>IFERROR(INDEX(Raw_Orders!H1226:H3654,MATCH(B1226,Raw_Orders!A1226:A3654,0)),0)</f>
        <v>21</v>
      </c>
      <c r="J1226" s="2" t="str">
        <f t="shared" si="76"/>
        <v>No</v>
      </c>
      <c r="K1226" s="2" t="str">
        <f t="shared" si="77"/>
        <v>Yes</v>
      </c>
      <c r="L1226" s="2" t="str">
        <f t="shared" si="79"/>
        <v>No</v>
      </c>
      <c r="M1226" s="2">
        <f t="shared" si="78"/>
        <v>0</v>
      </c>
    </row>
    <row r="1227" spans="1:13" x14ac:dyDescent="0.3">
      <c r="A1227" s="5" t="s">
        <v>3856</v>
      </c>
      <c r="B1227" s="5" t="s">
        <v>1376</v>
      </c>
      <c r="C1227" s="5" t="s">
        <v>2601</v>
      </c>
      <c r="D1227" s="6">
        <v>45850</v>
      </c>
      <c r="E1227" s="6">
        <v>45856</v>
      </c>
      <c r="F1227" s="6">
        <v>45857</v>
      </c>
      <c r="G1227" s="5" t="s">
        <v>2631</v>
      </c>
      <c r="H1227" s="5">
        <v>19</v>
      </c>
      <c r="I1227" s="5">
        <f>IFERROR(INDEX(Raw_Orders!H1227:H3655,MATCH(B1227,Raw_Orders!A1227:A3655,0)),0)</f>
        <v>19</v>
      </c>
      <c r="J1227" s="5" t="str">
        <f t="shared" si="76"/>
        <v>No</v>
      </c>
      <c r="K1227" s="5" t="str">
        <f t="shared" si="77"/>
        <v>Yes</v>
      </c>
      <c r="L1227" s="5" t="str">
        <f t="shared" si="79"/>
        <v>No</v>
      </c>
      <c r="M1227" s="5">
        <f t="shared" si="78"/>
        <v>0</v>
      </c>
    </row>
    <row r="1228" spans="1:13" x14ac:dyDescent="0.3">
      <c r="A1228" s="2" t="s">
        <v>3857</v>
      </c>
      <c r="B1228" s="2" t="s">
        <v>1377</v>
      </c>
      <c r="C1228" s="2" t="s">
        <v>2616</v>
      </c>
      <c r="D1228" s="3">
        <v>45851</v>
      </c>
      <c r="E1228" s="3">
        <v>45855</v>
      </c>
      <c r="F1228" s="3">
        <v>45866</v>
      </c>
      <c r="G1228" s="2" t="s">
        <v>2633</v>
      </c>
      <c r="H1228" s="2">
        <v>10</v>
      </c>
      <c r="I1228" s="2">
        <f>IFERROR(INDEX(Raw_Orders!H1228:H3656,MATCH(B1228,Raw_Orders!A1228:A3656,0)),0)</f>
        <v>10</v>
      </c>
      <c r="J1228" s="2" t="str">
        <f t="shared" si="76"/>
        <v>No</v>
      </c>
      <c r="K1228" s="2" t="str">
        <f t="shared" si="77"/>
        <v>Yes</v>
      </c>
      <c r="L1228" s="2" t="str">
        <f t="shared" si="79"/>
        <v>No</v>
      </c>
      <c r="M1228" s="2">
        <f t="shared" si="78"/>
        <v>0</v>
      </c>
    </row>
    <row r="1229" spans="1:13" x14ac:dyDescent="0.3">
      <c r="A1229" s="5" t="s">
        <v>3858</v>
      </c>
      <c r="B1229" s="5" t="s">
        <v>1378</v>
      </c>
      <c r="C1229" s="5" t="s">
        <v>2604</v>
      </c>
      <c r="D1229" s="6">
        <v>45851</v>
      </c>
      <c r="E1229" s="6">
        <v>45854</v>
      </c>
      <c r="F1229" s="6">
        <v>45855</v>
      </c>
      <c r="G1229" s="5" t="s">
        <v>2633</v>
      </c>
      <c r="H1229" s="5">
        <v>32</v>
      </c>
      <c r="I1229" s="5">
        <f>IFERROR(INDEX(Raw_Orders!H1229:H3657,MATCH(B1229,Raw_Orders!A1229:A3657,0)),0)</f>
        <v>32</v>
      </c>
      <c r="J1229" s="5" t="str">
        <f t="shared" si="76"/>
        <v>No</v>
      </c>
      <c r="K1229" s="5" t="str">
        <f t="shared" si="77"/>
        <v>Yes</v>
      </c>
      <c r="L1229" s="5" t="str">
        <f t="shared" si="79"/>
        <v>No</v>
      </c>
      <c r="M1229" s="5">
        <f t="shared" si="78"/>
        <v>0</v>
      </c>
    </row>
    <row r="1230" spans="1:13" x14ac:dyDescent="0.3">
      <c r="A1230" s="2" t="s">
        <v>3859</v>
      </c>
      <c r="B1230" s="2" t="s">
        <v>1379</v>
      </c>
      <c r="C1230" s="2" t="s">
        <v>2606</v>
      </c>
      <c r="D1230" s="3">
        <v>45851</v>
      </c>
      <c r="E1230" s="3">
        <v>45858</v>
      </c>
      <c r="F1230" s="3">
        <v>45858</v>
      </c>
      <c r="G1230" s="2" t="s">
        <v>2633</v>
      </c>
      <c r="H1230" s="2">
        <v>54</v>
      </c>
      <c r="I1230" s="2">
        <f>IFERROR(INDEX(Raw_Orders!H1230:H3658,MATCH(B1230,Raw_Orders!A1230:A3658,0)),0)</f>
        <v>54</v>
      </c>
      <c r="J1230" s="2" t="str">
        <f t="shared" si="76"/>
        <v>Yes</v>
      </c>
      <c r="K1230" s="2" t="str">
        <f t="shared" si="77"/>
        <v>Yes</v>
      </c>
      <c r="L1230" s="2" t="str">
        <f t="shared" si="79"/>
        <v>Yes</v>
      </c>
      <c r="M1230" s="2">
        <f t="shared" si="78"/>
        <v>1</v>
      </c>
    </row>
    <row r="1231" spans="1:13" x14ac:dyDescent="0.3">
      <c r="A1231" s="5" t="s">
        <v>3860</v>
      </c>
      <c r="B1231" s="5" t="s">
        <v>1380</v>
      </c>
      <c r="C1231" s="5" t="s">
        <v>2608</v>
      </c>
      <c r="D1231" s="6">
        <v>45851</v>
      </c>
      <c r="E1231" s="6">
        <v>45860</v>
      </c>
      <c r="F1231" s="6">
        <v>45865</v>
      </c>
      <c r="G1231" s="5" t="s">
        <v>2627</v>
      </c>
      <c r="H1231" s="5">
        <v>22</v>
      </c>
      <c r="I1231" s="5">
        <f>IFERROR(INDEX(Raw_Orders!H1231:H3659,MATCH(B1231,Raw_Orders!A1231:A3659,0)),0)</f>
        <v>28</v>
      </c>
      <c r="J1231" s="5" t="str">
        <f t="shared" si="76"/>
        <v>No</v>
      </c>
      <c r="K1231" s="5" t="str">
        <f t="shared" si="77"/>
        <v>N0</v>
      </c>
      <c r="L1231" s="5" t="str">
        <f t="shared" si="79"/>
        <v>No</v>
      </c>
      <c r="M1231" s="5">
        <f t="shared" si="78"/>
        <v>0</v>
      </c>
    </row>
    <row r="1232" spans="1:13" x14ac:dyDescent="0.3">
      <c r="A1232" s="2" t="s">
        <v>3861</v>
      </c>
      <c r="B1232" s="2" t="s">
        <v>1381</v>
      </c>
      <c r="C1232" s="2" t="s">
        <v>2608</v>
      </c>
      <c r="D1232" s="3">
        <v>45852</v>
      </c>
      <c r="E1232" s="3">
        <v>45854</v>
      </c>
      <c r="F1232" s="3">
        <v>45864</v>
      </c>
      <c r="G1232" s="2" t="s">
        <v>2627</v>
      </c>
      <c r="H1232" s="2">
        <v>2</v>
      </c>
      <c r="I1232" s="2">
        <f>IFERROR(INDEX(Raw_Orders!H1232:H3660,MATCH(B1232,Raw_Orders!A1232:A3660,0)),0)</f>
        <v>7</v>
      </c>
      <c r="J1232" s="2" t="str">
        <f t="shared" si="76"/>
        <v>No</v>
      </c>
      <c r="K1232" s="2" t="str">
        <f t="shared" si="77"/>
        <v>N0</v>
      </c>
      <c r="L1232" s="2" t="str">
        <f t="shared" si="79"/>
        <v>No</v>
      </c>
      <c r="M1232" s="2">
        <f t="shared" si="78"/>
        <v>0</v>
      </c>
    </row>
    <row r="1233" spans="1:13" x14ac:dyDescent="0.3">
      <c r="A1233" s="5" t="s">
        <v>3862</v>
      </c>
      <c r="B1233" s="5" t="s">
        <v>1382</v>
      </c>
      <c r="C1233" s="5" t="s">
        <v>2608</v>
      </c>
      <c r="D1233" s="6">
        <v>45850</v>
      </c>
      <c r="E1233" s="6">
        <v>45854</v>
      </c>
      <c r="F1233" s="6">
        <v>45863</v>
      </c>
      <c r="G1233" s="5" t="s">
        <v>2641</v>
      </c>
      <c r="H1233" s="5">
        <v>11</v>
      </c>
      <c r="I1233" s="5">
        <f>IFERROR(INDEX(Raw_Orders!H1233:H3661,MATCH(B1233,Raw_Orders!A1233:A3661,0)),0)</f>
        <v>11</v>
      </c>
      <c r="J1233" s="5" t="str">
        <f t="shared" si="76"/>
        <v>No</v>
      </c>
      <c r="K1233" s="5" t="str">
        <f t="shared" si="77"/>
        <v>Yes</v>
      </c>
      <c r="L1233" s="5" t="str">
        <f t="shared" si="79"/>
        <v>No</v>
      </c>
      <c r="M1233" s="5">
        <f t="shared" si="78"/>
        <v>0</v>
      </c>
    </row>
    <row r="1234" spans="1:13" x14ac:dyDescent="0.3">
      <c r="A1234" s="2" t="s">
        <v>3863</v>
      </c>
      <c r="B1234" s="2" t="s">
        <v>1383</v>
      </c>
      <c r="C1234" s="2" t="s">
        <v>2598</v>
      </c>
      <c r="D1234" s="3">
        <v>45851</v>
      </c>
      <c r="E1234" s="3">
        <v>45857</v>
      </c>
      <c r="F1234" s="3">
        <v>45864</v>
      </c>
      <c r="G1234" s="2" t="s">
        <v>2629</v>
      </c>
      <c r="H1234" s="2">
        <v>36</v>
      </c>
      <c r="I1234" s="2">
        <f>IFERROR(INDEX(Raw_Orders!H1234:H3662,MATCH(B1234,Raw_Orders!A1234:A3662,0)),0)</f>
        <v>36</v>
      </c>
      <c r="J1234" s="2" t="str">
        <f t="shared" si="76"/>
        <v>No</v>
      </c>
      <c r="K1234" s="2" t="str">
        <f t="shared" si="77"/>
        <v>Yes</v>
      </c>
      <c r="L1234" s="2" t="str">
        <f t="shared" si="79"/>
        <v>No</v>
      </c>
      <c r="M1234" s="2">
        <f t="shared" si="78"/>
        <v>0</v>
      </c>
    </row>
    <row r="1235" spans="1:13" x14ac:dyDescent="0.3">
      <c r="A1235" s="5" t="s">
        <v>3864</v>
      </c>
      <c r="B1235" s="5" t="s">
        <v>1384</v>
      </c>
      <c r="C1235" s="5" t="s">
        <v>2611</v>
      </c>
      <c r="D1235" s="6">
        <v>45853</v>
      </c>
      <c r="E1235" s="6">
        <v>45858</v>
      </c>
      <c r="F1235" s="6">
        <v>45860</v>
      </c>
      <c r="G1235" s="5" t="s">
        <v>2627</v>
      </c>
      <c r="H1235" s="5">
        <v>37</v>
      </c>
      <c r="I1235" s="5">
        <f>IFERROR(INDEX(Raw_Orders!H1235:H3663,MATCH(B1235,Raw_Orders!A1235:A3663,0)),0)</f>
        <v>37</v>
      </c>
      <c r="J1235" s="5" t="str">
        <f t="shared" si="76"/>
        <v>No</v>
      </c>
      <c r="K1235" s="5" t="str">
        <f t="shared" si="77"/>
        <v>Yes</v>
      </c>
      <c r="L1235" s="5" t="str">
        <f t="shared" si="79"/>
        <v>No</v>
      </c>
      <c r="M1235" s="5">
        <f t="shared" si="78"/>
        <v>0</v>
      </c>
    </row>
    <row r="1236" spans="1:13" x14ac:dyDescent="0.3">
      <c r="A1236" s="2" t="s">
        <v>3865</v>
      </c>
      <c r="B1236" s="2" t="s">
        <v>1385</v>
      </c>
      <c r="C1236" s="2" t="s">
        <v>2616</v>
      </c>
      <c r="D1236" s="3">
        <v>45853</v>
      </c>
      <c r="E1236" s="3">
        <v>45860</v>
      </c>
      <c r="F1236" s="3">
        <v>45868</v>
      </c>
      <c r="G1236" s="2" t="s">
        <v>2627</v>
      </c>
      <c r="H1236" s="2">
        <v>24</v>
      </c>
      <c r="I1236" s="2">
        <f>IFERROR(INDEX(Raw_Orders!H1236:H3664,MATCH(B1236,Raw_Orders!A1236:A3664,0)),0)</f>
        <v>32</v>
      </c>
      <c r="J1236" s="2" t="str">
        <f t="shared" si="76"/>
        <v>No</v>
      </c>
      <c r="K1236" s="2" t="str">
        <f t="shared" si="77"/>
        <v>N0</v>
      </c>
      <c r="L1236" s="2" t="str">
        <f t="shared" si="79"/>
        <v>No</v>
      </c>
      <c r="M1236" s="2">
        <f t="shared" si="78"/>
        <v>0</v>
      </c>
    </row>
    <row r="1237" spans="1:13" x14ac:dyDescent="0.3">
      <c r="A1237" s="5" t="s">
        <v>3866</v>
      </c>
      <c r="B1237" s="5" t="s">
        <v>1386</v>
      </c>
      <c r="C1237" s="5" t="s">
        <v>2606</v>
      </c>
      <c r="D1237" s="6">
        <v>45852</v>
      </c>
      <c r="E1237" s="6">
        <v>45860</v>
      </c>
      <c r="F1237" s="6">
        <v>45859</v>
      </c>
      <c r="G1237" s="5" t="s">
        <v>2641</v>
      </c>
      <c r="H1237" s="5">
        <v>42</v>
      </c>
      <c r="I1237" s="5">
        <f>IFERROR(INDEX(Raw_Orders!H1237:H3665,MATCH(B1237,Raw_Orders!A1237:A3665,0)),0)</f>
        <v>42</v>
      </c>
      <c r="J1237" s="5" t="str">
        <f t="shared" si="76"/>
        <v>Yes</v>
      </c>
      <c r="K1237" s="5" t="str">
        <f t="shared" si="77"/>
        <v>Yes</v>
      </c>
      <c r="L1237" s="5" t="str">
        <f t="shared" si="79"/>
        <v>Yes</v>
      </c>
      <c r="M1237" s="5">
        <f t="shared" si="78"/>
        <v>1</v>
      </c>
    </row>
    <row r="1238" spans="1:13" x14ac:dyDescent="0.3">
      <c r="A1238" s="2" t="s">
        <v>3867</v>
      </c>
      <c r="B1238" s="2" t="s">
        <v>1387</v>
      </c>
      <c r="C1238" s="2" t="s">
        <v>2608</v>
      </c>
      <c r="D1238" s="3">
        <v>45853</v>
      </c>
      <c r="E1238" s="3">
        <v>45861</v>
      </c>
      <c r="F1238" s="3">
        <v>45868</v>
      </c>
      <c r="G1238" s="2" t="s">
        <v>2641</v>
      </c>
      <c r="H1238" s="2">
        <v>6</v>
      </c>
      <c r="I1238" s="2">
        <f>IFERROR(INDEX(Raw_Orders!H1238:H3666,MATCH(B1238,Raw_Orders!A1238:A3666,0)),0)</f>
        <v>6</v>
      </c>
      <c r="J1238" s="2" t="str">
        <f t="shared" si="76"/>
        <v>No</v>
      </c>
      <c r="K1238" s="2" t="str">
        <f t="shared" si="77"/>
        <v>Yes</v>
      </c>
      <c r="L1238" s="2" t="str">
        <f t="shared" si="79"/>
        <v>No</v>
      </c>
      <c r="M1238" s="2">
        <f t="shared" si="78"/>
        <v>0</v>
      </c>
    </row>
    <row r="1239" spans="1:13" x14ac:dyDescent="0.3">
      <c r="A1239" s="5" t="s">
        <v>3868</v>
      </c>
      <c r="B1239" s="5" t="s">
        <v>1388</v>
      </c>
      <c r="C1239" s="5" t="s">
        <v>2608</v>
      </c>
      <c r="D1239" s="6">
        <v>45852</v>
      </c>
      <c r="E1239" s="6">
        <v>45855</v>
      </c>
      <c r="F1239" s="6">
        <v>45864</v>
      </c>
      <c r="G1239" s="5" t="s">
        <v>2629</v>
      </c>
      <c r="H1239" s="5">
        <v>13</v>
      </c>
      <c r="I1239" s="5">
        <f>IFERROR(INDEX(Raw_Orders!H1239:H3667,MATCH(B1239,Raw_Orders!A1239:A3667,0)),0)</f>
        <v>13</v>
      </c>
      <c r="J1239" s="5" t="str">
        <f t="shared" si="76"/>
        <v>No</v>
      </c>
      <c r="K1239" s="5" t="str">
        <f t="shared" si="77"/>
        <v>Yes</v>
      </c>
      <c r="L1239" s="5" t="str">
        <f t="shared" si="79"/>
        <v>No</v>
      </c>
      <c r="M1239" s="5">
        <f t="shared" si="78"/>
        <v>0</v>
      </c>
    </row>
    <row r="1240" spans="1:13" x14ac:dyDescent="0.3">
      <c r="A1240" s="2" t="s">
        <v>3869</v>
      </c>
      <c r="B1240" s="2" t="s">
        <v>1389</v>
      </c>
      <c r="C1240" s="2" t="s">
        <v>2611</v>
      </c>
      <c r="D1240" s="3">
        <v>45852</v>
      </c>
      <c r="E1240" s="3">
        <v>45862</v>
      </c>
      <c r="F1240" s="3">
        <v>45859</v>
      </c>
      <c r="G1240" s="2" t="s">
        <v>2633</v>
      </c>
      <c r="H1240" s="2">
        <v>36</v>
      </c>
      <c r="I1240" s="2">
        <f>IFERROR(INDEX(Raw_Orders!H1240:H3668,MATCH(B1240,Raw_Orders!A1240:A3668,0)),0)</f>
        <v>44</v>
      </c>
      <c r="J1240" s="2" t="str">
        <f t="shared" si="76"/>
        <v>Yes</v>
      </c>
      <c r="K1240" s="2" t="str">
        <f t="shared" si="77"/>
        <v>N0</v>
      </c>
      <c r="L1240" s="2" t="str">
        <f t="shared" si="79"/>
        <v>No</v>
      </c>
      <c r="M1240" s="2">
        <f t="shared" si="78"/>
        <v>0</v>
      </c>
    </row>
    <row r="1241" spans="1:13" x14ac:dyDescent="0.3">
      <c r="A1241" s="5" t="s">
        <v>3870</v>
      </c>
      <c r="B1241" s="5" t="s">
        <v>1390</v>
      </c>
      <c r="C1241" s="5" t="s">
        <v>2598</v>
      </c>
      <c r="D1241" s="6">
        <v>45852</v>
      </c>
      <c r="E1241" s="6">
        <v>45857</v>
      </c>
      <c r="F1241" s="6">
        <v>45865</v>
      </c>
      <c r="G1241" s="5" t="s">
        <v>2641</v>
      </c>
      <c r="H1241" s="5">
        <v>10</v>
      </c>
      <c r="I1241" s="5">
        <f>IFERROR(INDEX(Raw_Orders!H1241:H3669,MATCH(B1241,Raw_Orders!A1241:A3669,0)),0)</f>
        <v>15</v>
      </c>
      <c r="J1241" s="5" t="str">
        <f t="shared" si="76"/>
        <v>No</v>
      </c>
      <c r="K1241" s="5" t="str">
        <f t="shared" si="77"/>
        <v>N0</v>
      </c>
      <c r="L1241" s="5" t="str">
        <f t="shared" si="79"/>
        <v>No</v>
      </c>
      <c r="M1241" s="5">
        <f t="shared" si="78"/>
        <v>0</v>
      </c>
    </row>
    <row r="1242" spans="1:13" x14ac:dyDescent="0.3">
      <c r="A1242" s="2" t="s">
        <v>3871</v>
      </c>
      <c r="B1242" s="2" t="s">
        <v>1391</v>
      </c>
      <c r="C1242" s="2" t="s">
        <v>2614</v>
      </c>
      <c r="D1242" s="3">
        <v>45852</v>
      </c>
      <c r="E1242" s="3">
        <v>45861</v>
      </c>
      <c r="F1242" s="3">
        <v>45868</v>
      </c>
      <c r="G1242" s="2" t="s">
        <v>2633</v>
      </c>
      <c r="H1242" s="2">
        <v>29</v>
      </c>
      <c r="I1242" s="2">
        <f>IFERROR(INDEX(Raw_Orders!H1242:H3670,MATCH(B1242,Raw_Orders!A1242:A3670,0)),0)</f>
        <v>29</v>
      </c>
      <c r="J1242" s="2" t="str">
        <f t="shared" si="76"/>
        <v>No</v>
      </c>
      <c r="K1242" s="2" t="str">
        <f t="shared" si="77"/>
        <v>Yes</v>
      </c>
      <c r="L1242" s="2" t="str">
        <f t="shared" si="79"/>
        <v>No</v>
      </c>
      <c r="M1242" s="2">
        <f t="shared" si="78"/>
        <v>0</v>
      </c>
    </row>
    <row r="1243" spans="1:13" x14ac:dyDescent="0.3">
      <c r="A1243" s="5" t="s">
        <v>3872</v>
      </c>
      <c r="B1243" s="5" t="s">
        <v>1392</v>
      </c>
      <c r="C1243" s="5" t="s">
        <v>2601</v>
      </c>
      <c r="D1243" s="6">
        <v>45854</v>
      </c>
      <c r="E1243" s="6">
        <v>45855</v>
      </c>
      <c r="F1243" s="6">
        <v>45859</v>
      </c>
      <c r="G1243" s="5" t="s">
        <v>2627</v>
      </c>
      <c r="H1243" s="5">
        <v>19</v>
      </c>
      <c r="I1243" s="5">
        <f>IFERROR(INDEX(Raw_Orders!H1243:H3671,MATCH(B1243,Raw_Orders!A1243:A3671,0)),0)</f>
        <v>19</v>
      </c>
      <c r="J1243" s="5" t="str">
        <f t="shared" si="76"/>
        <v>No</v>
      </c>
      <c r="K1243" s="5" t="str">
        <f t="shared" si="77"/>
        <v>Yes</v>
      </c>
      <c r="L1243" s="5" t="str">
        <f t="shared" si="79"/>
        <v>No</v>
      </c>
      <c r="M1243" s="5">
        <f t="shared" si="78"/>
        <v>0</v>
      </c>
    </row>
    <row r="1244" spans="1:13" x14ac:dyDescent="0.3">
      <c r="A1244" s="2" t="s">
        <v>3873</v>
      </c>
      <c r="B1244" s="2" t="s">
        <v>1393</v>
      </c>
      <c r="C1244" s="2" t="s">
        <v>2604</v>
      </c>
      <c r="D1244" s="3">
        <v>45852</v>
      </c>
      <c r="E1244" s="3">
        <v>45861</v>
      </c>
      <c r="F1244" s="3">
        <v>45855</v>
      </c>
      <c r="G1244" s="2" t="s">
        <v>2629</v>
      </c>
      <c r="H1244" s="2">
        <v>50</v>
      </c>
      <c r="I1244" s="2">
        <f>IFERROR(INDEX(Raw_Orders!H1244:H3672,MATCH(B1244,Raw_Orders!A1244:A3672,0)),0)</f>
        <v>52</v>
      </c>
      <c r="J1244" s="2" t="str">
        <f t="shared" si="76"/>
        <v>Yes</v>
      </c>
      <c r="K1244" s="2" t="str">
        <f t="shared" si="77"/>
        <v>N0</v>
      </c>
      <c r="L1244" s="2" t="str">
        <f t="shared" si="79"/>
        <v>No</v>
      </c>
      <c r="M1244" s="2">
        <f t="shared" si="78"/>
        <v>0</v>
      </c>
    </row>
    <row r="1245" spans="1:13" x14ac:dyDescent="0.3">
      <c r="A1245" s="5" t="s">
        <v>3874</v>
      </c>
      <c r="B1245" s="5" t="s">
        <v>1394</v>
      </c>
      <c r="C1245" s="5" t="s">
        <v>2606</v>
      </c>
      <c r="D1245" s="6">
        <v>45852</v>
      </c>
      <c r="E1245" s="6">
        <v>45861</v>
      </c>
      <c r="F1245" s="6">
        <v>45858</v>
      </c>
      <c r="G1245" s="5" t="s">
        <v>2633</v>
      </c>
      <c r="H1245" s="5">
        <v>34</v>
      </c>
      <c r="I1245" s="5">
        <f>IFERROR(INDEX(Raw_Orders!H1245:H3673,MATCH(B1245,Raw_Orders!A1245:A3673,0)),0)</f>
        <v>34</v>
      </c>
      <c r="J1245" s="5" t="str">
        <f t="shared" si="76"/>
        <v>Yes</v>
      </c>
      <c r="K1245" s="5" t="str">
        <f t="shared" si="77"/>
        <v>Yes</v>
      </c>
      <c r="L1245" s="5" t="str">
        <f t="shared" si="79"/>
        <v>Yes</v>
      </c>
      <c r="M1245" s="5">
        <f t="shared" si="78"/>
        <v>1</v>
      </c>
    </row>
    <row r="1246" spans="1:13" x14ac:dyDescent="0.3">
      <c r="A1246" s="2" t="s">
        <v>3875</v>
      </c>
      <c r="B1246" s="2" t="s">
        <v>1395</v>
      </c>
      <c r="C1246" s="2" t="s">
        <v>2606</v>
      </c>
      <c r="D1246" s="3">
        <v>45852</v>
      </c>
      <c r="E1246" s="3">
        <v>45859</v>
      </c>
      <c r="F1246" s="3">
        <v>45858</v>
      </c>
      <c r="G1246" s="2" t="s">
        <v>2629</v>
      </c>
      <c r="H1246" s="2">
        <v>25</v>
      </c>
      <c r="I1246" s="2">
        <f>IFERROR(INDEX(Raw_Orders!H1246:H3674,MATCH(B1246,Raw_Orders!A1246:A3674,0)),0)</f>
        <v>25</v>
      </c>
      <c r="J1246" s="2" t="str">
        <f t="shared" si="76"/>
        <v>Yes</v>
      </c>
      <c r="K1246" s="2" t="str">
        <f t="shared" si="77"/>
        <v>Yes</v>
      </c>
      <c r="L1246" s="2" t="str">
        <f t="shared" si="79"/>
        <v>Yes</v>
      </c>
      <c r="M1246" s="2">
        <f t="shared" si="78"/>
        <v>1</v>
      </c>
    </row>
    <row r="1247" spans="1:13" x14ac:dyDescent="0.3">
      <c r="A1247" s="5" t="s">
        <v>3876</v>
      </c>
      <c r="B1247" s="5" t="s">
        <v>1396</v>
      </c>
      <c r="C1247" s="5" t="s">
        <v>2606</v>
      </c>
      <c r="D1247" s="6">
        <v>45854</v>
      </c>
      <c r="E1247" s="6">
        <v>45857</v>
      </c>
      <c r="F1247" s="6">
        <v>45860</v>
      </c>
      <c r="G1247" s="5" t="s">
        <v>2631</v>
      </c>
      <c r="H1247" s="5">
        <v>22</v>
      </c>
      <c r="I1247" s="5">
        <f>IFERROR(INDEX(Raw_Orders!H1247:H3675,MATCH(B1247,Raw_Orders!A1247:A3675,0)),0)</f>
        <v>22</v>
      </c>
      <c r="J1247" s="5" t="str">
        <f t="shared" si="76"/>
        <v>No</v>
      </c>
      <c r="K1247" s="5" t="str">
        <f t="shared" si="77"/>
        <v>Yes</v>
      </c>
      <c r="L1247" s="5" t="str">
        <f t="shared" si="79"/>
        <v>No</v>
      </c>
      <c r="M1247" s="5">
        <f t="shared" si="78"/>
        <v>0</v>
      </c>
    </row>
    <row r="1248" spans="1:13" x14ac:dyDescent="0.3">
      <c r="A1248" s="2" t="s">
        <v>3877</v>
      </c>
      <c r="B1248" s="2" t="s">
        <v>1397</v>
      </c>
      <c r="C1248" s="2" t="s">
        <v>2608</v>
      </c>
      <c r="D1248" s="3">
        <v>45854</v>
      </c>
      <c r="E1248" s="3">
        <v>45861</v>
      </c>
      <c r="F1248" s="3">
        <v>45867</v>
      </c>
      <c r="G1248" s="2" t="s">
        <v>2641</v>
      </c>
      <c r="H1248" s="2">
        <v>32</v>
      </c>
      <c r="I1248" s="2">
        <f>IFERROR(INDEX(Raw_Orders!H1248:H3676,MATCH(B1248,Raw_Orders!A1248:A3676,0)),0)</f>
        <v>32</v>
      </c>
      <c r="J1248" s="2" t="str">
        <f t="shared" si="76"/>
        <v>No</v>
      </c>
      <c r="K1248" s="2" t="str">
        <f t="shared" si="77"/>
        <v>Yes</v>
      </c>
      <c r="L1248" s="2" t="str">
        <f t="shared" si="79"/>
        <v>No</v>
      </c>
      <c r="M1248" s="2">
        <f t="shared" si="78"/>
        <v>0</v>
      </c>
    </row>
    <row r="1249" spans="1:13" x14ac:dyDescent="0.3">
      <c r="A1249" s="5" t="s">
        <v>3878</v>
      </c>
      <c r="B1249" s="5" t="s">
        <v>1398</v>
      </c>
      <c r="C1249" s="5" t="s">
        <v>2608</v>
      </c>
      <c r="D1249" s="6">
        <v>45854</v>
      </c>
      <c r="E1249" s="6">
        <v>45856</v>
      </c>
      <c r="F1249" s="6">
        <v>45871</v>
      </c>
      <c r="G1249" s="5" t="s">
        <v>2627</v>
      </c>
      <c r="H1249" s="5">
        <v>11</v>
      </c>
      <c r="I1249" s="5">
        <f>IFERROR(INDEX(Raw_Orders!H1249:H3677,MATCH(B1249,Raw_Orders!A1249:A3677,0)),0)</f>
        <v>11</v>
      </c>
      <c r="J1249" s="5" t="str">
        <f t="shared" si="76"/>
        <v>No</v>
      </c>
      <c r="K1249" s="5" t="str">
        <f t="shared" si="77"/>
        <v>Yes</v>
      </c>
      <c r="L1249" s="5" t="str">
        <f t="shared" si="79"/>
        <v>No</v>
      </c>
      <c r="M1249" s="5">
        <f t="shared" si="78"/>
        <v>0</v>
      </c>
    </row>
    <row r="1250" spans="1:13" x14ac:dyDescent="0.3">
      <c r="A1250" s="2" t="s">
        <v>3879</v>
      </c>
      <c r="B1250" s="2" t="s">
        <v>1399</v>
      </c>
      <c r="C1250" s="2" t="s">
        <v>2608</v>
      </c>
      <c r="D1250" s="3">
        <v>45853</v>
      </c>
      <c r="E1250" s="3">
        <v>45861</v>
      </c>
      <c r="F1250" s="3">
        <v>45867</v>
      </c>
      <c r="G1250" s="2" t="s">
        <v>2627</v>
      </c>
      <c r="H1250" s="2">
        <v>10</v>
      </c>
      <c r="I1250" s="2">
        <f>IFERROR(INDEX(Raw_Orders!H1250:H3678,MATCH(B1250,Raw_Orders!A1250:A3678,0)),0)</f>
        <v>11</v>
      </c>
      <c r="J1250" s="2" t="str">
        <f t="shared" si="76"/>
        <v>No</v>
      </c>
      <c r="K1250" s="2" t="str">
        <f t="shared" si="77"/>
        <v>N0</v>
      </c>
      <c r="L1250" s="2" t="str">
        <f t="shared" si="79"/>
        <v>No</v>
      </c>
      <c r="M1250" s="2">
        <f t="shared" si="78"/>
        <v>0</v>
      </c>
    </row>
    <row r="1251" spans="1:13" x14ac:dyDescent="0.3">
      <c r="A1251" s="5" t="s">
        <v>3880</v>
      </c>
      <c r="B1251" s="5" t="s">
        <v>1400</v>
      </c>
      <c r="C1251" s="5" t="s">
        <v>2598</v>
      </c>
      <c r="D1251" s="6">
        <v>45853</v>
      </c>
      <c r="E1251" s="6">
        <v>45862</v>
      </c>
      <c r="F1251" s="6">
        <v>45870</v>
      </c>
      <c r="G1251" s="5" t="s">
        <v>2629</v>
      </c>
      <c r="H1251" s="5">
        <v>17</v>
      </c>
      <c r="I1251" s="5">
        <f>IFERROR(INDEX(Raw_Orders!H1251:H3679,MATCH(B1251,Raw_Orders!A1251:A3679,0)),0)</f>
        <v>17</v>
      </c>
      <c r="J1251" s="5" t="str">
        <f t="shared" si="76"/>
        <v>No</v>
      </c>
      <c r="K1251" s="5" t="str">
        <f t="shared" si="77"/>
        <v>Yes</v>
      </c>
      <c r="L1251" s="5" t="str">
        <f t="shared" si="79"/>
        <v>No</v>
      </c>
      <c r="M1251" s="5">
        <f t="shared" si="78"/>
        <v>0</v>
      </c>
    </row>
    <row r="1252" spans="1:13" x14ac:dyDescent="0.3">
      <c r="A1252" s="2" t="s">
        <v>3881</v>
      </c>
      <c r="B1252" s="2" t="s">
        <v>1401</v>
      </c>
      <c r="C1252" s="2" t="s">
        <v>2611</v>
      </c>
      <c r="D1252" s="3">
        <v>45854</v>
      </c>
      <c r="E1252" s="3">
        <v>45859</v>
      </c>
      <c r="F1252" s="3">
        <v>45865</v>
      </c>
      <c r="G1252" s="2" t="s">
        <v>2629</v>
      </c>
      <c r="H1252" s="2">
        <v>42</v>
      </c>
      <c r="I1252" s="2">
        <f>IFERROR(INDEX(Raw_Orders!H1252:H3680,MATCH(B1252,Raw_Orders!A1252:A3680,0)),0)</f>
        <v>42</v>
      </c>
      <c r="J1252" s="2" t="str">
        <f t="shared" si="76"/>
        <v>No</v>
      </c>
      <c r="K1252" s="2" t="str">
        <f t="shared" si="77"/>
        <v>Yes</v>
      </c>
      <c r="L1252" s="2" t="str">
        <f t="shared" si="79"/>
        <v>No</v>
      </c>
      <c r="M1252" s="2">
        <f t="shared" si="78"/>
        <v>0</v>
      </c>
    </row>
    <row r="1253" spans="1:13" x14ac:dyDescent="0.3">
      <c r="A1253" s="5" t="s">
        <v>3882</v>
      </c>
      <c r="B1253" s="5" t="s">
        <v>1402</v>
      </c>
      <c r="C1253" s="5" t="s">
        <v>2614</v>
      </c>
      <c r="D1253" s="6">
        <v>45853</v>
      </c>
      <c r="E1253" s="6">
        <v>45860</v>
      </c>
      <c r="F1253" s="6">
        <v>45867</v>
      </c>
      <c r="G1253" s="5" t="s">
        <v>2631</v>
      </c>
      <c r="H1253" s="5">
        <v>12</v>
      </c>
      <c r="I1253" s="5">
        <f>IFERROR(INDEX(Raw_Orders!H1253:H3681,MATCH(B1253,Raw_Orders!A1253:A3681,0)),0)</f>
        <v>12</v>
      </c>
      <c r="J1253" s="5" t="str">
        <f t="shared" si="76"/>
        <v>No</v>
      </c>
      <c r="K1253" s="5" t="str">
        <f t="shared" si="77"/>
        <v>Yes</v>
      </c>
      <c r="L1253" s="5" t="str">
        <f t="shared" si="79"/>
        <v>No</v>
      </c>
      <c r="M1253" s="5">
        <f t="shared" si="78"/>
        <v>0</v>
      </c>
    </row>
    <row r="1254" spans="1:13" x14ac:dyDescent="0.3">
      <c r="A1254" s="2" t="s">
        <v>3883</v>
      </c>
      <c r="B1254" s="2" t="s">
        <v>1403</v>
      </c>
      <c r="C1254" s="2" t="s">
        <v>2616</v>
      </c>
      <c r="D1254" s="3">
        <v>45854</v>
      </c>
      <c r="E1254" s="3">
        <v>45857</v>
      </c>
      <c r="F1254" s="3">
        <v>45871</v>
      </c>
      <c r="G1254" s="2" t="s">
        <v>2633</v>
      </c>
      <c r="H1254" s="2">
        <v>23</v>
      </c>
      <c r="I1254" s="2">
        <f>IFERROR(INDEX(Raw_Orders!H1254:H3682,MATCH(B1254,Raw_Orders!A1254:A3682,0)),0)</f>
        <v>23</v>
      </c>
      <c r="J1254" s="2" t="str">
        <f t="shared" si="76"/>
        <v>No</v>
      </c>
      <c r="K1254" s="2" t="str">
        <f t="shared" si="77"/>
        <v>Yes</v>
      </c>
      <c r="L1254" s="2" t="str">
        <f t="shared" si="79"/>
        <v>No</v>
      </c>
      <c r="M1254" s="2">
        <f t="shared" si="78"/>
        <v>0</v>
      </c>
    </row>
    <row r="1255" spans="1:13" x14ac:dyDescent="0.3">
      <c r="A1255" s="5" t="s">
        <v>3884</v>
      </c>
      <c r="B1255" s="5" t="s">
        <v>1404</v>
      </c>
      <c r="C1255" s="5" t="s">
        <v>2598</v>
      </c>
      <c r="D1255" s="6">
        <v>45856</v>
      </c>
      <c r="E1255" s="6">
        <v>45864</v>
      </c>
      <c r="F1255" s="6">
        <v>45873</v>
      </c>
      <c r="G1255" s="5" t="s">
        <v>2629</v>
      </c>
      <c r="H1255" s="5">
        <v>25</v>
      </c>
      <c r="I1255" s="5">
        <f>IFERROR(INDEX(Raw_Orders!H1255:H3683,MATCH(B1255,Raw_Orders!A1255:A3683,0)),0)</f>
        <v>33</v>
      </c>
      <c r="J1255" s="5" t="str">
        <f t="shared" si="76"/>
        <v>No</v>
      </c>
      <c r="K1255" s="5" t="str">
        <f t="shared" si="77"/>
        <v>N0</v>
      </c>
      <c r="L1255" s="5" t="str">
        <f t="shared" si="79"/>
        <v>No</v>
      </c>
      <c r="M1255" s="5">
        <f t="shared" si="78"/>
        <v>0</v>
      </c>
    </row>
    <row r="1256" spans="1:13" x14ac:dyDescent="0.3">
      <c r="A1256" s="2" t="s">
        <v>3885</v>
      </c>
      <c r="B1256" s="2" t="s">
        <v>1405</v>
      </c>
      <c r="C1256" s="2" t="s">
        <v>2611</v>
      </c>
      <c r="D1256" s="3">
        <v>45854</v>
      </c>
      <c r="E1256" s="3">
        <v>45863</v>
      </c>
      <c r="F1256" s="3">
        <v>45861</v>
      </c>
      <c r="G1256" s="2" t="s">
        <v>2627</v>
      </c>
      <c r="H1256" s="2">
        <v>22</v>
      </c>
      <c r="I1256" s="2">
        <f>IFERROR(INDEX(Raw_Orders!H1256:H3684,MATCH(B1256,Raw_Orders!A1256:A3684,0)),0)</f>
        <v>22</v>
      </c>
      <c r="J1256" s="2" t="str">
        <f t="shared" si="76"/>
        <v>Yes</v>
      </c>
      <c r="K1256" s="2" t="str">
        <f t="shared" si="77"/>
        <v>Yes</v>
      </c>
      <c r="L1256" s="2" t="str">
        <f t="shared" si="79"/>
        <v>Yes</v>
      </c>
      <c r="M1256" s="2">
        <f t="shared" si="78"/>
        <v>1</v>
      </c>
    </row>
    <row r="1257" spans="1:13" x14ac:dyDescent="0.3">
      <c r="A1257" s="5" t="s">
        <v>3886</v>
      </c>
      <c r="B1257" s="5" t="s">
        <v>1406</v>
      </c>
      <c r="C1257" s="5" t="s">
        <v>2616</v>
      </c>
      <c r="D1257" s="6">
        <v>45856</v>
      </c>
      <c r="E1257" s="6">
        <v>45858</v>
      </c>
      <c r="F1257" s="6">
        <v>45870</v>
      </c>
      <c r="G1257" s="5" t="s">
        <v>2627</v>
      </c>
      <c r="H1257" s="5">
        <v>5</v>
      </c>
      <c r="I1257" s="5">
        <f>IFERROR(INDEX(Raw_Orders!H1257:H3685,MATCH(B1257,Raw_Orders!A1257:A3685,0)),0)</f>
        <v>5</v>
      </c>
      <c r="J1257" s="5" t="str">
        <f t="shared" si="76"/>
        <v>No</v>
      </c>
      <c r="K1257" s="5" t="str">
        <f t="shared" si="77"/>
        <v>Yes</v>
      </c>
      <c r="L1257" s="5" t="str">
        <f t="shared" si="79"/>
        <v>No</v>
      </c>
      <c r="M1257" s="5">
        <f t="shared" si="78"/>
        <v>0</v>
      </c>
    </row>
    <row r="1258" spans="1:13" x14ac:dyDescent="0.3">
      <c r="A1258" s="2" t="s">
        <v>3887</v>
      </c>
      <c r="B1258" s="2" t="s">
        <v>1407</v>
      </c>
      <c r="C1258" s="2" t="s">
        <v>2604</v>
      </c>
      <c r="D1258" s="3">
        <v>45855</v>
      </c>
      <c r="E1258" s="3">
        <v>45861</v>
      </c>
      <c r="F1258" s="3">
        <v>45863</v>
      </c>
      <c r="G1258" s="2" t="s">
        <v>2633</v>
      </c>
      <c r="H1258" s="2">
        <v>48</v>
      </c>
      <c r="I1258" s="2">
        <f>IFERROR(INDEX(Raw_Orders!H1258:H3686,MATCH(B1258,Raw_Orders!A1258:A3686,0)),0)</f>
        <v>48</v>
      </c>
      <c r="J1258" s="2" t="str">
        <f t="shared" si="76"/>
        <v>No</v>
      </c>
      <c r="K1258" s="2" t="str">
        <f t="shared" si="77"/>
        <v>Yes</v>
      </c>
      <c r="L1258" s="2" t="str">
        <f t="shared" si="79"/>
        <v>No</v>
      </c>
      <c r="M1258" s="2">
        <f t="shared" si="78"/>
        <v>0</v>
      </c>
    </row>
    <row r="1259" spans="1:13" x14ac:dyDescent="0.3">
      <c r="A1259" s="5" t="s">
        <v>3888</v>
      </c>
      <c r="B1259" s="5" t="s">
        <v>1408</v>
      </c>
      <c r="C1259" s="5" t="s">
        <v>2606</v>
      </c>
      <c r="D1259" s="6">
        <v>45854</v>
      </c>
      <c r="E1259" s="6">
        <v>45864</v>
      </c>
      <c r="F1259" s="6">
        <v>45860</v>
      </c>
      <c r="G1259" s="5" t="s">
        <v>2633</v>
      </c>
      <c r="H1259" s="5">
        <v>31</v>
      </c>
      <c r="I1259" s="5">
        <f>IFERROR(INDEX(Raw_Orders!H1259:H3687,MATCH(B1259,Raw_Orders!A1259:A3687,0)),0)</f>
        <v>31</v>
      </c>
      <c r="J1259" s="5" t="str">
        <f t="shared" si="76"/>
        <v>Yes</v>
      </c>
      <c r="K1259" s="5" t="str">
        <f t="shared" si="77"/>
        <v>Yes</v>
      </c>
      <c r="L1259" s="5" t="str">
        <f t="shared" si="79"/>
        <v>Yes</v>
      </c>
      <c r="M1259" s="5">
        <f t="shared" si="78"/>
        <v>1</v>
      </c>
    </row>
    <row r="1260" spans="1:13" x14ac:dyDescent="0.3">
      <c r="A1260" s="2" t="s">
        <v>3889</v>
      </c>
      <c r="B1260" s="2" t="s">
        <v>1409</v>
      </c>
      <c r="C1260" s="2" t="s">
        <v>2608</v>
      </c>
      <c r="D1260" s="3">
        <v>45855</v>
      </c>
      <c r="E1260" s="3">
        <v>45862</v>
      </c>
      <c r="F1260" s="3">
        <v>45872</v>
      </c>
      <c r="G1260" s="2" t="s">
        <v>2627</v>
      </c>
      <c r="H1260" s="2">
        <v>38</v>
      </c>
      <c r="I1260" s="2">
        <f>IFERROR(INDEX(Raw_Orders!H1260:H3688,MATCH(B1260,Raw_Orders!A1260:A3688,0)),0)</f>
        <v>38</v>
      </c>
      <c r="J1260" s="2" t="str">
        <f t="shared" si="76"/>
        <v>No</v>
      </c>
      <c r="K1260" s="2" t="str">
        <f t="shared" si="77"/>
        <v>Yes</v>
      </c>
      <c r="L1260" s="2" t="str">
        <f t="shared" si="79"/>
        <v>No</v>
      </c>
      <c r="M1260" s="2">
        <f t="shared" si="78"/>
        <v>0</v>
      </c>
    </row>
    <row r="1261" spans="1:13" x14ac:dyDescent="0.3">
      <c r="A1261" s="5" t="s">
        <v>3890</v>
      </c>
      <c r="B1261" s="5" t="s">
        <v>1410</v>
      </c>
      <c r="C1261" s="5" t="s">
        <v>2608</v>
      </c>
      <c r="D1261" s="6">
        <v>45855</v>
      </c>
      <c r="E1261" s="6">
        <v>45860</v>
      </c>
      <c r="F1261" s="6">
        <v>45872</v>
      </c>
      <c r="G1261" s="5" t="s">
        <v>2641</v>
      </c>
      <c r="H1261" s="5">
        <v>8</v>
      </c>
      <c r="I1261" s="5">
        <f>IFERROR(INDEX(Raw_Orders!H1261:H3689,MATCH(B1261,Raw_Orders!A1261:A3689,0)),0)</f>
        <v>8</v>
      </c>
      <c r="J1261" s="5" t="str">
        <f t="shared" si="76"/>
        <v>No</v>
      </c>
      <c r="K1261" s="5" t="str">
        <f t="shared" si="77"/>
        <v>Yes</v>
      </c>
      <c r="L1261" s="5" t="str">
        <f t="shared" si="79"/>
        <v>No</v>
      </c>
      <c r="M1261" s="5">
        <f t="shared" si="78"/>
        <v>0</v>
      </c>
    </row>
    <row r="1262" spans="1:13" x14ac:dyDescent="0.3">
      <c r="A1262" s="2" t="s">
        <v>3891</v>
      </c>
      <c r="B1262" s="2" t="s">
        <v>1411</v>
      </c>
      <c r="C1262" s="2" t="s">
        <v>2598</v>
      </c>
      <c r="D1262" s="3">
        <v>45856</v>
      </c>
      <c r="E1262" s="3">
        <v>45864</v>
      </c>
      <c r="F1262" s="3">
        <v>45868</v>
      </c>
      <c r="G1262" s="2" t="s">
        <v>2633</v>
      </c>
      <c r="H1262" s="2">
        <v>27</v>
      </c>
      <c r="I1262" s="2">
        <f>IFERROR(INDEX(Raw_Orders!H1262:H3690,MATCH(B1262,Raw_Orders!A1262:A3690,0)),0)</f>
        <v>27</v>
      </c>
      <c r="J1262" s="2" t="str">
        <f t="shared" si="76"/>
        <v>No</v>
      </c>
      <c r="K1262" s="2" t="str">
        <f t="shared" si="77"/>
        <v>Yes</v>
      </c>
      <c r="L1262" s="2" t="str">
        <f t="shared" si="79"/>
        <v>No</v>
      </c>
      <c r="M1262" s="2">
        <f t="shared" si="78"/>
        <v>0</v>
      </c>
    </row>
    <row r="1263" spans="1:13" x14ac:dyDescent="0.3">
      <c r="A1263" s="5" t="s">
        <v>3892</v>
      </c>
      <c r="B1263" s="5" t="s">
        <v>1412</v>
      </c>
      <c r="C1263" s="5" t="s">
        <v>2611</v>
      </c>
      <c r="D1263" s="6">
        <v>45855</v>
      </c>
      <c r="E1263" s="6">
        <v>45858</v>
      </c>
      <c r="F1263" s="6">
        <v>45861</v>
      </c>
      <c r="G1263" s="5" t="s">
        <v>2629</v>
      </c>
      <c r="H1263" s="5">
        <v>16</v>
      </c>
      <c r="I1263" s="5">
        <f>IFERROR(INDEX(Raw_Orders!H1263:H3691,MATCH(B1263,Raw_Orders!A1263:A3691,0)),0)</f>
        <v>16</v>
      </c>
      <c r="J1263" s="5" t="str">
        <f t="shared" si="76"/>
        <v>No</v>
      </c>
      <c r="K1263" s="5" t="str">
        <f t="shared" si="77"/>
        <v>Yes</v>
      </c>
      <c r="L1263" s="5" t="str">
        <f t="shared" si="79"/>
        <v>No</v>
      </c>
      <c r="M1263" s="5">
        <f t="shared" si="78"/>
        <v>0</v>
      </c>
    </row>
    <row r="1264" spans="1:13" x14ac:dyDescent="0.3">
      <c r="A1264" s="2" t="s">
        <v>3893</v>
      </c>
      <c r="B1264" s="2" t="s">
        <v>1413</v>
      </c>
      <c r="C1264" s="2" t="s">
        <v>2601</v>
      </c>
      <c r="D1264" s="3">
        <v>45856</v>
      </c>
      <c r="E1264" s="3">
        <v>45865</v>
      </c>
      <c r="F1264" s="3">
        <v>45861</v>
      </c>
      <c r="G1264" s="2" t="s">
        <v>2629</v>
      </c>
      <c r="H1264" s="2">
        <v>22</v>
      </c>
      <c r="I1264" s="2">
        <f>IFERROR(INDEX(Raw_Orders!H1264:H3692,MATCH(B1264,Raw_Orders!A1264:A3692,0)),0)</f>
        <v>22</v>
      </c>
      <c r="J1264" s="2" t="str">
        <f t="shared" si="76"/>
        <v>Yes</v>
      </c>
      <c r="K1264" s="2" t="str">
        <f t="shared" si="77"/>
        <v>Yes</v>
      </c>
      <c r="L1264" s="2" t="str">
        <f t="shared" si="79"/>
        <v>Yes</v>
      </c>
      <c r="M1264" s="2">
        <f t="shared" si="78"/>
        <v>1</v>
      </c>
    </row>
    <row r="1265" spans="1:13" x14ac:dyDescent="0.3">
      <c r="A1265" s="5" t="s">
        <v>3894</v>
      </c>
      <c r="B1265" s="5" t="s">
        <v>1414</v>
      </c>
      <c r="C1265" s="5" t="s">
        <v>2604</v>
      </c>
      <c r="D1265" s="6">
        <v>45856</v>
      </c>
      <c r="E1265" s="6">
        <v>45865</v>
      </c>
      <c r="F1265" s="6">
        <v>45862</v>
      </c>
      <c r="G1265" s="5" t="s">
        <v>2641</v>
      </c>
      <c r="H1265" s="5">
        <v>9</v>
      </c>
      <c r="I1265" s="5">
        <f>IFERROR(INDEX(Raw_Orders!H1265:H3693,MATCH(B1265,Raw_Orders!A1265:A3693,0)),0)</f>
        <v>9</v>
      </c>
      <c r="J1265" s="5" t="str">
        <f t="shared" si="76"/>
        <v>Yes</v>
      </c>
      <c r="K1265" s="5" t="str">
        <f t="shared" si="77"/>
        <v>Yes</v>
      </c>
      <c r="L1265" s="5" t="str">
        <f t="shared" si="79"/>
        <v>Yes</v>
      </c>
      <c r="M1265" s="5">
        <f t="shared" si="78"/>
        <v>1</v>
      </c>
    </row>
    <row r="1266" spans="1:13" x14ac:dyDescent="0.3">
      <c r="A1266" s="2" t="s">
        <v>3895</v>
      </c>
      <c r="B1266" s="2" t="s">
        <v>1415</v>
      </c>
      <c r="C1266" s="2" t="s">
        <v>2606</v>
      </c>
      <c r="D1266" s="3">
        <v>45856</v>
      </c>
      <c r="E1266" s="3">
        <v>45862</v>
      </c>
      <c r="F1266" s="3">
        <v>45862</v>
      </c>
      <c r="G1266" s="2" t="s">
        <v>2641</v>
      </c>
      <c r="H1266" s="2">
        <v>44</v>
      </c>
      <c r="I1266" s="2">
        <f>IFERROR(INDEX(Raw_Orders!H1266:H3694,MATCH(B1266,Raw_Orders!A1266:A3694,0)),0)</f>
        <v>44</v>
      </c>
      <c r="J1266" s="2" t="str">
        <f t="shared" si="76"/>
        <v>Yes</v>
      </c>
      <c r="K1266" s="2" t="str">
        <f t="shared" si="77"/>
        <v>Yes</v>
      </c>
      <c r="L1266" s="2" t="str">
        <f t="shared" si="79"/>
        <v>Yes</v>
      </c>
      <c r="M1266" s="2">
        <f t="shared" si="78"/>
        <v>1</v>
      </c>
    </row>
    <row r="1267" spans="1:13" x14ac:dyDescent="0.3">
      <c r="A1267" s="5" t="s">
        <v>3896</v>
      </c>
      <c r="B1267" s="5" t="s">
        <v>1416</v>
      </c>
      <c r="C1267" s="5" t="s">
        <v>2606</v>
      </c>
      <c r="D1267" s="6">
        <v>45855</v>
      </c>
      <c r="E1267" s="6">
        <v>45858</v>
      </c>
      <c r="F1267" s="6">
        <v>45861</v>
      </c>
      <c r="G1267" s="5" t="s">
        <v>2633</v>
      </c>
      <c r="H1267" s="5">
        <v>39</v>
      </c>
      <c r="I1267" s="5">
        <f>IFERROR(INDEX(Raw_Orders!H1267:H3695,MATCH(B1267,Raw_Orders!A1267:A3695,0)),0)</f>
        <v>39</v>
      </c>
      <c r="J1267" s="5" t="str">
        <f t="shared" si="76"/>
        <v>No</v>
      </c>
      <c r="K1267" s="5" t="str">
        <f t="shared" si="77"/>
        <v>Yes</v>
      </c>
      <c r="L1267" s="5" t="str">
        <f t="shared" si="79"/>
        <v>No</v>
      </c>
      <c r="M1267" s="5">
        <f t="shared" si="78"/>
        <v>0</v>
      </c>
    </row>
    <row r="1268" spans="1:13" x14ac:dyDescent="0.3">
      <c r="A1268" s="2" t="s">
        <v>3897</v>
      </c>
      <c r="B1268" s="2" t="s">
        <v>1417</v>
      </c>
      <c r="C1268" s="2" t="s">
        <v>2606</v>
      </c>
      <c r="D1268" s="3">
        <v>45857</v>
      </c>
      <c r="E1268" s="3">
        <v>45858</v>
      </c>
      <c r="F1268" s="3">
        <v>45867</v>
      </c>
      <c r="G1268" s="2" t="s">
        <v>2629</v>
      </c>
      <c r="H1268" s="2">
        <v>22</v>
      </c>
      <c r="I1268" s="2">
        <f>IFERROR(INDEX(Raw_Orders!H1268:H3696,MATCH(B1268,Raw_Orders!A1268:A3696,0)),0)</f>
        <v>22</v>
      </c>
      <c r="J1268" s="2" t="str">
        <f t="shared" si="76"/>
        <v>No</v>
      </c>
      <c r="K1268" s="2" t="str">
        <f t="shared" si="77"/>
        <v>Yes</v>
      </c>
      <c r="L1268" s="2" t="str">
        <f t="shared" si="79"/>
        <v>No</v>
      </c>
      <c r="M1268" s="2">
        <f t="shared" si="78"/>
        <v>0</v>
      </c>
    </row>
    <row r="1269" spans="1:13" x14ac:dyDescent="0.3">
      <c r="A1269" s="5" t="s">
        <v>3898</v>
      </c>
      <c r="B1269" s="5" t="s">
        <v>1418</v>
      </c>
      <c r="C1269" s="5" t="s">
        <v>2608</v>
      </c>
      <c r="D1269" s="6">
        <v>45856</v>
      </c>
      <c r="E1269" s="6">
        <v>45858</v>
      </c>
      <c r="F1269" s="6">
        <v>45868</v>
      </c>
      <c r="G1269" s="5" t="s">
        <v>2627</v>
      </c>
      <c r="H1269" s="5">
        <v>27</v>
      </c>
      <c r="I1269" s="5">
        <f>IFERROR(INDEX(Raw_Orders!H1269:H3697,MATCH(B1269,Raw_Orders!A1269:A3697,0)),0)</f>
        <v>30</v>
      </c>
      <c r="J1269" s="5" t="str">
        <f t="shared" si="76"/>
        <v>No</v>
      </c>
      <c r="K1269" s="5" t="str">
        <f t="shared" si="77"/>
        <v>N0</v>
      </c>
      <c r="L1269" s="5" t="str">
        <f t="shared" si="79"/>
        <v>No</v>
      </c>
      <c r="M1269" s="5">
        <f t="shared" si="78"/>
        <v>0</v>
      </c>
    </row>
    <row r="1270" spans="1:13" x14ac:dyDescent="0.3">
      <c r="A1270" s="2" t="s">
        <v>3899</v>
      </c>
      <c r="B1270" s="2" t="s">
        <v>1419</v>
      </c>
      <c r="C1270" s="2" t="s">
        <v>2608</v>
      </c>
      <c r="D1270" s="3">
        <v>45856</v>
      </c>
      <c r="E1270" s="3">
        <v>45858</v>
      </c>
      <c r="F1270" s="3">
        <v>45871</v>
      </c>
      <c r="G1270" s="2" t="s">
        <v>2641</v>
      </c>
      <c r="H1270" s="2">
        <v>6</v>
      </c>
      <c r="I1270" s="2">
        <f>IFERROR(INDEX(Raw_Orders!H1270:H3698,MATCH(B1270,Raw_Orders!A1270:A3698,0)),0)</f>
        <v>6</v>
      </c>
      <c r="J1270" s="2" t="str">
        <f t="shared" si="76"/>
        <v>No</v>
      </c>
      <c r="K1270" s="2" t="str">
        <f t="shared" si="77"/>
        <v>Yes</v>
      </c>
      <c r="L1270" s="2" t="str">
        <f t="shared" si="79"/>
        <v>No</v>
      </c>
      <c r="M1270" s="2">
        <f t="shared" si="78"/>
        <v>0</v>
      </c>
    </row>
    <row r="1271" spans="1:13" x14ac:dyDescent="0.3">
      <c r="A1271" s="5" t="s">
        <v>3900</v>
      </c>
      <c r="B1271" s="5" t="s">
        <v>1420</v>
      </c>
      <c r="C1271" s="5" t="s">
        <v>2611</v>
      </c>
      <c r="D1271" s="6">
        <v>45856</v>
      </c>
      <c r="E1271" s="6">
        <v>45862</v>
      </c>
      <c r="F1271" s="6">
        <v>45864</v>
      </c>
      <c r="G1271" s="5" t="s">
        <v>2627</v>
      </c>
      <c r="H1271" s="5">
        <v>19</v>
      </c>
      <c r="I1271" s="5">
        <f>IFERROR(INDEX(Raw_Orders!H1271:H3699,MATCH(B1271,Raw_Orders!A1271:A3699,0)),0)</f>
        <v>19</v>
      </c>
      <c r="J1271" s="5" t="str">
        <f t="shared" si="76"/>
        <v>No</v>
      </c>
      <c r="K1271" s="5" t="str">
        <f t="shared" si="77"/>
        <v>Yes</v>
      </c>
      <c r="L1271" s="5" t="str">
        <f t="shared" si="79"/>
        <v>No</v>
      </c>
      <c r="M1271" s="5">
        <f t="shared" si="78"/>
        <v>0</v>
      </c>
    </row>
    <row r="1272" spans="1:13" x14ac:dyDescent="0.3">
      <c r="A1272" s="2" t="s">
        <v>3901</v>
      </c>
      <c r="B1272" s="2" t="s">
        <v>1421</v>
      </c>
      <c r="C1272" s="2" t="s">
        <v>2598</v>
      </c>
      <c r="D1272" s="3">
        <v>45857</v>
      </c>
      <c r="E1272" s="3">
        <v>45862</v>
      </c>
      <c r="F1272" s="3">
        <v>45870</v>
      </c>
      <c r="G1272" s="2" t="s">
        <v>2641</v>
      </c>
      <c r="H1272" s="2">
        <v>37</v>
      </c>
      <c r="I1272" s="2">
        <f>IFERROR(INDEX(Raw_Orders!H1272:H3700,MATCH(B1272,Raw_Orders!A1272:A3700,0)),0)</f>
        <v>37</v>
      </c>
      <c r="J1272" s="2" t="str">
        <f t="shared" si="76"/>
        <v>No</v>
      </c>
      <c r="K1272" s="2" t="str">
        <f t="shared" si="77"/>
        <v>Yes</v>
      </c>
      <c r="L1272" s="2" t="str">
        <f t="shared" si="79"/>
        <v>No</v>
      </c>
      <c r="M1272" s="2">
        <f t="shared" si="78"/>
        <v>0</v>
      </c>
    </row>
    <row r="1273" spans="1:13" x14ac:dyDescent="0.3">
      <c r="A1273" s="5" t="s">
        <v>3902</v>
      </c>
      <c r="B1273" s="5" t="s">
        <v>1422</v>
      </c>
      <c r="C1273" s="5" t="s">
        <v>2601</v>
      </c>
      <c r="D1273" s="6">
        <v>45857</v>
      </c>
      <c r="E1273" s="6">
        <v>45860</v>
      </c>
      <c r="F1273" s="6">
        <v>45864</v>
      </c>
      <c r="G1273" s="5" t="s">
        <v>2641</v>
      </c>
      <c r="H1273" s="5">
        <v>14</v>
      </c>
      <c r="I1273" s="5">
        <f>IFERROR(INDEX(Raw_Orders!H1273:H3701,MATCH(B1273,Raw_Orders!A1273:A3701,0)),0)</f>
        <v>14</v>
      </c>
      <c r="J1273" s="5" t="str">
        <f t="shared" si="76"/>
        <v>No</v>
      </c>
      <c r="K1273" s="5" t="str">
        <f t="shared" si="77"/>
        <v>Yes</v>
      </c>
      <c r="L1273" s="5" t="str">
        <f t="shared" si="79"/>
        <v>No</v>
      </c>
      <c r="M1273" s="5">
        <f t="shared" si="78"/>
        <v>0</v>
      </c>
    </row>
    <row r="1274" spans="1:13" x14ac:dyDescent="0.3">
      <c r="A1274" s="2" t="s">
        <v>3903</v>
      </c>
      <c r="B1274" s="2" t="s">
        <v>1423</v>
      </c>
      <c r="C1274" s="2" t="s">
        <v>2601</v>
      </c>
      <c r="D1274" s="3">
        <v>45857</v>
      </c>
      <c r="E1274" s="3">
        <v>45864</v>
      </c>
      <c r="F1274" s="3">
        <v>45861</v>
      </c>
      <c r="G1274" s="2" t="s">
        <v>2641</v>
      </c>
      <c r="H1274" s="2">
        <v>5</v>
      </c>
      <c r="I1274" s="2">
        <f>IFERROR(INDEX(Raw_Orders!H1274:H3702,MATCH(B1274,Raw_Orders!A1274:A3702,0)),0)</f>
        <v>5</v>
      </c>
      <c r="J1274" s="2" t="str">
        <f t="shared" si="76"/>
        <v>Yes</v>
      </c>
      <c r="K1274" s="2" t="str">
        <f t="shared" si="77"/>
        <v>Yes</v>
      </c>
      <c r="L1274" s="2" t="str">
        <f t="shared" si="79"/>
        <v>Yes</v>
      </c>
      <c r="M1274" s="2">
        <f t="shared" si="78"/>
        <v>1</v>
      </c>
    </row>
    <row r="1275" spans="1:13" x14ac:dyDescent="0.3">
      <c r="A1275" s="5" t="s">
        <v>3904</v>
      </c>
      <c r="B1275" s="5" t="s">
        <v>1424</v>
      </c>
      <c r="C1275" s="5" t="s">
        <v>2616</v>
      </c>
      <c r="D1275" s="6">
        <v>45856</v>
      </c>
      <c r="E1275" s="6">
        <v>45865</v>
      </c>
      <c r="F1275" s="6">
        <v>45873</v>
      </c>
      <c r="G1275" s="5" t="s">
        <v>2629</v>
      </c>
      <c r="H1275" s="5">
        <v>18</v>
      </c>
      <c r="I1275" s="5">
        <f>IFERROR(INDEX(Raw_Orders!H1275:H3703,MATCH(B1275,Raw_Orders!A1275:A3703,0)),0)</f>
        <v>18</v>
      </c>
      <c r="J1275" s="5" t="str">
        <f t="shared" si="76"/>
        <v>No</v>
      </c>
      <c r="K1275" s="5" t="str">
        <f t="shared" si="77"/>
        <v>Yes</v>
      </c>
      <c r="L1275" s="5" t="str">
        <f t="shared" si="79"/>
        <v>No</v>
      </c>
      <c r="M1275" s="5">
        <f t="shared" si="78"/>
        <v>0</v>
      </c>
    </row>
    <row r="1276" spans="1:13" x14ac:dyDescent="0.3">
      <c r="A1276" s="2" t="s">
        <v>3905</v>
      </c>
      <c r="B1276" s="2" t="s">
        <v>1425</v>
      </c>
      <c r="C1276" s="2" t="s">
        <v>2606</v>
      </c>
      <c r="D1276" s="3">
        <v>45857</v>
      </c>
      <c r="E1276" s="3">
        <v>45865</v>
      </c>
      <c r="F1276" s="3">
        <v>45865</v>
      </c>
      <c r="G1276" s="2" t="s">
        <v>2641</v>
      </c>
      <c r="H1276" s="2">
        <v>30</v>
      </c>
      <c r="I1276" s="2">
        <f>IFERROR(INDEX(Raw_Orders!H1276:H3704,MATCH(B1276,Raw_Orders!A1276:A3704,0)),0)</f>
        <v>33</v>
      </c>
      <c r="J1276" s="2" t="str">
        <f t="shared" si="76"/>
        <v>Yes</v>
      </c>
      <c r="K1276" s="2" t="str">
        <f t="shared" si="77"/>
        <v>N0</v>
      </c>
      <c r="L1276" s="2" t="str">
        <f t="shared" si="79"/>
        <v>No</v>
      </c>
      <c r="M1276" s="2">
        <f t="shared" si="78"/>
        <v>0</v>
      </c>
    </row>
    <row r="1277" spans="1:13" x14ac:dyDescent="0.3">
      <c r="A1277" s="5" t="s">
        <v>3906</v>
      </c>
      <c r="B1277" s="5" t="s">
        <v>1426</v>
      </c>
      <c r="C1277" s="5" t="s">
        <v>2606</v>
      </c>
      <c r="D1277" s="6">
        <v>45858</v>
      </c>
      <c r="E1277" s="6">
        <v>45862</v>
      </c>
      <c r="F1277" s="6">
        <v>45865</v>
      </c>
      <c r="G1277" s="5" t="s">
        <v>2631</v>
      </c>
      <c r="H1277" s="5">
        <v>45</v>
      </c>
      <c r="I1277" s="5">
        <f>IFERROR(INDEX(Raw_Orders!H1277:H3705,MATCH(B1277,Raw_Orders!A1277:A3705,0)),0)</f>
        <v>45</v>
      </c>
      <c r="J1277" s="5" t="str">
        <f t="shared" si="76"/>
        <v>No</v>
      </c>
      <c r="K1277" s="5" t="str">
        <f t="shared" si="77"/>
        <v>Yes</v>
      </c>
      <c r="L1277" s="5" t="str">
        <f t="shared" si="79"/>
        <v>No</v>
      </c>
      <c r="M1277" s="5">
        <f t="shared" si="78"/>
        <v>0</v>
      </c>
    </row>
    <row r="1278" spans="1:13" x14ac:dyDescent="0.3">
      <c r="A1278" s="2" t="s">
        <v>3907</v>
      </c>
      <c r="B1278" s="2" t="s">
        <v>1427</v>
      </c>
      <c r="C1278" s="2" t="s">
        <v>2606</v>
      </c>
      <c r="D1278" s="3">
        <v>45857</v>
      </c>
      <c r="E1278" s="3">
        <v>45864</v>
      </c>
      <c r="F1278" s="3">
        <v>45865</v>
      </c>
      <c r="G1278" s="2" t="s">
        <v>2627</v>
      </c>
      <c r="H1278" s="2">
        <v>31</v>
      </c>
      <c r="I1278" s="2">
        <f>IFERROR(INDEX(Raw_Orders!H1278:H3706,MATCH(B1278,Raw_Orders!A1278:A3706,0)),0)</f>
        <v>31</v>
      </c>
      <c r="J1278" s="2" t="str">
        <f t="shared" si="76"/>
        <v>No</v>
      </c>
      <c r="K1278" s="2" t="str">
        <f t="shared" si="77"/>
        <v>Yes</v>
      </c>
      <c r="L1278" s="2" t="str">
        <f t="shared" si="79"/>
        <v>No</v>
      </c>
      <c r="M1278" s="2">
        <f t="shared" si="78"/>
        <v>0</v>
      </c>
    </row>
    <row r="1279" spans="1:13" x14ac:dyDescent="0.3">
      <c r="A1279" s="5" t="s">
        <v>3908</v>
      </c>
      <c r="B1279" s="5" t="s">
        <v>1428</v>
      </c>
      <c r="C1279" s="5" t="s">
        <v>2608</v>
      </c>
      <c r="D1279" s="6">
        <v>45858</v>
      </c>
      <c r="E1279" s="6">
        <v>45866</v>
      </c>
      <c r="F1279" s="6">
        <v>45873</v>
      </c>
      <c r="G1279" s="5" t="s">
        <v>2633</v>
      </c>
      <c r="H1279" s="5">
        <v>3</v>
      </c>
      <c r="I1279" s="5">
        <f>IFERROR(INDEX(Raw_Orders!H1279:H3707,MATCH(B1279,Raw_Orders!A1279:A3707,0)),0)</f>
        <v>3</v>
      </c>
      <c r="J1279" s="5" t="str">
        <f t="shared" si="76"/>
        <v>No</v>
      </c>
      <c r="K1279" s="5" t="str">
        <f t="shared" si="77"/>
        <v>Yes</v>
      </c>
      <c r="L1279" s="5" t="str">
        <f t="shared" si="79"/>
        <v>No</v>
      </c>
      <c r="M1279" s="5">
        <f t="shared" si="78"/>
        <v>0</v>
      </c>
    </row>
    <row r="1280" spans="1:13" x14ac:dyDescent="0.3">
      <c r="A1280" s="2" t="s">
        <v>3909</v>
      </c>
      <c r="B1280" s="2" t="s">
        <v>1429</v>
      </c>
      <c r="C1280" s="2" t="s">
        <v>2608</v>
      </c>
      <c r="D1280" s="3">
        <v>45857</v>
      </c>
      <c r="E1280" s="3">
        <v>45865</v>
      </c>
      <c r="F1280" s="3">
        <v>45874</v>
      </c>
      <c r="G1280" s="2" t="s">
        <v>2633</v>
      </c>
      <c r="H1280" s="2">
        <v>11</v>
      </c>
      <c r="I1280" s="2">
        <f>IFERROR(INDEX(Raw_Orders!H1280:H3708,MATCH(B1280,Raw_Orders!A1280:A3708,0)),0)</f>
        <v>11</v>
      </c>
      <c r="J1280" s="2" t="str">
        <f t="shared" si="76"/>
        <v>No</v>
      </c>
      <c r="K1280" s="2" t="str">
        <f t="shared" si="77"/>
        <v>Yes</v>
      </c>
      <c r="L1280" s="2" t="str">
        <f t="shared" si="79"/>
        <v>No</v>
      </c>
      <c r="M1280" s="2">
        <f t="shared" si="78"/>
        <v>0</v>
      </c>
    </row>
    <row r="1281" spans="1:13" x14ac:dyDescent="0.3">
      <c r="A1281" s="5" t="s">
        <v>3910</v>
      </c>
      <c r="B1281" s="5" t="s">
        <v>1430</v>
      </c>
      <c r="C1281" s="5" t="s">
        <v>2611</v>
      </c>
      <c r="D1281" s="6">
        <v>45857</v>
      </c>
      <c r="E1281" s="6">
        <v>45865</v>
      </c>
      <c r="F1281" s="6">
        <v>45866</v>
      </c>
      <c r="G1281" s="5" t="s">
        <v>2631</v>
      </c>
      <c r="H1281" s="5">
        <v>39</v>
      </c>
      <c r="I1281" s="5">
        <f>IFERROR(INDEX(Raw_Orders!H1281:H3709,MATCH(B1281,Raw_Orders!A1281:A3709,0)),0)</f>
        <v>39</v>
      </c>
      <c r="J1281" s="5" t="str">
        <f t="shared" si="76"/>
        <v>No</v>
      </c>
      <c r="K1281" s="5" t="str">
        <f t="shared" si="77"/>
        <v>Yes</v>
      </c>
      <c r="L1281" s="5" t="str">
        <f t="shared" si="79"/>
        <v>No</v>
      </c>
      <c r="M1281" s="5">
        <f t="shared" si="78"/>
        <v>0</v>
      </c>
    </row>
    <row r="1282" spans="1:13" x14ac:dyDescent="0.3">
      <c r="A1282" s="2" t="s">
        <v>3911</v>
      </c>
      <c r="B1282" s="2" t="s">
        <v>1431</v>
      </c>
      <c r="C1282" s="2" t="s">
        <v>2598</v>
      </c>
      <c r="D1282" s="3">
        <v>45858</v>
      </c>
      <c r="E1282" s="3">
        <v>45867</v>
      </c>
      <c r="F1282" s="3">
        <v>45871</v>
      </c>
      <c r="G1282" s="2" t="s">
        <v>2633</v>
      </c>
      <c r="H1282" s="2">
        <v>30</v>
      </c>
      <c r="I1282" s="2">
        <f>IFERROR(INDEX(Raw_Orders!H1282:H3710,MATCH(B1282,Raw_Orders!A1282:A3710,0)),0)</f>
        <v>30</v>
      </c>
      <c r="J1282" s="2" t="str">
        <f t="shared" si="76"/>
        <v>No</v>
      </c>
      <c r="K1282" s="2" t="str">
        <f t="shared" si="77"/>
        <v>Yes</v>
      </c>
      <c r="L1282" s="2" t="str">
        <f t="shared" si="79"/>
        <v>No</v>
      </c>
      <c r="M1282" s="2">
        <f t="shared" si="78"/>
        <v>0</v>
      </c>
    </row>
    <row r="1283" spans="1:13" x14ac:dyDescent="0.3">
      <c r="A1283" s="5" t="s">
        <v>3912</v>
      </c>
      <c r="B1283" s="5" t="s">
        <v>1432</v>
      </c>
      <c r="C1283" s="5" t="s">
        <v>2614</v>
      </c>
      <c r="D1283" s="6">
        <v>45859</v>
      </c>
      <c r="E1283" s="6">
        <v>45860</v>
      </c>
      <c r="F1283" s="6">
        <v>45877</v>
      </c>
      <c r="G1283" s="5" t="s">
        <v>2627</v>
      </c>
      <c r="H1283" s="5">
        <v>29</v>
      </c>
      <c r="I1283" s="5">
        <f>IFERROR(INDEX(Raw_Orders!H1283:H3711,MATCH(B1283,Raw_Orders!A1283:A3711,0)),0)</f>
        <v>29</v>
      </c>
      <c r="J1283" s="5" t="str">
        <f t="shared" ref="J1283:J1346" si="80">IF(E1283&gt;=F1283,"Yes","No")</f>
        <v>No</v>
      </c>
      <c r="K1283" s="5" t="str">
        <f t="shared" ref="K1283:K1346" si="81">IF(H1283&gt;=I1283,"Yes","N0")</f>
        <v>Yes</v>
      </c>
      <c r="L1283" s="5" t="str">
        <f t="shared" si="79"/>
        <v>No</v>
      </c>
      <c r="M1283" s="5">
        <f t="shared" ref="M1283:M1346" si="82">IF(L1283="Yes",1,0)</f>
        <v>0</v>
      </c>
    </row>
    <row r="1284" spans="1:13" x14ac:dyDescent="0.3">
      <c r="A1284" s="2" t="s">
        <v>3913</v>
      </c>
      <c r="B1284" s="2" t="s">
        <v>1433</v>
      </c>
      <c r="C1284" s="2" t="s">
        <v>2601</v>
      </c>
      <c r="D1284" s="3">
        <v>45858</v>
      </c>
      <c r="E1284" s="3">
        <v>45861</v>
      </c>
      <c r="F1284" s="3">
        <v>45863</v>
      </c>
      <c r="G1284" s="2" t="s">
        <v>2627</v>
      </c>
      <c r="H1284" s="2">
        <v>13</v>
      </c>
      <c r="I1284" s="2">
        <f>IFERROR(INDEX(Raw_Orders!H1284:H3712,MATCH(B1284,Raw_Orders!A1284:A3712,0)),0)</f>
        <v>13</v>
      </c>
      <c r="J1284" s="2" t="str">
        <f t="shared" si="80"/>
        <v>No</v>
      </c>
      <c r="K1284" s="2" t="str">
        <f t="shared" si="81"/>
        <v>Yes</v>
      </c>
      <c r="L1284" s="2" t="str">
        <f t="shared" ref="L1284:L1347" si="83">IF(AND(J1284="Yes",K1284="Yes"),"Yes","No")</f>
        <v>No</v>
      </c>
      <c r="M1284" s="2">
        <f t="shared" si="82"/>
        <v>0</v>
      </c>
    </row>
    <row r="1285" spans="1:13" x14ac:dyDescent="0.3">
      <c r="A1285" s="5" t="s">
        <v>3914</v>
      </c>
      <c r="B1285" s="5" t="s">
        <v>1434</v>
      </c>
      <c r="C1285" s="5" t="s">
        <v>2616</v>
      </c>
      <c r="D1285" s="6">
        <v>45858</v>
      </c>
      <c r="E1285" s="6">
        <v>45864</v>
      </c>
      <c r="F1285" s="6">
        <v>45872</v>
      </c>
      <c r="G1285" s="5" t="s">
        <v>2631</v>
      </c>
      <c r="H1285" s="5">
        <v>6</v>
      </c>
      <c r="I1285" s="5">
        <f>IFERROR(INDEX(Raw_Orders!H1285:H3713,MATCH(B1285,Raw_Orders!A1285:A3713,0)),0)</f>
        <v>6</v>
      </c>
      <c r="J1285" s="5" t="str">
        <f t="shared" si="80"/>
        <v>No</v>
      </c>
      <c r="K1285" s="5" t="str">
        <f t="shared" si="81"/>
        <v>Yes</v>
      </c>
      <c r="L1285" s="5" t="str">
        <f t="shared" si="83"/>
        <v>No</v>
      </c>
      <c r="M1285" s="5">
        <f t="shared" si="82"/>
        <v>0</v>
      </c>
    </row>
    <row r="1286" spans="1:13" x14ac:dyDescent="0.3">
      <c r="A1286" s="2" t="s">
        <v>3915</v>
      </c>
      <c r="B1286" s="2" t="s">
        <v>1435</v>
      </c>
      <c r="C1286" s="2" t="s">
        <v>2616</v>
      </c>
      <c r="D1286" s="3">
        <v>45858</v>
      </c>
      <c r="E1286" s="3">
        <v>45867</v>
      </c>
      <c r="F1286" s="3">
        <v>45875</v>
      </c>
      <c r="G1286" s="2" t="s">
        <v>2627</v>
      </c>
      <c r="H1286" s="2">
        <v>33</v>
      </c>
      <c r="I1286" s="2">
        <f>IFERROR(INDEX(Raw_Orders!H1286:H3714,MATCH(B1286,Raw_Orders!A1286:A3714,0)),0)</f>
        <v>33</v>
      </c>
      <c r="J1286" s="2" t="str">
        <f t="shared" si="80"/>
        <v>No</v>
      </c>
      <c r="K1286" s="2" t="str">
        <f t="shared" si="81"/>
        <v>Yes</v>
      </c>
      <c r="L1286" s="2" t="str">
        <f t="shared" si="83"/>
        <v>No</v>
      </c>
      <c r="M1286" s="2">
        <f t="shared" si="82"/>
        <v>0</v>
      </c>
    </row>
    <row r="1287" spans="1:13" x14ac:dyDescent="0.3">
      <c r="A1287" s="5" t="s">
        <v>3916</v>
      </c>
      <c r="B1287" s="5" t="s">
        <v>1436</v>
      </c>
      <c r="C1287" s="5" t="s">
        <v>2604</v>
      </c>
      <c r="D1287" s="6">
        <v>45858</v>
      </c>
      <c r="E1287" s="6">
        <v>45865</v>
      </c>
      <c r="F1287" s="6">
        <v>45866</v>
      </c>
      <c r="G1287" s="5" t="s">
        <v>2641</v>
      </c>
      <c r="H1287" s="5">
        <v>14</v>
      </c>
      <c r="I1287" s="5">
        <f>IFERROR(INDEX(Raw_Orders!H1287:H3715,MATCH(B1287,Raw_Orders!A1287:A3715,0)),0)</f>
        <v>15</v>
      </c>
      <c r="J1287" s="5" t="str">
        <f t="shared" si="80"/>
        <v>No</v>
      </c>
      <c r="K1287" s="5" t="str">
        <f t="shared" si="81"/>
        <v>N0</v>
      </c>
      <c r="L1287" s="5" t="str">
        <f t="shared" si="83"/>
        <v>No</v>
      </c>
      <c r="M1287" s="5">
        <f t="shared" si="82"/>
        <v>0</v>
      </c>
    </row>
    <row r="1288" spans="1:13" x14ac:dyDescent="0.3">
      <c r="A1288" s="2" t="s">
        <v>3917</v>
      </c>
      <c r="B1288" s="2" t="s">
        <v>1437</v>
      </c>
      <c r="C1288" s="2" t="s">
        <v>2608</v>
      </c>
      <c r="D1288" s="3">
        <v>45857</v>
      </c>
      <c r="E1288" s="3">
        <v>45865</v>
      </c>
      <c r="F1288" s="3">
        <v>45874</v>
      </c>
      <c r="G1288" s="2" t="s">
        <v>2641</v>
      </c>
      <c r="H1288" s="2">
        <v>43</v>
      </c>
      <c r="I1288" s="2">
        <f>IFERROR(INDEX(Raw_Orders!H1288:H3716,MATCH(B1288,Raw_Orders!A1288:A3716,0)),0)</f>
        <v>43</v>
      </c>
      <c r="J1288" s="2" t="str">
        <f t="shared" si="80"/>
        <v>No</v>
      </c>
      <c r="K1288" s="2" t="str">
        <f t="shared" si="81"/>
        <v>Yes</v>
      </c>
      <c r="L1288" s="2" t="str">
        <f t="shared" si="83"/>
        <v>No</v>
      </c>
      <c r="M1288" s="2">
        <f t="shared" si="82"/>
        <v>0</v>
      </c>
    </row>
    <row r="1289" spans="1:13" x14ac:dyDescent="0.3">
      <c r="A1289" s="5" t="s">
        <v>3918</v>
      </c>
      <c r="B1289" s="5" t="s">
        <v>1438</v>
      </c>
      <c r="C1289" s="5" t="s">
        <v>2608</v>
      </c>
      <c r="D1289" s="6">
        <v>45859</v>
      </c>
      <c r="E1289" s="6">
        <v>45860</v>
      </c>
      <c r="F1289" s="6">
        <v>45876</v>
      </c>
      <c r="G1289" s="5" t="s">
        <v>2641</v>
      </c>
      <c r="H1289" s="5">
        <v>3</v>
      </c>
      <c r="I1289" s="5">
        <f>IFERROR(INDEX(Raw_Orders!H1289:H3717,MATCH(B1289,Raw_Orders!A1289:A3717,0)),0)</f>
        <v>7</v>
      </c>
      <c r="J1289" s="5" t="str">
        <f t="shared" si="80"/>
        <v>No</v>
      </c>
      <c r="K1289" s="5" t="str">
        <f t="shared" si="81"/>
        <v>N0</v>
      </c>
      <c r="L1289" s="5" t="str">
        <f t="shared" si="83"/>
        <v>No</v>
      </c>
      <c r="M1289" s="5">
        <f t="shared" si="82"/>
        <v>0</v>
      </c>
    </row>
    <row r="1290" spans="1:13" x14ac:dyDescent="0.3">
      <c r="A1290" s="2" t="s">
        <v>3919</v>
      </c>
      <c r="B1290" s="2" t="s">
        <v>1439</v>
      </c>
      <c r="C1290" s="2" t="s">
        <v>2598</v>
      </c>
      <c r="D1290" s="3">
        <v>45860</v>
      </c>
      <c r="E1290" s="3">
        <v>45863</v>
      </c>
      <c r="F1290" s="3">
        <v>45873</v>
      </c>
      <c r="G1290" s="2" t="s">
        <v>2629</v>
      </c>
      <c r="H1290" s="2">
        <v>19</v>
      </c>
      <c r="I1290" s="2">
        <f>IFERROR(INDEX(Raw_Orders!H1290:H3718,MATCH(B1290,Raw_Orders!A1290:A3718,0)),0)</f>
        <v>22</v>
      </c>
      <c r="J1290" s="2" t="str">
        <f t="shared" si="80"/>
        <v>No</v>
      </c>
      <c r="K1290" s="2" t="str">
        <f t="shared" si="81"/>
        <v>N0</v>
      </c>
      <c r="L1290" s="2" t="str">
        <f t="shared" si="83"/>
        <v>No</v>
      </c>
      <c r="M1290" s="2">
        <f t="shared" si="82"/>
        <v>0</v>
      </c>
    </row>
    <row r="1291" spans="1:13" x14ac:dyDescent="0.3">
      <c r="A1291" s="5" t="s">
        <v>3920</v>
      </c>
      <c r="B1291" s="5" t="s">
        <v>1440</v>
      </c>
      <c r="C1291" s="5" t="s">
        <v>2598</v>
      </c>
      <c r="D1291" s="6">
        <v>45858</v>
      </c>
      <c r="E1291" s="6">
        <v>45868</v>
      </c>
      <c r="F1291" s="6">
        <v>45875</v>
      </c>
      <c r="G1291" s="5" t="s">
        <v>2627</v>
      </c>
      <c r="H1291" s="5">
        <v>16</v>
      </c>
      <c r="I1291" s="5">
        <f>IFERROR(INDEX(Raw_Orders!H1291:H3719,MATCH(B1291,Raw_Orders!A1291:A3719,0)),0)</f>
        <v>24</v>
      </c>
      <c r="J1291" s="5" t="str">
        <f t="shared" si="80"/>
        <v>No</v>
      </c>
      <c r="K1291" s="5" t="str">
        <f t="shared" si="81"/>
        <v>N0</v>
      </c>
      <c r="L1291" s="5" t="str">
        <f t="shared" si="83"/>
        <v>No</v>
      </c>
      <c r="M1291" s="5">
        <f t="shared" si="82"/>
        <v>0</v>
      </c>
    </row>
    <row r="1292" spans="1:13" x14ac:dyDescent="0.3">
      <c r="A1292" s="2" t="s">
        <v>3921</v>
      </c>
      <c r="B1292" s="2" t="s">
        <v>1441</v>
      </c>
      <c r="C1292" s="2" t="s">
        <v>2614</v>
      </c>
      <c r="D1292" s="3">
        <v>45859</v>
      </c>
      <c r="E1292" s="3">
        <v>45863</v>
      </c>
      <c r="F1292" s="3">
        <v>45874</v>
      </c>
      <c r="G1292" s="2" t="s">
        <v>2633</v>
      </c>
      <c r="H1292" s="2">
        <v>17</v>
      </c>
      <c r="I1292" s="2">
        <f>IFERROR(INDEX(Raw_Orders!H1292:H3720,MATCH(B1292,Raw_Orders!A1292:A3720,0)),0)</f>
        <v>25</v>
      </c>
      <c r="J1292" s="2" t="str">
        <f t="shared" si="80"/>
        <v>No</v>
      </c>
      <c r="K1292" s="2" t="str">
        <f t="shared" si="81"/>
        <v>N0</v>
      </c>
      <c r="L1292" s="2" t="str">
        <f t="shared" si="83"/>
        <v>No</v>
      </c>
      <c r="M1292" s="2">
        <f t="shared" si="82"/>
        <v>0</v>
      </c>
    </row>
    <row r="1293" spans="1:13" x14ac:dyDescent="0.3">
      <c r="A1293" s="5" t="s">
        <v>3922</v>
      </c>
      <c r="B1293" s="5" t="s">
        <v>1442</v>
      </c>
      <c r="C1293" s="5" t="s">
        <v>2616</v>
      </c>
      <c r="D1293" s="6">
        <v>45858</v>
      </c>
      <c r="E1293" s="6">
        <v>45862</v>
      </c>
      <c r="F1293" s="6">
        <v>45872</v>
      </c>
      <c r="G1293" s="5" t="s">
        <v>2641</v>
      </c>
      <c r="H1293" s="5">
        <v>38</v>
      </c>
      <c r="I1293" s="5">
        <f>IFERROR(INDEX(Raw_Orders!H1293:H3721,MATCH(B1293,Raw_Orders!A1293:A3721,0)),0)</f>
        <v>38</v>
      </c>
      <c r="J1293" s="5" t="str">
        <f t="shared" si="80"/>
        <v>No</v>
      </c>
      <c r="K1293" s="5" t="str">
        <f t="shared" si="81"/>
        <v>Yes</v>
      </c>
      <c r="L1293" s="5" t="str">
        <f t="shared" si="83"/>
        <v>No</v>
      </c>
      <c r="M1293" s="5">
        <f t="shared" si="82"/>
        <v>0</v>
      </c>
    </row>
    <row r="1294" spans="1:13" x14ac:dyDescent="0.3">
      <c r="A1294" s="2" t="s">
        <v>3923</v>
      </c>
      <c r="B1294" s="2" t="s">
        <v>1443</v>
      </c>
      <c r="C1294" s="2" t="s">
        <v>2616</v>
      </c>
      <c r="D1294" s="3">
        <v>45858</v>
      </c>
      <c r="E1294" s="3">
        <v>45863</v>
      </c>
      <c r="F1294" s="3">
        <v>45873</v>
      </c>
      <c r="G1294" s="2" t="s">
        <v>2631</v>
      </c>
      <c r="H1294" s="2">
        <v>18</v>
      </c>
      <c r="I1294" s="2">
        <f>IFERROR(INDEX(Raw_Orders!H1294:H3722,MATCH(B1294,Raw_Orders!A1294:A3722,0)),0)</f>
        <v>18</v>
      </c>
      <c r="J1294" s="2" t="str">
        <f t="shared" si="80"/>
        <v>No</v>
      </c>
      <c r="K1294" s="2" t="str">
        <f t="shared" si="81"/>
        <v>Yes</v>
      </c>
      <c r="L1294" s="2" t="str">
        <f t="shared" si="83"/>
        <v>No</v>
      </c>
      <c r="M1294" s="2">
        <f t="shared" si="82"/>
        <v>0</v>
      </c>
    </row>
    <row r="1295" spans="1:13" x14ac:dyDescent="0.3">
      <c r="A1295" s="5" t="s">
        <v>3924</v>
      </c>
      <c r="B1295" s="5" t="s">
        <v>1444</v>
      </c>
      <c r="C1295" s="5" t="s">
        <v>2606</v>
      </c>
      <c r="D1295" s="6">
        <v>45860</v>
      </c>
      <c r="E1295" s="6">
        <v>45868</v>
      </c>
      <c r="F1295" s="6">
        <v>45867</v>
      </c>
      <c r="G1295" s="5" t="s">
        <v>2627</v>
      </c>
      <c r="H1295" s="5">
        <v>28</v>
      </c>
      <c r="I1295" s="5">
        <f>IFERROR(INDEX(Raw_Orders!H1295:H3723,MATCH(B1295,Raw_Orders!A1295:A3723,0)),0)</f>
        <v>28</v>
      </c>
      <c r="J1295" s="5" t="str">
        <f t="shared" si="80"/>
        <v>Yes</v>
      </c>
      <c r="K1295" s="5" t="str">
        <f t="shared" si="81"/>
        <v>Yes</v>
      </c>
      <c r="L1295" s="5" t="str">
        <f t="shared" si="83"/>
        <v>Yes</v>
      </c>
      <c r="M1295" s="5">
        <f t="shared" si="82"/>
        <v>1</v>
      </c>
    </row>
    <row r="1296" spans="1:13" x14ac:dyDescent="0.3">
      <c r="A1296" s="2" t="s">
        <v>3925</v>
      </c>
      <c r="B1296" s="2" t="s">
        <v>1445</v>
      </c>
      <c r="C1296" s="2" t="s">
        <v>2606</v>
      </c>
      <c r="D1296" s="3">
        <v>45858</v>
      </c>
      <c r="E1296" s="3">
        <v>45866</v>
      </c>
      <c r="F1296" s="3">
        <v>45868</v>
      </c>
      <c r="G1296" s="2" t="s">
        <v>2631</v>
      </c>
      <c r="H1296" s="2">
        <v>39</v>
      </c>
      <c r="I1296" s="2">
        <f>IFERROR(INDEX(Raw_Orders!H1296:H3724,MATCH(B1296,Raw_Orders!A1296:A3724,0)),0)</f>
        <v>39</v>
      </c>
      <c r="J1296" s="2" t="str">
        <f t="shared" si="80"/>
        <v>No</v>
      </c>
      <c r="K1296" s="2" t="str">
        <f t="shared" si="81"/>
        <v>Yes</v>
      </c>
      <c r="L1296" s="2" t="str">
        <f t="shared" si="83"/>
        <v>No</v>
      </c>
      <c r="M1296" s="2">
        <f t="shared" si="82"/>
        <v>0</v>
      </c>
    </row>
    <row r="1297" spans="1:13" x14ac:dyDescent="0.3">
      <c r="A1297" s="5" t="s">
        <v>3926</v>
      </c>
      <c r="B1297" s="5" t="s">
        <v>1446</v>
      </c>
      <c r="C1297" s="5" t="s">
        <v>2606</v>
      </c>
      <c r="D1297" s="6">
        <v>45858</v>
      </c>
      <c r="E1297" s="6">
        <v>45868</v>
      </c>
      <c r="F1297" s="6">
        <v>45865</v>
      </c>
      <c r="G1297" s="5" t="s">
        <v>2641</v>
      </c>
      <c r="H1297" s="5">
        <v>22</v>
      </c>
      <c r="I1297" s="5">
        <f>IFERROR(INDEX(Raw_Orders!H1297:H3725,MATCH(B1297,Raw_Orders!A1297:A3725,0)),0)</f>
        <v>22</v>
      </c>
      <c r="J1297" s="5" t="str">
        <f t="shared" si="80"/>
        <v>Yes</v>
      </c>
      <c r="K1297" s="5" t="str">
        <f t="shared" si="81"/>
        <v>Yes</v>
      </c>
      <c r="L1297" s="5" t="str">
        <f t="shared" si="83"/>
        <v>Yes</v>
      </c>
      <c r="M1297" s="5">
        <f t="shared" si="82"/>
        <v>1</v>
      </c>
    </row>
    <row r="1298" spans="1:13" x14ac:dyDescent="0.3">
      <c r="A1298" s="2" t="s">
        <v>3927</v>
      </c>
      <c r="B1298" s="2" t="s">
        <v>1447</v>
      </c>
      <c r="C1298" s="2" t="s">
        <v>2598</v>
      </c>
      <c r="D1298" s="3">
        <v>45859</v>
      </c>
      <c r="E1298" s="3">
        <v>45866</v>
      </c>
      <c r="F1298" s="3">
        <v>45872</v>
      </c>
      <c r="G1298" s="2" t="s">
        <v>2631</v>
      </c>
      <c r="H1298" s="2">
        <v>16</v>
      </c>
      <c r="I1298" s="2">
        <f>IFERROR(INDEX(Raw_Orders!H1298:H3726,MATCH(B1298,Raw_Orders!A1298:A3726,0)),0)</f>
        <v>16</v>
      </c>
      <c r="J1298" s="2" t="str">
        <f t="shared" si="80"/>
        <v>No</v>
      </c>
      <c r="K1298" s="2" t="str">
        <f t="shared" si="81"/>
        <v>Yes</v>
      </c>
      <c r="L1298" s="2" t="str">
        <f t="shared" si="83"/>
        <v>No</v>
      </c>
      <c r="M1298" s="2">
        <f t="shared" si="82"/>
        <v>0</v>
      </c>
    </row>
    <row r="1299" spans="1:13" x14ac:dyDescent="0.3">
      <c r="A1299" s="5" t="s">
        <v>3928</v>
      </c>
      <c r="B1299" s="5" t="s">
        <v>1448</v>
      </c>
      <c r="C1299" s="5" t="s">
        <v>2598</v>
      </c>
      <c r="D1299" s="6">
        <v>45859</v>
      </c>
      <c r="E1299" s="6">
        <v>45868</v>
      </c>
      <c r="F1299" s="6">
        <v>45872</v>
      </c>
      <c r="G1299" s="5" t="s">
        <v>2629</v>
      </c>
      <c r="H1299" s="5">
        <v>52</v>
      </c>
      <c r="I1299" s="5">
        <f>IFERROR(INDEX(Raw_Orders!H1299:H3727,MATCH(B1299,Raw_Orders!A1299:A3727,0)),0)</f>
        <v>52</v>
      </c>
      <c r="J1299" s="5" t="str">
        <f t="shared" si="80"/>
        <v>No</v>
      </c>
      <c r="K1299" s="5" t="str">
        <f t="shared" si="81"/>
        <v>Yes</v>
      </c>
      <c r="L1299" s="5" t="str">
        <f t="shared" si="83"/>
        <v>No</v>
      </c>
      <c r="M1299" s="5">
        <f t="shared" si="82"/>
        <v>0</v>
      </c>
    </row>
    <row r="1300" spans="1:13" x14ac:dyDescent="0.3">
      <c r="A1300" s="2" t="s">
        <v>3929</v>
      </c>
      <c r="B1300" s="2" t="s">
        <v>1449</v>
      </c>
      <c r="C1300" s="2" t="s">
        <v>2614</v>
      </c>
      <c r="D1300" s="3">
        <v>45860</v>
      </c>
      <c r="E1300" s="3">
        <v>45864</v>
      </c>
      <c r="F1300" s="3">
        <v>45878</v>
      </c>
      <c r="G1300" s="2" t="s">
        <v>2631</v>
      </c>
      <c r="H1300" s="2">
        <v>17</v>
      </c>
      <c r="I1300" s="2">
        <f>IFERROR(INDEX(Raw_Orders!H1300:H3728,MATCH(B1300,Raw_Orders!A1300:A3728,0)),0)</f>
        <v>24</v>
      </c>
      <c r="J1300" s="2" t="str">
        <f t="shared" si="80"/>
        <v>No</v>
      </c>
      <c r="K1300" s="2" t="str">
        <f t="shared" si="81"/>
        <v>N0</v>
      </c>
      <c r="L1300" s="2" t="str">
        <f t="shared" si="83"/>
        <v>No</v>
      </c>
      <c r="M1300" s="2">
        <f t="shared" si="82"/>
        <v>0</v>
      </c>
    </row>
    <row r="1301" spans="1:13" x14ac:dyDescent="0.3">
      <c r="A1301" s="5" t="s">
        <v>3930</v>
      </c>
      <c r="B1301" s="5" t="s">
        <v>1450</v>
      </c>
      <c r="C1301" s="5" t="s">
        <v>2601</v>
      </c>
      <c r="D1301" s="6">
        <v>45859</v>
      </c>
      <c r="E1301" s="6">
        <v>45865</v>
      </c>
      <c r="F1301" s="6">
        <v>45864</v>
      </c>
      <c r="G1301" s="5" t="s">
        <v>2633</v>
      </c>
      <c r="H1301" s="5">
        <v>12</v>
      </c>
      <c r="I1301" s="5">
        <f>IFERROR(INDEX(Raw_Orders!H1301:H3729,MATCH(B1301,Raw_Orders!A1301:A3729,0)),0)</f>
        <v>12</v>
      </c>
      <c r="J1301" s="5" t="str">
        <f t="shared" si="80"/>
        <v>Yes</v>
      </c>
      <c r="K1301" s="5" t="str">
        <f t="shared" si="81"/>
        <v>Yes</v>
      </c>
      <c r="L1301" s="5" t="str">
        <f t="shared" si="83"/>
        <v>Yes</v>
      </c>
      <c r="M1301" s="5">
        <f t="shared" si="82"/>
        <v>1</v>
      </c>
    </row>
    <row r="1302" spans="1:13" x14ac:dyDescent="0.3">
      <c r="A1302" s="2" t="s">
        <v>3931</v>
      </c>
      <c r="B1302" s="2" t="s">
        <v>1451</v>
      </c>
      <c r="C1302" s="2" t="s">
        <v>2604</v>
      </c>
      <c r="D1302" s="3">
        <v>45859</v>
      </c>
      <c r="E1302" s="3">
        <v>45868</v>
      </c>
      <c r="F1302" s="3">
        <v>45863</v>
      </c>
      <c r="G1302" s="2" t="s">
        <v>2629</v>
      </c>
      <c r="H1302" s="2">
        <v>13</v>
      </c>
      <c r="I1302" s="2">
        <f>IFERROR(INDEX(Raw_Orders!H1302:H3730,MATCH(B1302,Raw_Orders!A1302:A3730,0)),0)</f>
        <v>13</v>
      </c>
      <c r="J1302" s="2" t="str">
        <f t="shared" si="80"/>
        <v>Yes</v>
      </c>
      <c r="K1302" s="2" t="str">
        <f t="shared" si="81"/>
        <v>Yes</v>
      </c>
      <c r="L1302" s="2" t="str">
        <f t="shared" si="83"/>
        <v>Yes</v>
      </c>
      <c r="M1302" s="2">
        <f t="shared" si="82"/>
        <v>1</v>
      </c>
    </row>
    <row r="1303" spans="1:13" x14ac:dyDescent="0.3">
      <c r="A1303" s="5" t="s">
        <v>3932</v>
      </c>
      <c r="B1303" s="5" t="s">
        <v>1452</v>
      </c>
      <c r="C1303" s="5" t="s">
        <v>2606</v>
      </c>
      <c r="D1303" s="6">
        <v>45860</v>
      </c>
      <c r="E1303" s="6">
        <v>45866</v>
      </c>
      <c r="F1303" s="6">
        <v>45868</v>
      </c>
      <c r="G1303" s="5" t="s">
        <v>2627</v>
      </c>
      <c r="H1303" s="5">
        <v>45</v>
      </c>
      <c r="I1303" s="5">
        <f>IFERROR(INDEX(Raw_Orders!H1303:H3731,MATCH(B1303,Raw_Orders!A1303:A3731,0)),0)</f>
        <v>46</v>
      </c>
      <c r="J1303" s="5" t="str">
        <f t="shared" si="80"/>
        <v>No</v>
      </c>
      <c r="K1303" s="5" t="str">
        <f t="shared" si="81"/>
        <v>N0</v>
      </c>
      <c r="L1303" s="5" t="str">
        <f t="shared" si="83"/>
        <v>No</v>
      </c>
      <c r="M1303" s="5">
        <f t="shared" si="82"/>
        <v>0</v>
      </c>
    </row>
    <row r="1304" spans="1:13" x14ac:dyDescent="0.3">
      <c r="A1304" s="2" t="s">
        <v>3933</v>
      </c>
      <c r="B1304" s="2" t="s">
        <v>1453</v>
      </c>
      <c r="C1304" s="2" t="s">
        <v>2606</v>
      </c>
      <c r="D1304" s="3">
        <v>45859</v>
      </c>
      <c r="E1304" s="3">
        <v>45868</v>
      </c>
      <c r="F1304" s="3">
        <v>45865</v>
      </c>
      <c r="G1304" s="2" t="s">
        <v>2629</v>
      </c>
      <c r="H1304" s="2">
        <v>68</v>
      </c>
      <c r="I1304" s="2">
        <f>IFERROR(INDEX(Raw_Orders!H1304:H3732,MATCH(B1304,Raw_Orders!A1304:A3732,0)),0)</f>
        <v>68</v>
      </c>
      <c r="J1304" s="2" t="str">
        <f t="shared" si="80"/>
        <v>Yes</v>
      </c>
      <c r="K1304" s="2" t="str">
        <f t="shared" si="81"/>
        <v>Yes</v>
      </c>
      <c r="L1304" s="2" t="str">
        <f t="shared" si="83"/>
        <v>Yes</v>
      </c>
      <c r="M1304" s="2">
        <f t="shared" si="82"/>
        <v>1</v>
      </c>
    </row>
    <row r="1305" spans="1:13" x14ac:dyDescent="0.3">
      <c r="A1305" s="5" t="s">
        <v>3934</v>
      </c>
      <c r="B1305" s="5" t="s">
        <v>1454</v>
      </c>
      <c r="C1305" s="5" t="s">
        <v>2606</v>
      </c>
      <c r="D1305" s="6">
        <v>45860</v>
      </c>
      <c r="E1305" s="6">
        <v>45868</v>
      </c>
      <c r="F1305" s="6">
        <v>45866</v>
      </c>
      <c r="G1305" s="5" t="s">
        <v>2641</v>
      </c>
      <c r="H1305" s="5">
        <v>31</v>
      </c>
      <c r="I1305" s="5">
        <f>IFERROR(INDEX(Raw_Orders!H1305:H3733,MATCH(B1305,Raw_Orders!A1305:A3733,0)),0)</f>
        <v>31</v>
      </c>
      <c r="J1305" s="5" t="str">
        <f t="shared" si="80"/>
        <v>Yes</v>
      </c>
      <c r="K1305" s="5" t="str">
        <f t="shared" si="81"/>
        <v>Yes</v>
      </c>
      <c r="L1305" s="5" t="str">
        <f t="shared" si="83"/>
        <v>Yes</v>
      </c>
      <c r="M1305" s="5">
        <f t="shared" si="82"/>
        <v>1</v>
      </c>
    </row>
    <row r="1306" spans="1:13" x14ac:dyDescent="0.3">
      <c r="A1306" s="2" t="s">
        <v>3935</v>
      </c>
      <c r="B1306" s="2" t="s">
        <v>1455</v>
      </c>
      <c r="C1306" s="2" t="s">
        <v>2601</v>
      </c>
      <c r="D1306" s="3">
        <v>45861</v>
      </c>
      <c r="E1306" s="3">
        <v>45863</v>
      </c>
      <c r="F1306" s="3">
        <v>45866</v>
      </c>
      <c r="G1306" s="2" t="s">
        <v>2629</v>
      </c>
      <c r="H1306" s="2">
        <v>44</v>
      </c>
      <c r="I1306" s="2">
        <f>IFERROR(INDEX(Raw_Orders!H1306:H3734,MATCH(B1306,Raw_Orders!A1306:A3734,0)),0)</f>
        <v>44</v>
      </c>
      <c r="J1306" s="2" t="str">
        <f t="shared" si="80"/>
        <v>No</v>
      </c>
      <c r="K1306" s="2" t="str">
        <f t="shared" si="81"/>
        <v>Yes</v>
      </c>
      <c r="L1306" s="2" t="str">
        <f t="shared" si="83"/>
        <v>No</v>
      </c>
      <c r="M1306" s="2">
        <f t="shared" si="82"/>
        <v>0</v>
      </c>
    </row>
    <row r="1307" spans="1:13" x14ac:dyDescent="0.3">
      <c r="A1307" s="5" t="s">
        <v>3936</v>
      </c>
      <c r="B1307" s="5" t="s">
        <v>1456</v>
      </c>
      <c r="C1307" s="5" t="s">
        <v>2614</v>
      </c>
      <c r="D1307" s="6">
        <v>45860</v>
      </c>
      <c r="E1307" s="6">
        <v>45870</v>
      </c>
      <c r="F1307" s="6">
        <v>45875</v>
      </c>
      <c r="G1307" s="5" t="s">
        <v>2631</v>
      </c>
      <c r="H1307" s="5">
        <v>11</v>
      </c>
      <c r="I1307" s="5">
        <f>IFERROR(INDEX(Raw_Orders!H1307:H3735,MATCH(B1307,Raw_Orders!A1307:A3735,0)),0)</f>
        <v>15</v>
      </c>
      <c r="J1307" s="5" t="str">
        <f t="shared" si="80"/>
        <v>No</v>
      </c>
      <c r="K1307" s="5" t="str">
        <f t="shared" si="81"/>
        <v>N0</v>
      </c>
      <c r="L1307" s="5" t="str">
        <f t="shared" si="83"/>
        <v>No</v>
      </c>
      <c r="M1307" s="5">
        <f t="shared" si="82"/>
        <v>0</v>
      </c>
    </row>
    <row r="1308" spans="1:13" x14ac:dyDescent="0.3">
      <c r="A1308" s="2" t="s">
        <v>3937</v>
      </c>
      <c r="B1308" s="2" t="s">
        <v>1457</v>
      </c>
      <c r="C1308" s="2" t="s">
        <v>2604</v>
      </c>
      <c r="D1308" s="3">
        <v>45862</v>
      </c>
      <c r="E1308" s="3">
        <v>45865</v>
      </c>
      <c r="F1308" s="3">
        <v>45866</v>
      </c>
      <c r="G1308" s="2" t="s">
        <v>2627</v>
      </c>
      <c r="H1308" s="2">
        <v>4</v>
      </c>
      <c r="I1308" s="2">
        <f>IFERROR(INDEX(Raw_Orders!H1308:H3736,MATCH(B1308,Raw_Orders!A1308:A3736,0)),0)</f>
        <v>4</v>
      </c>
      <c r="J1308" s="2" t="str">
        <f t="shared" si="80"/>
        <v>No</v>
      </c>
      <c r="K1308" s="2" t="str">
        <f t="shared" si="81"/>
        <v>Yes</v>
      </c>
      <c r="L1308" s="2" t="str">
        <f t="shared" si="83"/>
        <v>No</v>
      </c>
      <c r="M1308" s="2">
        <f t="shared" si="82"/>
        <v>0</v>
      </c>
    </row>
    <row r="1309" spans="1:13" x14ac:dyDescent="0.3">
      <c r="A1309" s="5" t="s">
        <v>3938</v>
      </c>
      <c r="B1309" s="5" t="s">
        <v>1458</v>
      </c>
      <c r="C1309" s="5" t="s">
        <v>2606</v>
      </c>
      <c r="D1309" s="6">
        <v>45860</v>
      </c>
      <c r="E1309" s="6">
        <v>45864</v>
      </c>
      <c r="F1309" s="6">
        <v>45866</v>
      </c>
      <c r="G1309" s="5" t="s">
        <v>2631</v>
      </c>
      <c r="H1309" s="5">
        <v>19</v>
      </c>
      <c r="I1309" s="5">
        <f>IFERROR(INDEX(Raw_Orders!H1309:H3737,MATCH(B1309,Raw_Orders!A1309:A3737,0)),0)</f>
        <v>19</v>
      </c>
      <c r="J1309" s="5" t="str">
        <f t="shared" si="80"/>
        <v>No</v>
      </c>
      <c r="K1309" s="5" t="str">
        <f t="shared" si="81"/>
        <v>Yes</v>
      </c>
      <c r="L1309" s="5" t="str">
        <f t="shared" si="83"/>
        <v>No</v>
      </c>
      <c r="M1309" s="5">
        <f t="shared" si="82"/>
        <v>0</v>
      </c>
    </row>
    <row r="1310" spans="1:13" x14ac:dyDescent="0.3">
      <c r="A1310" s="2" t="s">
        <v>3939</v>
      </c>
      <c r="B1310" s="2" t="s">
        <v>1459</v>
      </c>
      <c r="C1310" s="2" t="s">
        <v>2608</v>
      </c>
      <c r="D1310" s="3">
        <v>45860</v>
      </c>
      <c r="E1310" s="3">
        <v>45869</v>
      </c>
      <c r="F1310" s="3">
        <v>45875</v>
      </c>
      <c r="G1310" s="2" t="s">
        <v>2631</v>
      </c>
      <c r="H1310" s="2">
        <v>13</v>
      </c>
      <c r="I1310" s="2">
        <f>IFERROR(INDEX(Raw_Orders!H1310:H3738,MATCH(B1310,Raw_Orders!A1310:A3738,0)),0)</f>
        <v>13</v>
      </c>
      <c r="J1310" s="2" t="str">
        <f t="shared" si="80"/>
        <v>No</v>
      </c>
      <c r="K1310" s="2" t="str">
        <f t="shared" si="81"/>
        <v>Yes</v>
      </c>
      <c r="L1310" s="2" t="str">
        <f t="shared" si="83"/>
        <v>No</v>
      </c>
      <c r="M1310" s="2">
        <f t="shared" si="82"/>
        <v>0</v>
      </c>
    </row>
    <row r="1311" spans="1:13" x14ac:dyDescent="0.3">
      <c r="A1311" s="5" t="s">
        <v>3940</v>
      </c>
      <c r="B1311" s="5" t="s">
        <v>1460</v>
      </c>
      <c r="C1311" s="5" t="s">
        <v>2598</v>
      </c>
      <c r="D1311" s="6">
        <v>45861</v>
      </c>
      <c r="E1311" s="6">
        <v>45869</v>
      </c>
      <c r="F1311" s="6">
        <v>45874</v>
      </c>
      <c r="G1311" s="5" t="s">
        <v>2629</v>
      </c>
      <c r="H1311" s="5">
        <v>44</v>
      </c>
      <c r="I1311" s="5">
        <f>IFERROR(INDEX(Raw_Orders!H1311:H3739,MATCH(B1311,Raw_Orders!A1311:A3739,0)),0)</f>
        <v>44</v>
      </c>
      <c r="J1311" s="5" t="str">
        <f t="shared" si="80"/>
        <v>No</v>
      </c>
      <c r="K1311" s="5" t="str">
        <f t="shared" si="81"/>
        <v>Yes</v>
      </c>
      <c r="L1311" s="5" t="str">
        <f t="shared" si="83"/>
        <v>No</v>
      </c>
      <c r="M1311" s="5">
        <f t="shared" si="82"/>
        <v>0</v>
      </c>
    </row>
    <row r="1312" spans="1:13" x14ac:dyDescent="0.3">
      <c r="A1312" s="2" t="s">
        <v>3941</v>
      </c>
      <c r="B1312" s="2" t="s">
        <v>1461</v>
      </c>
      <c r="C1312" s="2" t="s">
        <v>2601</v>
      </c>
      <c r="D1312" s="3">
        <v>45863</v>
      </c>
      <c r="E1312" s="3">
        <v>45871</v>
      </c>
      <c r="F1312" s="3">
        <v>45872</v>
      </c>
      <c r="G1312" s="2" t="s">
        <v>2629</v>
      </c>
      <c r="H1312" s="2">
        <v>7</v>
      </c>
      <c r="I1312" s="2">
        <f>IFERROR(INDEX(Raw_Orders!H1312:H3740,MATCH(B1312,Raw_Orders!A1312:A3740,0)),0)</f>
        <v>9</v>
      </c>
      <c r="J1312" s="2" t="str">
        <f t="shared" si="80"/>
        <v>No</v>
      </c>
      <c r="K1312" s="2" t="str">
        <f t="shared" si="81"/>
        <v>N0</v>
      </c>
      <c r="L1312" s="2" t="str">
        <f t="shared" si="83"/>
        <v>No</v>
      </c>
      <c r="M1312" s="2">
        <f t="shared" si="82"/>
        <v>0</v>
      </c>
    </row>
    <row r="1313" spans="1:13" x14ac:dyDescent="0.3">
      <c r="A1313" s="5" t="s">
        <v>3942</v>
      </c>
      <c r="B1313" s="5" t="s">
        <v>1462</v>
      </c>
      <c r="C1313" s="5" t="s">
        <v>2604</v>
      </c>
      <c r="D1313" s="6">
        <v>45862</v>
      </c>
      <c r="E1313" s="6">
        <v>45870</v>
      </c>
      <c r="F1313" s="6">
        <v>45868</v>
      </c>
      <c r="G1313" s="5" t="s">
        <v>2633</v>
      </c>
      <c r="H1313" s="5">
        <v>20</v>
      </c>
      <c r="I1313" s="5">
        <f>IFERROR(INDEX(Raw_Orders!H1313:H3741,MATCH(B1313,Raw_Orders!A1313:A3741,0)),0)</f>
        <v>27</v>
      </c>
      <c r="J1313" s="5" t="str">
        <f t="shared" si="80"/>
        <v>Yes</v>
      </c>
      <c r="K1313" s="5" t="str">
        <f t="shared" si="81"/>
        <v>N0</v>
      </c>
      <c r="L1313" s="5" t="str">
        <f t="shared" si="83"/>
        <v>No</v>
      </c>
      <c r="M1313" s="5">
        <f t="shared" si="82"/>
        <v>0</v>
      </c>
    </row>
    <row r="1314" spans="1:13" x14ac:dyDescent="0.3">
      <c r="A1314" s="2" t="s">
        <v>3943</v>
      </c>
      <c r="B1314" s="2" t="s">
        <v>1463</v>
      </c>
      <c r="C1314" s="2" t="s">
        <v>2606</v>
      </c>
      <c r="D1314" s="3">
        <v>45862</v>
      </c>
      <c r="E1314" s="3">
        <v>45867</v>
      </c>
      <c r="F1314" s="3">
        <v>45870</v>
      </c>
      <c r="G1314" s="2" t="s">
        <v>2629</v>
      </c>
      <c r="H1314" s="2">
        <v>23</v>
      </c>
      <c r="I1314" s="2">
        <f>IFERROR(INDEX(Raw_Orders!H1314:H3742,MATCH(B1314,Raw_Orders!A1314:A3742,0)),0)</f>
        <v>23</v>
      </c>
      <c r="J1314" s="2" t="str">
        <f t="shared" si="80"/>
        <v>No</v>
      </c>
      <c r="K1314" s="2" t="str">
        <f t="shared" si="81"/>
        <v>Yes</v>
      </c>
      <c r="L1314" s="2" t="str">
        <f t="shared" si="83"/>
        <v>No</v>
      </c>
      <c r="M1314" s="2">
        <f t="shared" si="82"/>
        <v>0</v>
      </c>
    </row>
    <row r="1315" spans="1:13" x14ac:dyDescent="0.3">
      <c r="A1315" s="5" t="s">
        <v>3944</v>
      </c>
      <c r="B1315" s="5" t="s">
        <v>1464</v>
      </c>
      <c r="C1315" s="5" t="s">
        <v>2606</v>
      </c>
      <c r="D1315" s="6">
        <v>45861</v>
      </c>
      <c r="E1315" s="6">
        <v>45867</v>
      </c>
      <c r="F1315" s="6">
        <v>45867</v>
      </c>
      <c r="G1315" s="5" t="s">
        <v>2631</v>
      </c>
      <c r="H1315" s="5">
        <v>36</v>
      </c>
      <c r="I1315" s="5">
        <f>IFERROR(INDEX(Raw_Orders!H1315:H3743,MATCH(B1315,Raw_Orders!A1315:A3743,0)),0)</f>
        <v>36</v>
      </c>
      <c r="J1315" s="5" t="str">
        <f t="shared" si="80"/>
        <v>Yes</v>
      </c>
      <c r="K1315" s="5" t="str">
        <f t="shared" si="81"/>
        <v>Yes</v>
      </c>
      <c r="L1315" s="5" t="str">
        <f t="shared" si="83"/>
        <v>Yes</v>
      </c>
      <c r="M1315" s="5">
        <f t="shared" si="82"/>
        <v>1</v>
      </c>
    </row>
    <row r="1316" spans="1:13" x14ac:dyDescent="0.3">
      <c r="A1316" s="2" t="s">
        <v>3945</v>
      </c>
      <c r="B1316" s="2" t="s">
        <v>1465</v>
      </c>
      <c r="C1316" s="2" t="s">
        <v>2608</v>
      </c>
      <c r="D1316" s="3">
        <v>45862</v>
      </c>
      <c r="E1316" s="3">
        <v>45868</v>
      </c>
      <c r="F1316" s="3">
        <v>45875</v>
      </c>
      <c r="G1316" s="2" t="s">
        <v>2627</v>
      </c>
      <c r="H1316" s="2">
        <v>32</v>
      </c>
      <c r="I1316" s="2">
        <f>IFERROR(INDEX(Raw_Orders!H1316:H3744,MATCH(B1316,Raw_Orders!A1316:A3744,0)),0)</f>
        <v>32</v>
      </c>
      <c r="J1316" s="2" t="str">
        <f t="shared" si="80"/>
        <v>No</v>
      </c>
      <c r="K1316" s="2" t="str">
        <f t="shared" si="81"/>
        <v>Yes</v>
      </c>
      <c r="L1316" s="2" t="str">
        <f t="shared" si="83"/>
        <v>No</v>
      </c>
      <c r="M1316" s="2">
        <f t="shared" si="82"/>
        <v>0</v>
      </c>
    </row>
    <row r="1317" spans="1:13" x14ac:dyDescent="0.3">
      <c r="A1317" s="5" t="s">
        <v>3946</v>
      </c>
      <c r="B1317" s="5" t="s">
        <v>1466</v>
      </c>
      <c r="C1317" s="5" t="s">
        <v>2611</v>
      </c>
      <c r="D1317" s="6">
        <v>45862</v>
      </c>
      <c r="E1317" s="6">
        <v>45869</v>
      </c>
      <c r="F1317" s="6">
        <v>45869</v>
      </c>
      <c r="G1317" s="5" t="s">
        <v>2631</v>
      </c>
      <c r="H1317" s="5">
        <v>26</v>
      </c>
      <c r="I1317" s="5">
        <f>IFERROR(INDEX(Raw_Orders!H1317:H3745,MATCH(B1317,Raw_Orders!A1317:A3745,0)),0)</f>
        <v>26</v>
      </c>
      <c r="J1317" s="5" t="str">
        <f t="shared" si="80"/>
        <v>Yes</v>
      </c>
      <c r="K1317" s="5" t="str">
        <f t="shared" si="81"/>
        <v>Yes</v>
      </c>
      <c r="L1317" s="5" t="str">
        <f t="shared" si="83"/>
        <v>Yes</v>
      </c>
      <c r="M1317" s="5">
        <f t="shared" si="82"/>
        <v>1</v>
      </c>
    </row>
    <row r="1318" spans="1:13" x14ac:dyDescent="0.3">
      <c r="A1318" s="2" t="s">
        <v>3947</v>
      </c>
      <c r="B1318" s="2" t="s">
        <v>1467</v>
      </c>
      <c r="C1318" s="2" t="s">
        <v>2611</v>
      </c>
      <c r="D1318" s="3">
        <v>45863</v>
      </c>
      <c r="E1318" s="3">
        <v>45868</v>
      </c>
      <c r="F1318" s="3">
        <v>45874</v>
      </c>
      <c r="G1318" s="2" t="s">
        <v>2627</v>
      </c>
      <c r="H1318" s="2">
        <v>30</v>
      </c>
      <c r="I1318" s="2">
        <f>IFERROR(INDEX(Raw_Orders!H1318:H3746,MATCH(B1318,Raw_Orders!A1318:A3746,0)),0)</f>
        <v>38</v>
      </c>
      <c r="J1318" s="2" t="str">
        <f t="shared" si="80"/>
        <v>No</v>
      </c>
      <c r="K1318" s="2" t="str">
        <f t="shared" si="81"/>
        <v>N0</v>
      </c>
      <c r="L1318" s="2" t="str">
        <f t="shared" si="83"/>
        <v>No</v>
      </c>
      <c r="M1318" s="2">
        <f t="shared" si="82"/>
        <v>0</v>
      </c>
    </row>
    <row r="1319" spans="1:13" x14ac:dyDescent="0.3">
      <c r="A1319" s="5" t="s">
        <v>3948</v>
      </c>
      <c r="B1319" s="5" t="s">
        <v>1468</v>
      </c>
      <c r="C1319" s="5" t="s">
        <v>2614</v>
      </c>
      <c r="D1319" s="6">
        <v>45862</v>
      </c>
      <c r="E1319" s="6">
        <v>45865</v>
      </c>
      <c r="F1319" s="6">
        <v>45876</v>
      </c>
      <c r="G1319" s="5" t="s">
        <v>2633</v>
      </c>
      <c r="H1319" s="5">
        <v>27</v>
      </c>
      <c r="I1319" s="5">
        <f>IFERROR(INDEX(Raw_Orders!H1319:H3747,MATCH(B1319,Raw_Orders!A1319:A3747,0)),0)</f>
        <v>28</v>
      </c>
      <c r="J1319" s="5" t="str">
        <f t="shared" si="80"/>
        <v>No</v>
      </c>
      <c r="K1319" s="5" t="str">
        <f t="shared" si="81"/>
        <v>N0</v>
      </c>
      <c r="L1319" s="5" t="str">
        <f t="shared" si="83"/>
        <v>No</v>
      </c>
      <c r="M1319" s="5">
        <f t="shared" si="82"/>
        <v>0</v>
      </c>
    </row>
    <row r="1320" spans="1:13" x14ac:dyDescent="0.3">
      <c r="A1320" s="2" t="s">
        <v>3949</v>
      </c>
      <c r="B1320" s="2" t="s">
        <v>1469</v>
      </c>
      <c r="C1320" s="2" t="s">
        <v>2604</v>
      </c>
      <c r="D1320" s="3">
        <v>45864</v>
      </c>
      <c r="E1320" s="3">
        <v>45871</v>
      </c>
      <c r="F1320" s="3">
        <v>45867</v>
      </c>
      <c r="G1320" s="2" t="s">
        <v>2627</v>
      </c>
      <c r="H1320" s="2">
        <v>44</v>
      </c>
      <c r="I1320" s="2">
        <f>IFERROR(INDEX(Raw_Orders!H1320:H3748,MATCH(B1320,Raw_Orders!A1320:A3748,0)),0)</f>
        <v>46</v>
      </c>
      <c r="J1320" s="2" t="str">
        <f t="shared" si="80"/>
        <v>Yes</v>
      </c>
      <c r="K1320" s="2" t="str">
        <f t="shared" si="81"/>
        <v>N0</v>
      </c>
      <c r="L1320" s="2" t="str">
        <f t="shared" si="83"/>
        <v>No</v>
      </c>
      <c r="M1320" s="2">
        <f t="shared" si="82"/>
        <v>0</v>
      </c>
    </row>
    <row r="1321" spans="1:13" x14ac:dyDescent="0.3">
      <c r="A1321" s="5" t="s">
        <v>3950</v>
      </c>
      <c r="B1321" s="5" t="s">
        <v>1470</v>
      </c>
      <c r="C1321" s="5" t="s">
        <v>2606</v>
      </c>
      <c r="D1321" s="6">
        <v>45862</v>
      </c>
      <c r="E1321" s="6">
        <v>45871</v>
      </c>
      <c r="F1321" s="6">
        <v>45869</v>
      </c>
      <c r="G1321" s="5" t="s">
        <v>2631</v>
      </c>
      <c r="H1321" s="5">
        <v>56</v>
      </c>
      <c r="I1321" s="5">
        <f>IFERROR(INDEX(Raw_Orders!H1321:H3749,MATCH(B1321,Raw_Orders!A1321:A3749,0)),0)</f>
        <v>61</v>
      </c>
      <c r="J1321" s="5" t="str">
        <f t="shared" si="80"/>
        <v>Yes</v>
      </c>
      <c r="K1321" s="5" t="str">
        <f t="shared" si="81"/>
        <v>N0</v>
      </c>
      <c r="L1321" s="5" t="str">
        <f t="shared" si="83"/>
        <v>No</v>
      </c>
      <c r="M1321" s="5">
        <f t="shared" si="82"/>
        <v>0</v>
      </c>
    </row>
    <row r="1322" spans="1:13" x14ac:dyDescent="0.3">
      <c r="A1322" s="2" t="s">
        <v>3951</v>
      </c>
      <c r="B1322" s="2" t="s">
        <v>1471</v>
      </c>
      <c r="C1322" s="2" t="s">
        <v>2608</v>
      </c>
      <c r="D1322" s="3">
        <v>45864</v>
      </c>
      <c r="E1322" s="3">
        <v>45870</v>
      </c>
      <c r="F1322" s="3">
        <v>45877</v>
      </c>
      <c r="G1322" s="2" t="s">
        <v>2627</v>
      </c>
      <c r="H1322" s="2">
        <v>20</v>
      </c>
      <c r="I1322" s="2">
        <f>IFERROR(INDEX(Raw_Orders!H1322:H3750,MATCH(B1322,Raw_Orders!A1322:A3750,0)),0)</f>
        <v>23</v>
      </c>
      <c r="J1322" s="2" t="str">
        <f t="shared" si="80"/>
        <v>No</v>
      </c>
      <c r="K1322" s="2" t="str">
        <f t="shared" si="81"/>
        <v>N0</v>
      </c>
      <c r="L1322" s="2" t="str">
        <f t="shared" si="83"/>
        <v>No</v>
      </c>
      <c r="M1322" s="2">
        <f t="shared" si="82"/>
        <v>0</v>
      </c>
    </row>
    <row r="1323" spans="1:13" x14ac:dyDescent="0.3">
      <c r="A1323" s="5" t="s">
        <v>3952</v>
      </c>
      <c r="B1323" s="5" t="s">
        <v>1472</v>
      </c>
      <c r="C1323" s="5" t="s">
        <v>2608</v>
      </c>
      <c r="D1323" s="6">
        <v>45862</v>
      </c>
      <c r="E1323" s="6">
        <v>45865</v>
      </c>
      <c r="F1323" s="6">
        <v>45875</v>
      </c>
      <c r="G1323" s="5" t="s">
        <v>2641</v>
      </c>
      <c r="H1323" s="5">
        <v>5</v>
      </c>
      <c r="I1323" s="5">
        <f>IFERROR(INDEX(Raw_Orders!H1323:H3751,MATCH(B1323,Raw_Orders!A1323:A3751,0)),0)</f>
        <v>8</v>
      </c>
      <c r="J1323" s="5" t="str">
        <f t="shared" si="80"/>
        <v>No</v>
      </c>
      <c r="K1323" s="5" t="str">
        <f t="shared" si="81"/>
        <v>N0</v>
      </c>
      <c r="L1323" s="5" t="str">
        <f t="shared" si="83"/>
        <v>No</v>
      </c>
      <c r="M1323" s="5">
        <f t="shared" si="82"/>
        <v>0</v>
      </c>
    </row>
    <row r="1324" spans="1:13" x14ac:dyDescent="0.3">
      <c r="A1324" s="2" t="s">
        <v>3953</v>
      </c>
      <c r="B1324" s="2" t="s">
        <v>1473</v>
      </c>
      <c r="C1324" s="2" t="s">
        <v>2611</v>
      </c>
      <c r="D1324" s="3">
        <v>45863</v>
      </c>
      <c r="E1324" s="3">
        <v>45868</v>
      </c>
      <c r="F1324" s="3">
        <v>45869</v>
      </c>
      <c r="G1324" s="2" t="s">
        <v>2627</v>
      </c>
      <c r="H1324" s="2">
        <v>35</v>
      </c>
      <c r="I1324" s="2">
        <f>IFERROR(INDEX(Raw_Orders!H1324:H3752,MATCH(B1324,Raw_Orders!A1324:A3752,0)),0)</f>
        <v>41</v>
      </c>
      <c r="J1324" s="2" t="str">
        <f t="shared" si="80"/>
        <v>No</v>
      </c>
      <c r="K1324" s="2" t="str">
        <f t="shared" si="81"/>
        <v>N0</v>
      </c>
      <c r="L1324" s="2" t="str">
        <f t="shared" si="83"/>
        <v>No</v>
      </c>
      <c r="M1324" s="2">
        <f t="shared" si="82"/>
        <v>0</v>
      </c>
    </row>
    <row r="1325" spans="1:13" x14ac:dyDescent="0.3">
      <c r="A1325" s="5" t="s">
        <v>3954</v>
      </c>
      <c r="B1325" s="5" t="s">
        <v>1474</v>
      </c>
      <c r="C1325" s="5" t="s">
        <v>2611</v>
      </c>
      <c r="D1325" s="6">
        <v>45863</v>
      </c>
      <c r="E1325" s="6">
        <v>45869</v>
      </c>
      <c r="F1325" s="6">
        <v>45869</v>
      </c>
      <c r="G1325" s="5" t="s">
        <v>2641</v>
      </c>
      <c r="H1325" s="5">
        <v>26</v>
      </c>
      <c r="I1325" s="5">
        <f>IFERROR(INDEX(Raw_Orders!H1325:H3753,MATCH(B1325,Raw_Orders!A1325:A3753,0)),0)</f>
        <v>26</v>
      </c>
      <c r="J1325" s="5" t="str">
        <f t="shared" si="80"/>
        <v>Yes</v>
      </c>
      <c r="K1325" s="5" t="str">
        <f t="shared" si="81"/>
        <v>Yes</v>
      </c>
      <c r="L1325" s="5" t="str">
        <f t="shared" si="83"/>
        <v>Yes</v>
      </c>
      <c r="M1325" s="5">
        <f t="shared" si="82"/>
        <v>1</v>
      </c>
    </row>
    <row r="1326" spans="1:13" x14ac:dyDescent="0.3">
      <c r="A1326" s="2" t="s">
        <v>3955</v>
      </c>
      <c r="B1326" s="2" t="s">
        <v>1475</v>
      </c>
      <c r="C1326" s="2" t="s">
        <v>2616</v>
      </c>
      <c r="D1326" s="3">
        <v>45864</v>
      </c>
      <c r="E1326" s="3">
        <v>45871</v>
      </c>
      <c r="F1326" s="3">
        <v>45879</v>
      </c>
      <c r="G1326" s="2" t="s">
        <v>2633</v>
      </c>
      <c r="H1326" s="2">
        <v>19</v>
      </c>
      <c r="I1326" s="2">
        <f>IFERROR(INDEX(Raw_Orders!H1326:H3754,MATCH(B1326,Raw_Orders!A1326:A3754,0)),0)</f>
        <v>19</v>
      </c>
      <c r="J1326" s="2" t="str">
        <f t="shared" si="80"/>
        <v>No</v>
      </c>
      <c r="K1326" s="2" t="str">
        <f t="shared" si="81"/>
        <v>Yes</v>
      </c>
      <c r="L1326" s="2" t="str">
        <f t="shared" si="83"/>
        <v>No</v>
      </c>
      <c r="M1326" s="2">
        <f t="shared" si="82"/>
        <v>0</v>
      </c>
    </row>
    <row r="1327" spans="1:13" x14ac:dyDescent="0.3">
      <c r="A1327" s="5" t="s">
        <v>3956</v>
      </c>
      <c r="B1327" s="5" t="s">
        <v>1476</v>
      </c>
      <c r="C1327" s="5" t="s">
        <v>2606</v>
      </c>
      <c r="D1327" s="6">
        <v>45864</v>
      </c>
      <c r="E1327" s="6">
        <v>45873</v>
      </c>
      <c r="F1327" s="6">
        <v>45871</v>
      </c>
      <c r="G1327" s="5" t="s">
        <v>2631</v>
      </c>
      <c r="H1327" s="5">
        <v>50</v>
      </c>
      <c r="I1327" s="5">
        <f>IFERROR(INDEX(Raw_Orders!H1327:H3755,MATCH(B1327,Raw_Orders!A1327:A3755,0)),0)</f>
        <v>50</v>
      </c>
      <c r="J1327" s="5" t="str">
        <f t="shared" si="80"/>
        <v>Yes</v>
      </c>
      <c r="K1327" s="5" t="str">
        <f t="shared" si="81"/>
        <v>Yes</v>
      </c>
      <c r="L1327" s="5" t="str">
        <f t="shared" si="83"/>
        <v>Yes</v>
      </c>
      <c r="M1327" s="5">
        <f t="shared" si="82"/>
        <v>1</v>
      </c>
    </row>
    <row r="1328" spans="1:13" x14ac:dyDescent="0.3">
      <c r="A1328" s="2" t="s">
        <v>3957</v>
      </c>
      <c r="B1328" s="2" t="s">
        <v>1477</v>
      </c>
      <c r="C1328" s="2" t="s">
        <v>2608</v>
      </c>
      <c r="D1328" s="3">
        <v>45865</v>
      </c>
      <c r="E1328" s="3">
        <v>45873</v>
      </c>
      <c r="F1328" s="3">
        <v>45882</v>
      </c>
      <c r="G1328" s="2" t="s">
        <v>2641</v>
      </c>
      <c r="H1328" s="2">
        <v>45</v>
      </c>
      <c r="I1328" s="2">
        <f>IFERROR(INDEX(Raw_Orders!H1328:H3756,MATCH(B1328,Raw_Orders!A1328:A3756,0)),0)</f>
        <v>45</v>
      </c>
      <c r="J1328" s="2" t="str">
        <f t="shared" si="80"/>
        <v>No</v>
      </c>
      <c r="K1328" s="2" t="str">
        <f t="shared" si="81"/>
        <v>Yes</v>
      </c>
      <c r="L1328" s="2" t="str">
        <f t="shared" si="83"/>
        <v>No</v>
      </c>
      <c r="M1328" s="2">
        <f t="shared" si="82"/>
        <v>0</v>
      </c>
    </row>
    <row r="1329" spans="1:13" x14ac:dyDescent="0.3">
      <c r="A1329" s="5" t="s">
        <v>3958</v>
      </c>
      <c r="B1329" s="5" t="s">
        <v>1478</v>
      </c>
      <c r="C1329" s="5" t="s">
        <v>2608</v>
      </c>
      <c r="D1329" s="6">
        <v>45863</v>
      </c>
      <c r="E1329" s="6">
        <v>45869</v>
      </c>
      <c r="F1329" s="6">
        <v>45876</v>
      </c>
      <c r="G1329" s="5" t="s">
        <v>2641</v>
      </c>
      <c r="H1329" s="5">
        <v>6</v>
      </c>
      <c r="I1329" s="5">
        <f>IFERROR(INDEX(Raw_Orders!H1329:H3757,MATCH(B1329,Raw_Orders!A1329:A3757,0)),0)</f>
        <v>6</v>
      </c>
      <c r="J1329" s="5" t="str">
        <f t="shared" si="80"/>
        <v>No</v>
      </c>
      <c r="K1329" s="5" t="str">
        <f t="shared" si="81"/>
        <v>Yes</v>
      </c>
      <c r="L1329" s="5" t="str">
        <f t="shared" si="83"/>
        <v>No</v>
      </c>
      <c r="M1329" s="5">
        <f t="shared" si="82"/>
        <v>0</v>
      </c>
    </row>
    <row r="1330" spans="1:13" x14ac:dyDescent="0.3">
      <c r="A1330" s="2" t="s">
        <v>3959</v>
      </c>
      <c r="B1330" s="2" t="s">
        <v>1479</v>
      </c>
      <c r="C1330" s="2" t="s">
        <v>2614</v>
      </c>
      <c r="D1330" s="3">
        <v>45864</v>
      </c>
      <c r="E1330" s="3">
        <v>45874</v>
      </c>
      <c r="F1330" s="3">
        <v>45879</v>
      </c>
      <c r="G1330" s="2" t="s">
        <v>2633</v>
      </c>
      <c r="H1330" s="2">
        <v>23</v>
      </c>
      <c r="I1330" s="2">
        <f>IFERROR(INDEX(Raw_Orders!H1330:H3758,MATCH(B1330,Raw_Orders!A1330:A3758,0)),0)</f>
        <v>23</v>
      </c>
      <c r="J1330" s="2" t="str">
        <f t="shared" si="80"/>
        <v>No</v>
      </c>
      <c r="K1330" s="2" t="str">
        <f t="shared" si="81"/>
        <v>Yes</v>
      </c>
      <c r="L1330" s="2" t="str">
        <f t="shared" si="83"/>
        <v>No</v>
      </c>
      <c r="M1330" s="2">
        <f t="shared" si="82"/>
        <v>0</v>
      </c>
    </row>
    <row r="1331" spans="1:13" x14ac:dyDescent="0.3">
      <c r="A1331" s="5" t="s">
        <v>3960</v>
      </c>
      <c r="B1331" s="5" t="s">
        <v>1480</v>
      </c>
      <c r="C1331" s="5" t="s">
        <v>2604</v>
      </c>
      <c r="D1331" s="6">
        <v>45865</v>
      </c>
      <c r="E1331" s="6">
        <v>45869</v>
      </c>
      <c r="F1331" s="6">
        <v>45870</v>
      </c>
      <c r="G1331" s="5" t="s">
        <v>2631</v>
      </c>
      <c r="H1331" s="5">
        <v>19</v>
      </c>
      <c r="I1331" s="5">
        <f>IFERROR(INDEX(Raw_Orders!H1331:H3759,MATCH(B1331,Raw_Orders!A1331:A3759,0)),0)</f>
        <v>19</v>
      </c>
      <c r="J1331" s="5" t="str">
        <f t="shared" si="80"/>
        <v>No</v>
      </c>
      <c r="K1331" s="5" t="str">
        <f t="shared" si="81"/>
        <v>Yes</v>
      </c>
      <c r="L1331" s="5" t="str">
        <f t="shared" si="83"/>
        <v>No</v>
      </c>
      <c r="M1331" s="5">
        <f t="shared" si="82"/>
        <v>0</v>
      </c>
    </row>
    <row r="1332" spans="1:13" x14ac:dyDescent="0.3">
      <c r="A1332" s="2" t="s">
        <v>3961</v>
      </c>
      <c r="B1332" s="2" t="s">
        <v>1481</v>
      </c>
      <c r="C1332" s="2" t="s">
        <v>2606</v>
      </c>
      <c r="D1332" s="3">
        <v>45864</v>
      </c>
      <c r="E1332" s="3">
        <v>45872</v>
      </c>
      <c r="F1332" s="3">
        <v>45870</v>
      </c>
      <c r="G1332" s="2" t="s">
        <v>2627</v>
      </c>
      <c r="H1332" s="2">
        <v>41</v>
      </c>
      <c r="I1332" s="2">
        <f>IFERROR(INDEX(Raw_Orders!H1332:H3760,MATCH(B1332,Raw_Orders!A1332:A3760,0)),0)</f>
        <v>41</v>
      </c>
      <c r="J1332" s="2" t="str">
        <f t="shared" si="80"/>
        <v>Yes</v>
      </c>
      <c r="K1332" s="2" t="str">
        <f t="shared" si="81"/>
        <v>Yes</v>
      </c>
      <c r="L1332" s="2" t="str">
        <f t="shared" si="83"/>
        <v>Yes</v>
      </c>
      <c r="M1332" s="2">
        <f t="shared" si="82"/>
        <v>1</v>
      </c>
    </row>
    <row r="1333" spans="1:13" x14ac:dyDescent="0.3">
      <c r="A1333" s="5" t="s">
        <v>3962</v>
      </c>
      <c r="B1333" s="5" t="s">
        <v>1482</v>
      </c>
      <c r="C1333" s="5" t="s">
        <v>2606</v>
      </c>
      <c r="D1333" s="6">
        <v>45864</v>
      </c>
      <c r="E1333" s="6">
        <v>45871</v>
      </c>
      <c r="F1333" s="6">
        <v>45870</v>
      </c>
      <c r="G1333" s="5" t="s">
        <v>2633</v>
      </c>
      <c r="H1333" s="5">
        <v>38</v>
      </c>
      <c r="I1333" s="5">
        <f>IFERROR(INDEX(Raw_Orders!H1333:H3761,MATCH(B1333,Raw_Orders!A1333:A3761,0)),0)</f>
        <v>38</v>
      </c>
      <c r="J1333" s="5" t="str">
        <f t="shared" si="80"/>
        <v>Yes</v>
      </c>
      <c r="K1333" s="5" t="str">
        <f t="shared" si="81"/>
        <v>Yes</v>
      </c>
      <c r="L1333" s="5" t="str">
        <f t="shared" si="83"/>
        <v>Yes</v>
      </c>
      <c r="M1333" s="5">
        <f t="shared" si="82"/>
        <v>1</v>
      </c>
    </row>
    <row r="1334" spans="1:13" x14ac:dyDescent="0.3">
      <c r="A1334" s="2" t="s">
        <v>3963</v>
      </c>
      <c r="B1334" s="2" t="s">
        <v>1483</v>
      </c>
      <c r="C1334" s="2" t="s">
        <v>2614</v>
      </c>
      <c r="D1334" s="3">
        <v>45866</v>
      </c>
      <c r="E1334" s="3">
        <v>45869</v>
      </c>
      <c r="F1334" s="3">
        <v>45884</v>
      </c>
      <c r="G1334" s="2" t="s">
        <v>2627</v>
      </c>
      <c r="H1334" s="2">
        <v>15</v>
      </c>
      <c r="I1334" s="2">
        <f>IFERROR(INDEX(Raw_Orders!H1334:H3762,MATCH(B1334,Raw_Orders!A1334:A3762,0)),0)</f>
        <v>15</v>
      </c>
      <c r="J1334" s="2" t="str">
        <f t="shared" si="80"/>
        <v>No</v>
      </c>
      <c r="K1334" s="2" t="str">
        <f t="shared" si="81"/>
        <v>Yes</v>
      </c>
      <c r="L1334" s="2" t="str">
        <f t="shared" si="83"/>
        <v>No</v>
      </c>
      <c r="M1334" s="2">
        <f t="shared" si="82"/>
        <v>0</v>
      </c>
    </row>
    <row r="1335" spans="1:13" x14ac:dyDescent="0.3">
      <c r="A1335" s="5" t="s">
        <v>3964</v>
      </c>
      <c r="B1335" s="5" t="s">
        <v>1484</v>
      </c>
      <c r="C1335" s="5" t="s">
        <v>2601</v>
      </c>
      <c r="D1335" s="6">
        <v>45865</v>
      </c>
      <c r="E1335" s="6">
        <v>45874</v>
      </c>
      <c r="F1335" s="6">
        <v>45869</v>
      </c>
      <c r="G1335" s="5" t="s">
        <v>2629</v>
      </c>
      <c r="H1335" s="5">
        <v>31</v>
      </c>
      <c r="I1335" s="5">
        <f>IFERROR(INDEX(Raw_Orders!H1335:H3763,MATCH(B1335,Raw_Orders!A1335:A3763,0)),0)</f>
        <v>39</v>
      </c>
      <c r="J1335" s="5" t="str">
        <f t="shared" si="80"/>
        <v>Yes</v>
      </c>
      <c r="K1335" s="5" t="str">
        <f t="shared" si="81"/>
        <v>N0</v>
      </c>
      <c r="L1335" s="5" t="str">
        <f t="shared" si="83"/>
        <v>No</v>
      </c>
      <c r="M1335" s="5">
        <f t="shared" si="82"/>
        <v>0</v>
      </c>
    </row>
    <row r="1336" spans="1:13" x14ac:dyDescent="0.3">
      <c r="A1336" s="2" t="s">
        <v>3965</v>
      </c>
      <c r="B1336" s="2" t="s">
        <v>1485</v>
      </c>
      <c r="C1336" s="2" t="s">
        <v>2604</v>
      </c>
      <c r="D1336" s="3">
        <v>45865</v>
      </c>
      <c r="E1336" s="3">
        <v>45869</v>
      </c>
      <c r="F1336" s="3">
        <v>45869</v>
      </c>
      <c r="G1336" s="2" t="s">
        <v>2631</v>
      </c>
      <c r="H1336" s="2">
        <v>15</v>
      </c>
      <c r="I1336" s="2">
        <f>IFERROR(INDEX(Raw_Orders!H1336:H3764,MATCH(B1336,Raw_Orders!A1336:A3764,0)),0)</f>
        <v>15</v>
      </c>
      <c r="J1336" s="2" t="str">
        <f t="shared" si="80"/>
        <v>Yes</v>
      </c>
      <c r="K1336" s="2" t="str">
        <f t="shared" si="81"/>
        <v>Yes</v>
      </c>
      <c r="L1336" s="2" t="str">
        <f t="shared" si="83"/>
        <v>Yes</v>
      </c>
      <c r="M1336" s="2">
        <f t="shared" si="82"/>
        <v>1</v>
      </c>
    </row>
    <row r="1337" spans="1:13" x14ac:dyDescent="0.3">
      <c r="A1337" s="5" t="s">
        <v>3966</v>
      </c>
      <c r="B1337" s="5" t="s">
        <v>1486</v>
      </c>
      <c r="C1337" s="5" t="s">
        <v>2616</v>
      </c>
      <c r="D1337" s="6">
        <v>45866</v>
      </c>
      <c r="E1337" s="6">
        <v>45873</v>
      </c>
      <c r="F1337" s="6">
        <v>45881</v>
      </c>
      <c r="G1337" s="5" t="s">
        <v>2629</v>
      </c>
      <c r="H1337" s="5">
        <v>20</v>
      </c>
      <c r="I1337" s="5">
        <f>IFERROR(INDEX(Raw_Orders!H1337:H3765,MATCH(B1337,Raw_Orders!A1337:A3765,0)),0)</f>
        <v>21</v>
      </c>
      <c r="J1337" s="5" t="str">
        <f t="shared" si="80"/>
        <v>No</v>
      </c>
      <c r="K1337" s="5" t="str">
        <f t="shared" si="81"/>
        <v>N0</v>
      </c>
      <c r="L1337" s="5" t="str">
        <f t="shared" si="83"/>
        <v>No</v>
      </c>
      <c r="M1337" s="5">
        <f t="shared" si="82"/>
        <v>0</v>
      </c>
    </row>
    <row r="1338" spans="1:13" x14ac:dyDescent="0.3">
      <c r="A1338" s="2" t="s">
        <v>3967</v>
      </c>
      <c r="B1338" s="2" t="s">
        <v>1487</v>
      </c>
      <c r="C1338" s="2" t="s">
        <v>2606</v>
      </c>
      <c r="D1338" s="3">
        <v>45867</v>
      </c>
      <c r="E1338" s="3">
        <v>45874</v>
      </c>
      <c r="F1338" s="3">
        <v>45877</v>
      </c>
      <c r="G1338" s="2" t="s">
        <v>2633</v>
      </c>
      <c r="H1338" s="2">
        <v>36</v>
      </c>
      <c r="I1338" s="2">
        <f>IFERROR(INDEX(Raw_Orders!H1338:H3766,MATCH(B1338,Raw_Orders!A1338:A3766,0)),0)</f>
        <v>36</v>
      </c>
      <c r="J1338" s="2" t="str">
        <f t="shared" si="80"/>
        <v>No</v>
      </c>
      <c r="K1338" s="2" t="str">
        <f t="shared" si="81"/>
        <v>Yes</v>
      </c>
      <c r="L1338" s="2" t="str">
        <f t="shared" si="83"/>
        <v>No</v>
      </c>
      <c r="M1338" s="2">
        <f t="shared" si="82"/>
        <v>0</v>
      </c>
    </row>
    <row r="1339" spans="1:13" x14ac:dyDescent="0.3">
      <c r="A1339" s="5" t="s">
        <v>3968</v>
      </c>
      <c r="B1339" s="5" t="s">
        <v>1488</v>
      </c>
      <c r="C1339" s="5" t="s">
        <v>2598</v>
      </c>
      <c r="D1339" s="6">
        <v>45867</v>
      </c>
      <c r="E1339" s="6">
        <v>45872</v>
      </c>
      <c r="F1339" s="6">
        <v>45880</v>
      </c>
      <c r="G1339" s="5" t="s">
        <v>2633</v>
      </c>
      <c r="H1339" s="5">
        <v>39</v>
      </c>
      <c r="I1339" s="5">
        <f>IFERROR(INDEX(Raw_Orders!H1339:H3767,MATCH(B1339,Raw_Orders!A1339:A3767,0)),0)</f>
        <v>39</v>
      </c>
      <c r="J1339" s="5" t="str">
        <f t="shared" si="80"/>
        <v>No</v>
      </c>
      <c r="K1339" s="5" t="str">
        <f t="shared" si="81"/>
        <v>Yes</v>
      </c>
      <c r="L1339" s="5" t="str">
        <f t="shared" si="83"/>
        <v>No</v>
      </c>
      <c r="M1339" s="5">
        <f t="shared" si="82"/>
        <v>0</v>
      </c>
    </row>
    <row r="1340" spans="1:13" x14ac:dyDescent="0.3">
      <c r="A1340" s="2" t="s">
        <v>3969</v>
      </c>
      <c r="B1340" s="2" t="s">
        <v>1489</v>
      </c>
      <c r="C1340" s="2" t="s">
        <v>2598</v>
      </c>
      <c r="D1340" s="3">
        <v>45866</v>
      </c>
      <c r="E1340" s="3">
        <v>45873</v>
      </c>
      <c r="F1340" s="3">
        <v>45879</v>
      </c>
      <c r="G1340" s="2" t="s">
        <v>2641</v>
      </c>
      <c r="H1340" s="2">
        <v>20</v>
      </c>
      <c r="I1340" s="2">
        <f>IFERROR(INDEX(Raw_Orders!H1340:H3768,MATCH(B1340,Raw_Orders!A1340:A3768,0)),0)</f>
        <v>20</v>
      </c>
      <c r="J1340" s="2" t="str">
        <f t="shared" si="80"/>
        <v>No</v>
      </c>
      <c r="K1340" s="2" t="str">
        <f t="shared" si="81"/>
        <v>Yes</v>
      </c>
      <c r="L1340" s="2" t="str">
        <f t="shared" si="83"/>
        <v>No</v>
      </c>
      <c r="M1340" s="2">
        <f t="shared" si="82"/>
        <v>0</v>
      </c>
    </row>
    <row r="1341" spans="1:13" x14ac:dyDescent="0.3">
      <c r="A1341" s="5" t="s">
        <v>3970</v>
      </c>
      <c r="B1341" s="5" t="s">
        <v>1490</v>
      </c>
      <c r="C1341" s="5" t="s">
        <v>2601</v>
      </c>
      <c r="D1341" s="6">
        <v>45867</v>
      </c>
      <c r="E1341" s="6">
        <v>45873</v>
      </c>
      <c r="F1341" s="6">
        <v>45872</v>
      </c>
      <c r="G1341" s="5" t="s">
        <v>2629</v>
      </c>
      <c r="H1341" s="5">
        <v>10</v>
      </c>
      <c r="I1341" s="5">
        <f>IFERROR(INDEX(Raw_Orders!H1341:H3769,MATCH(B1341,Raw_Orders!A1341:A3769,0)),0)</f>
        <v>10</v>
      </c>
      <c r="J1341" s="5" t="str">
        <f t="shared" si="80"/>
        <v>Yes</v>
      </c>
      <c r="K1341" s="5" t="str">
        <f t="shared" si="81"/>
        <v>Yes</v>
      </c>
      <c r="L1341" s="5" t="str">
        <f t="shared" si="83"/>
        <v>Yes</v>
      </c>
      <c r="M1341" s="5">
        <f t="shared" si="82"/>
        <v>1</v>
      </c>
    </row>
    <row r="1342" spans="1:13" x14ac:dyDescent="0.3">
      <c r="A1342" s="2" t="s">
        <v>3971</v>
      </c>
      <c r="B1342" s="2" t="s">
        <v>1491</v>
      </c>
      <c r="C1342" s="2" t="s">
        <v>2601</v>
      </c>
      <c r="D1342" s="3">
        <v>45867</v>
      </c>
      <c r="E1342" s="3">
        <v>45876</v>
      </c>
      <c r="F1342" s="3">
        <v>45876</v>
      </c>
      <c r="G1342" s="2" t="s">
        <v>2629</v>
      </c>
      <c r="H1342" s="2">
        <v>16</v>
      </c>
      <c r="I1342" s="2">
        <f>IFERROR(INDEX(Raw_Orders!H1342:H3770,MATCH(B1342,Raw_Orders!A1342:A3770,0)),0)</f>
        <v>16</v>
      </c>
      <c r="J1342" s="2" t="str">
        <f t="shared" si="80"/>
        <v>Yes</v>
      </c>
      <c r="K1342" s="2" t="str">
        <f t="shared" si="81"/>
        <v>Yes</v>
      </c>
      <c r="L1342" s="2" t="str">
        <f t="shared" si="83"/>
        <v>Yes</v>
      </c>
      <c r="M1342" s="2">
        <f t="shared" si="82"/>
        <v>1</v>
      </c>
    </row>
    <row r="1343" spans="1:13" x14ac:dyDescent="0.3">
      <c r="A1343" s="5" t="s">
        <v>3972</v>
      </c>
      <c r="B1343" s="5" t="s">
        <v>1492</v>
      </c>
      <c r="C1343" s="5" t="s">
        <v>2616</v>
      </c>
      <c r="D1343" s="6">
        <v>45866</v>
      </c>
      <c r="E1343" s="6">
        <v>45874</v>
      </c>
      <c r="F1343" s="6">
        <v>45883</v>
      </c>
      <c r="G1343" s="5" t="s">
        <v>2629</v>
      </c>
      <c r="H1343" s="5">
        <v>19</v>
      </c>
      <c r="I1343" s="5">
        <f>IFERROR(INDEX(Raw_Orders!H1343:H3771,MATCH(B1343,Raw_Orders!A1343:A3771,0)),0)</f>
        <v>19</v>
      </c>
      <c r="J1343" s="5" t="str">
        <f t="shared" si="80"/>
        <v>No</v>
      </c>
      <c r="K1343" s="5" t="str">
        <f t="shared" si="81"/>
        <v>Yes</v>
      </c>
      <c r="L1343" s="5" t="str">
        <f t="shared" si="83"/>
        <v>No</v>
      </c>
      <c r="M1343" s="5">
        <f t="shared" si="82"/>
        <v>0</v>
      </c>
    </row>
    <row r="1344" spans="1:13" x14ac:dyDescent="0.3">
      <c r="A1344" s="2" t="s">
        <v>3973</v>
      </c>
      <c r="B1344" s="2" t="s">
        <v>1493</v>
      </c>
      <c r="C1344" s="2" t="s">
        <v>2606</v>
      </c>
      <c r="D1344" s="3">
        <v>45867</v>
      </c>
      <c r="E1344" s="3">
        <v>45871</v>
      </c>
      <c r="F1344" s="3">
        <v>45872</v>
      </c>
      <c r="G1344" s="2" t="s">
        <v>2641</v>
      </c>
      <c r="H1344" s="2">
        <v>24</v>
      </c>
      <c r="I1344" s="2">
        <f>IFERROR(INDEX(Raw_Orders!H1344:H3772,MATCH(B1344,Raw_Orders!A1344:A3772,0)),0)</f>
        <v>24</v>
      </c>
      <c r="J1344" s="2" t="str">
        <f t="shared" si="80"/>
        <v>No</v>
      </c>
      <c r="K1344" s="2" t="str">
        <f t="shared" si="81"/>
        <v>Yes</v>
      </c>
      <c r="L1344" s="2" t="str">
        <f t="shared" si="83"/>
        <v>No</v>
      </c>
      <c r="M1344" s="2">
        <f t="shared" si="82"/>
        <v>0</v>
      </c>
    </row>
    <row r="1345" spans="1:13" x14ac:dyDescent="0.3">
      <c r="A1345" s="5" t="s">
        <v>3974</v>
      </c>
      <c r="B1345" s="5" t="s">
        <v>1494</v>
      </c>
      <c r="C1345" s="5" t="s">
        <v>2608</v>
      </c>
      <c r="D1345" s="6">
        <v>45868</v>
      </c>
      <c r="E1345" s="6">
        <v>45871</v>
      </c>
      <c r="F1345" s="6">
        <v>45881</v>
      </c>
      <c r="G1345" s="5" t="s">
        <v>2633</v>
      </c>
      <c r="H1345" s="5">
        <v>1</v>
      </c>
      <c r="I1345" s="5">
        <f>IFERROR(INDEX(Raw_Orders!H1345:H3773,MATCH(B1345,Raw_Orders!A1345:A3773,0)),0)</f>
        <v>5</v>
      </c>
      <c r="J1345" s="5" t="str">
        <f t="shared" si="80"/>
        <v>No</v>
      </c>
      <c r="K1345" s="5" t="str">
        <f t="shared" si="81"/>
        <v>N0</v>
      </c>
      <c r="L1345" s="5" t="str">
        <f t="shared" si="83"/>
        <v>No</v>
      </c>
      <c r="M1345" s="5">
        <f t="shared" si="82"/>
        <v>0</v>
      </c>
    </row>
    <row r="1346" spans="1:13" x14ac:dyDescent="0.3">
      <c r="A1346" s="2" t="s">
        <v>3975</v>
      </c>
      <c r="B1346" s="2" t="s">
        <v>1495</v>
      </c>
      <c r="C1346" s="2" t="s">
        <v>2608</v>
      </c>
      <c r="D1346" s="3">
        <v>45868</v>
      </c>
      <c r="E1346" s="3">
        <v>45875</v>
      </c>
      <c r="F1346" s="3">
        <v>45882</v>
      </c>
      <c r="G1346" s="2" t="s">
        <v>2627</v>
      </c>
      <c r="H1346" s="2">
        <v>1</v>
      </c>
      <c r="I1346" s="2">
        <f>IFERROR(INDEX(Raw_Orders!H1346:H3774,MATCH(B1346,Raw_Orders!A1346:A3774,0)),0)</f>
        <v>3</v>
      </c>
      <c r="J1346" s="2" t="str">
        <f t="shared" si="80"/>
        <v>No</v>
      </c>
      <c r="K1346" s="2" t="str">
        <f t="shared" si="81"/>
        <v>N0</v>
      </c>
      <c r="L1346" s="2" t="str">
        <f t="shared" si="83"/>
        <v>No</v>
      </c>
      <c r="M1346" s="2">
        <f t="shared" si="82"/>
        <v>0</v>
      </c>
    </row>
    <row r="1347" spans="1:13" x14ac:dyDescent="0.3">
      <c r="A1347" s="5" t="s">
        <v>3976</v>
      </c>
      <c r="B1347" s="5" t="s">
        <v>1496</v>
      </c>
      <c r="C1347" s="5" t="s">
        <v>2598</v>
      </c>
      <c r="D1347" s="6">
        <v>45868</v>
      </c>
      <c r="E1347" s="6">
        <v>45873</v>
      </c>
      <c r="F1347" s="6">
        <v>45880</v>
      </c>
      <c r="G1347" s="5" t="s">
        <v>2633</v>
      </c>
      <c r="H1347" s="5">
        <v>1</v>
      </c>
      <c r="I1347" s="5">
        <f>IFERROR(INDEX(Raw_Orders!H1347:H3775,MATCH(B1347,Raw_Orders!A1347:A3775,0)),0)</f>
        <v>1</v>
      </c>
      <c r="J1347" s="5" t="str">
        <f t="shared" ref="J1347:J1410" si="84">IF(E1347&gt;=F1347,"Yes","No")</f>
        <v>No</v>
      </c>
      <c r="K1347" s="5" t="str">
        <f t="shared" ref="K1347:K1410" si="85">IF(H1347&gt;=I1347,"Yes","N0")</f>
        <v>Yes</v>
      </c>
      <c r="L1347" s="5" t="str">
        <f t="shared" si="83"/>
        <v>No</v>
      </c>
      <c r="M1347" s="5">
        <f t="shared" ref="M1347:M1410" si="86">IF(L1347="Yes",1,0)</f>
        <v>0</v>
      </c>
    </row>
    <row r="1348" spans="1:13" x14ac:dyDescent="0.3">
      <c r="A1348" s="2" t="s">
        <v>3977</v>
      </c>
      <c r="B1348" s="2" t="s">
        <v>1497</v>
      </c>
      <c r="C1348" s="2" t="s">
        <v>2598</v>
      </c>
      <c r="D1348" s="3">
        <v>45868</v>
      </c>
      <c r="E1348" s="3">
        <v>45870</v>
      </c>
      <c r="F1348" s="3">
        <v>45883</v>
      </c>
      <c r="G1348" s="2" t="s">
        <v>2627</v>
      </c>
      <c r="H1348" s="2">
        <v>12</v>
      </c>
      <c r="I1348" s="2">
        <f>IFERROR(INDEX(Raw_Orders!H1348:H3776,MATCH(B1348,Raw_Orders!A1348:A3776,0)),0)</f>
        <v>12</v>
      </c>
      <c r="J1348" s="2" t="str">
        <f t="shared" si="84"/>
        <v>No</v>
      </c>
      <c r="K1348" s="2" t="str">
        <f t="shared" si="85"/>
        <v>Yes</v>
      </c>
      <c r="L1348" s="2" t="str">
        <f t="shared" ref="L1348:L1411" si="87">IF(AND(J1348="Yes",K1348="Yes"),"Yes","No")</f>
        <v>No</v>
      </c>
      <c r="M1348" s="2">
        <f t="shared" si="86"/>
        <v>0</v>
      </c>
    </row>
    <row r="1349" spans="1:13" x14ac:dyDescent="0.3">
      <c r="A1349" s="5" t="s">
        <v>3978</v>
      </c>
      <c r="B1349" s="5" t="s">
        <v>1498</v>
      </c>
      <c r="C1349" s="5" t="s">
        <v>2614</v>
      </c>
      <c r="D1349" s="6">
        <v>45867</v>
      </c>
      <c r="E1349" s="6">
        <v>45872</v>
      </c>
      <c r="F1349" s="6">
        <v>45881</v>
      </c>
      <c r="G1349" s="5" t="s">
        <v>2641</v>
      </c>
      <c r="H1349" s="5">
        <v>17</v>
      </c>
      <c r="I1349" s="5">
        <f>IFERROR(INDEX(Raw_Orders!H1349:H3777,MATCH(B1349,Raw_Orders!A1349:A3777,0)),0)</f>
        <v>21</v>
      </c>
      <c r="J1349" s="5" t="str">
        <f t="shared" si="84"/>
        <v>No</v>
      </c>
      <c r="K1349" s="5" t="str">
        <f t="shared" si="85"/>
        <v>N0</v>
      </c>
      <c r="L1349" s="5" t="str">
        <f t="shared" si="87"/>
        <v>No</v>
      </c>
      <c r="M1349" s="5">
        <f t="shared" si="86"/>
        <v>0</v>
      </c>
    </row>
    <row r="1350" spans="1:13" x14ac:dyDescent="0.3">
      <c r="A1350" s="2" t="s">
        <v>3979</v>
      </c>
      <c r="B1350" s="2" t="s">
        <v>1499</v>
      </c>
      <c r="C1350" s="2" t="s">
        <v>2601</v>
      </c>
      <c r="D1350" s="3">
        <v>45869</v>
      </c>
      <c r="E1350" s="3">
        <v>45873</v>
      </c>
      <c r="F1350" s="3">
        <v>45876</v>
      </c>
      <c r="G1350" s="2" t="s">
        <v>2633</v>
      </c>
      <c r="H1350" s="2">
        <v>27</v>
      </c>
      <c r="I1350" s="2">
        <f>IFERROR(INDEX(Raw_Orders!H1350:H3778,MATCH(B1350,Raw_Orders!A1350:A3778,0)),0)</f>
        <v>31</v>
      </c>
      <c r="J1350" s="2" t="str">
        <f t="shared" si="84"/>
        <v>No</v>
      </c>
      <c r="K1350" s="2" t="str">
        <f t="shared" si="85"/>
        <v>N0</v>
      </c>
      <c r="L1350" s="2" t="str">
        <f t="shared" si="87"/>
        <v>No</v>
      </c>
      <c r="M1350" s="2">
        <f t="shared" si="86"/>
        <v>0</v>
      </c>
    </row>
    <row r="1351" spans="1:13" x14ac:dyDescent="0.3">
      <c r="A1351" s="5" t="s">
        <v>3980</v>
      </c>
      <c r="B1351" s="5" t="s">
        <v>1500</v>
      </c>
      <c r="C1351" s="5" t="s">
        <v>2614</v>
      </c>
      <c r="D1351" s="6">
        <v>45868</v>
      </c>
      <c r="E1351" s="6">
        <v>45871</v>
      </c>
      <c r="F1351" s="6">
        <v>45883</v>
      </c>
      <c r="G1351" s="5" t="s">
        <v>2641</v>
      </c>
      <c r="H1351" s="5">
        <v>16</v>
      </c>
      <c r="I1351" s="5">
        <f>IFERROR(INDEX(Raw_Orders!H1351:H3779,MATCH(B1351,Raw_Orders!A1351:A3779,0)),0)</f>
        <v>16</v>
      </c>
      <c r="J1351" s="5" t="str">
        <f t="shared" si="84"/>
        <v>No</v>
      </c>
      <c r="K1351" s="5" t="str">
        <f t="shared" si="85"/>
        <v>Yes</v>
      </c>
      <c r="L1351" s="5" t="str">
        <f t="shared" si="87"/>
        <v>No</v>
      </c>
      <c r="M1351" s="5">
        <f t="shared" si="86"/>
        <v>0</v>
      </c>
    </row>
    <row r="1352" spans="1:13" x14ac:dyDescent="0.3">
      <c r="A1352" s="2" t="s">
        <v>3981</v>
      </c>
      <c r="B1352" s="2" t="s">
        <v>1501</v>
      </c>
      <c r="C1352" s="2" t="s">
        <v>2616</v>
      </c>
      <c r="D1352" s="3">
        <v>45868</v>
      </c>
      <c r="E1352" s="3">
        <v>45872</v>
      </c>
      <c r="F1352" s="3">
        <v>45884</v>
      </c>
      <c r="G1352" s="2" t="s">
        <v>2627</v>
      </c>
      <c r="H1352" s="2">
        <v>21</v>
      </c>
      <c r="I1352" s="2">
        <f>IFERROR(INDEX(Raw_Orders!H1352:H3780,MATCH(B1352,Raw_Orders!A1352:A3780,0)),0)</f>
        <v>21</v>
      </c>
      <c r="J1352" s="2" t="str">
        <f t="shared" si="84"/>
        <v>No</v>
      </c>
      <c r="K1352" s="2" t="str">
        <f t="shared" si="85"/>
        <v>Yes</v>
      </c>
      <c r="L1352" s="2" t="str">
        <f t="shared" si="87"/>
        <v>No</v>
      </c>
      <c r="M1352" s="2">
        <f t="shared" si="86"/>
        <v>0</v>
      </c>
    </row>
    <row r="1353" spans="1:13" x14ac:dyDescent="0.3">
      <c r="A1353" s="5" t="s">
        <v>3982</v>
      </c>
      <c r="B1353" s="5" t="s">
        <v>1502</v>
      </c>
      <c r="C1353" s="5" t="s">
        <v>2616</v>
      </c>
      <c r="D1353" s="6">
        <v>45867</v>
      </c>
      <c r="E1353" s="6">
        <v>45877</v>
      </c>
      <c r="F1353" s="6">
        <v>45882</v>
      </c>
      <c r="G1353" s="5" t="s">
        <v>2631</v>
      </c>
      <c r="H1353" s="5">
        <v>38</v>
      </c>
      <c r="I1353" s="5">
        <f>IFERROR(INDEX(Raw_Orders!H1353:H3781,MATCH(B1353,Raw_Orders!A1353:A3781,0)),0)</f>
        <v>38</v>
      </c>
      <c r="J1353" s="5" t="str">
        <f t="shared" si="84"/>
        <v>No</v>
      </c>
      <c r="K1353" s="5" t="str">
        <f t="shared" si="85"/>
        <v>Yes</v>
      </c>
      <c r="L1353" s="5" t="str">
        <f t="shared" si="87"/>
        <v>No</v>
      </c>
      <c r="M1353" s="5">
        <f t="shared" si="86"/>
        <v>0</v>
      </c>
    </row>
    <row r="1354" spans="1:13" x14ac:dyDescent="0.3">
      <c r="A1354" s="2" t="s">
        <v>3983</v>
      </c>
      <c r="B1354" s="2" t="s">
        <v>1503</v>
      </c>
      <c r="C1354" s="2" t="s">
        <v>2604</v>
      </c>
      <c r="D1354" s="3">
        <v>45869</v>
      </c>
      <c r="E1354" s="3">
        <v>45876</v>
      </c>
      <c r="F1354" s="3">
        <v>45877</v>
      </c>
      <c r="G1354" s="2" t="s">
        <v>2627</v>
      </c>
      <c r="H1354" s="2">
        <v>13</v>
      </c>
      <c r="I1354" s="2">
        <f>IFERROR(INDEX(Raw_Orders!H1354:H3782,MATCH(B1354,Raw_Orders!A1354:A3782,0)),0)</f>
        <v>13</v>
      </c>
      <c r="J1354" s="2" t="str">
        <f t="shared" si="84"/>
        <v>No</v>
      </c>
      <c r="K1354" s="2" t="str">
        <f t="shared" si="85"/>
        <v>Yes</v>
      </c>
      <c r="L1354" s="2" t="str">
        <f t="shared" si="87"/>
        <v>No</v>
      </c>
      <c r="M1354" s="2">
        <f t="shared" si="86"/>
        <v>0</v>
      </c>
    </row>
    <row r="1355" spans="1:13" x14ac:dyDescent="0.3">
      <c r="A1355" s="5" t="s">
        <v>3984</v>
      </c>
      <c r="B1355" s="5" t="s">
        <v>1504</v>
      </c>
      <c r="C1355" s="5" t="s">
        <v>2606</v>
      </c>
      <c r="D1355" s="6">
        <v>45869</v>
      </c>
      <c r="E1355" s="6">
        <v>45871</v>
      </c>
      <c r="F1355" s="6">
        <v>45875</v>
      </c>
      <c r="G1355" s="5" t="s">
        <v>2633</v>
      </c>
      <c r="H1355" s="5">
        <v>37</v>
      </c>
      <c r="I1355" s="5">
        <f>IFERROR(INDEX(Raw_Orders!H1355:H3783,MATCH(B1355,Raw_Orders!A1355:A3783,0)),0)</f>
        <v>37</v>
      </c>
      <c r="J1355" s="5" t="str">
        <f t="shared" si="84"/>
        <v>No</v>
      </c>
      <c r="K1355" s="5" t="str">
        <f t="shared" si="85"/>
        <v>Yes</v>
      </c>
      <c r="L1355" s="5" t="str">
        <f t="shared" si="87"/>
        <v>No</v>
      </c>
      <c r="M1355" s="5">
        <f t="shared" si="86"/>
        <v>0</v>
      </c>
    </row>
    <row r="1356" spans="1:13" x14ac:dyDescent="0.3">
      <c r="A1356" s="2" t="s">
        <v>3985</v>
      </c>
      <c r="B1356" s="2" t="s">
        <v>1505</v>
      </c>
      <c r="C1356" s="2" t="s">
        <v>2608</v>
      </c>
      <c r="D1356" s="3">
        <v>45869</v>
      </c>
      <c r="E1356" s="3">
        <v>45871</v>
      </c>
      <c r="F1356" s="3">
        <v>45882</v>
      </c>
      <c r="G1356" s="2" t="s">
        <v>2629</v>
      </c>
      <c r="H1356" s="2">
        <v>7</v>
      </c>
      <c r="I1356" s="2">
        <f>IFERROR(INDEX(Raw_Orders!H1356:H3784,MATCH(B1356,Raw_Orders!A1356:A3784,0)),0)</f>
        <v>7</v>
      </c>
      <c r="J1356" s="2" t="str">
        <f t="shared" si="84"/>
        <v>No</v>
      </c>
      <c r="K1356" s="2" t="str">
        <f t="shared" si="85"/>
        <v>Yes</v>
      </c>
      <c r="L1356" s="2" t="str">
        <f t="shared" si="87"/>
        <v>No</v>
      </c>
      <c r="M1356" s="2">
        <f t="shared" si="86"/>
        <v>0</v>
      </c>
    </row>
    <row r="1357" spans="1:13" x14ac:dyDescent="0.3">
      <c r="A1357" s="5" t="s">
        <v>3986</v>
      </c>
      <c r="B1357" s="5" t="s">
        <v>1506</v>
      </c>
      <c r="C1357" s="5" t="s">
        <v>2611</v>
      </c>
      <c r="D1357" s="6">
        <v>45870</v>
      </c>
      <c r="E1357" s="6">
        <v>45878</v>
      </c>
      <c r="F1357" s="6">
        <v>45877</v>
      </c>
      <c r="G1357" s="5" t="s">
        <v>2641</v>
      </c>
      <c r="H1357" s="5">
        <v>15</v>
      </c>
      <c r="I1357" s="5">
        <f>IFERROR(INDEX(Raw_Orders!H1357:H3785,MATCH(B1357,Raw_Orders!A1357:A3785,0)),0)</f>
        <v>15</v>
      </c>
      <c r="J1357" s="5" t="str">
        <f t="shared" si="84"/>
        <v>Yes</v>
      </c>
      <c r="K1357" s="5" t="str">
        <f t="shared" si="85"/>
        <v>Yes</v>
      </c>
      <c r="L1357" s="5" t="str">
        <f t="shared" si="87"/>
        <v>Yes</v>
      </c>
      <c r="M1357" s="5">
        <f t="shared" si="86"/>
        <v>1</v>
      </c>
    </row>
    <row r="1358" spans="1:13" x14ac:dyDescent="0.3">
      <c r="A1358" s="2" t="s">
        <v>3987</v>
      </c>
      <c r="B1358" s="2" t="s">
        <v>1507</v>
      </c>
      <c r="C1358" s="2" t="s">
        <v>2601</v>
      </c>
      <c r="D1358" s="3">
        <v>45868</v>
      </c>
      <c r="E1358" s="3">
        <v>45874</v>
      </c>
      <c r="F1358" s="3">
        <v>45877</v>
      </c>
      <c r="G1358" s="2" t="s">
        <v>2627</v>
      </c>
      <c r="H1358" s="2">
        <v>11</v>
      </c>
      <c r="I1358" s="2">
        <f>IFERROR(INDEX(Raw_Orders!H1358:H3786,MATCH(B1358,Raw_Orders!A1358:A3786,0)),0)</f>
        <v>18</v>
      </c>
      <c r="J1358" s="2" t="str">
        <f t="shared" si="84"/>
        <v>No</v>
      </c>
      <c r="K1358" s="2" t="str">
        <f t="shared" si="85"/>
        <v>N0</v>
      </c>
      <c r="L1358" s="2" t="str">
        <f t="shared" si="87"/>
        <v>No</v>
      </c>
      <c r="M1358" s="2">
        <f t="shared" si="86"/>
        <v>0</v>
      </c>
    </row>
    <row r="1359" spans="1:13" x14ac:dyDescent="0.3">
      <c r="A1359" s="5" t="s">
        <v>3988</v>
      </c>
      <c r="B1359" s="5" t="s">
        <v>1508</v>
      </c>
      <c r="C1359" s="5" t="s">
        <v>2601</v>
      </c>
      <c r="D1359" s="6">
        <v>45869</v>
      </c>
      <c r="E1359" s="6">
        <v>45872</v>
      </c>
      <c r="F1359" s="6">
        <v>45878</v>
      </c>
      <c r="G1359" s="5" t="s">
        <v>2633</v>
      </c>
      <c r="H1359" s="5">
        <v>32</v>
      </c>
      <c r="I1359" s="5">
        <f>IFERROR(INDEX(Raw_Orders!H1359:H3787,MATCH(B1359,Raw_Orders!A1359:A3787,0)),0)</f>
        <v>32</v>
      </c>
      <c r="J1359" s="5" t="str">
        <f t="shared" si="84"/>
        <v>No</v>
      </c>
      <c r="K1359" s="5" t="str">
        <f t="shared" si="85"/>
        <v>Yes</v>
      </c>
      <c r="L1359" s="5" t="str">
        <f t="shared" si="87"/>
        <v>No</v>
      </c>
      <c r="M1359" s="5">
        <f t="shared" si="86"/>
        <v>0</v>
      </c>
    </row>
    <row r="1360" spans="1:13" x14ac:dyDescent="0.3">
      <c r="A1360" s="2" t="s">
        <v>3989</v>
      </c>
      <c r="B1360" s="2" t="s">
        <v>1509</v>
      </c>
      <c r="C1360" s="2" t="s">
        <v>2601</v>
      </c>
      <c r="D1360" s="3">
        <v>45869</v>
      </c>
      <c r="E1360" s="3">
        <v>45875</v>
      </c>
      <c r="F1360" s="3">
        <v>45874</v>
      </c>
      <c r="G1360" s="2" t="s">
        <v>2627</v>
      </c>
      <c r="H1360" s="2">
        <v>21</v>
      </c>
      <c r="I1360" s="2">
        <f>IFERROR(INDEX(Raw_Orders!H1360:H3788,MATCH(B1360,Raw_Orders!A1360:A3788,0)),0)</f>
        <v>21</v>
      </c>
      <c r="J1360" s="2" t="str">
        <f t="shared" si="84"/>
        <v>Yes</v>
      </c>
      <c r="K1360" s="2" t="str">
        <f t="shared" si="85"/>
        <v>Yes</v>
      </c>
      <c r="L1360" s="2" t="str">
        <f t="shared" si="87"/>
        <v>Yes</v>
      </c>
      <c r="M1360" s="2">
        <f t="shared" si="86"/>
        <v>1</v>
      </c>
    </row>
    <row r="1361" spans="1:13" x14ac:dyDescent="0.3">
      <c r="A1361" s="5" t="s">
        <v>3990</v>
      </c>
      <c r="B1361" s="5" t="s">
        <v>1510</v>
      </c>
      <c r="C1361" s="5" t="s">
        <v>2616</v>
      </c>
      <c r="D1361" s="6">
        <v>45869</v>
      </c>
      <c r="E1361" s="6">
        <v>45872</v>
      </c>
      <c r="F1361" s="6">
        <v>45883</v>
      </c>
      <c r="G1361" s="5" t="s">
        <v>2627</v>
      </c>
      <c r="H1361" s="5">
        <v>13</v>
      </c>
      <c r="I1361" s="5">
        <f>IFERROR(INDEX(Raw_Orders!H1361:H3789,MATCH(B1361,Raw_Orders!A1361:A3789,0)),0)</f>
        <v>13</v>
      </c>
      <c r="J1361" s="5" t="str">
        <f t="shared" si="84"/>
        <v>No</v>
      </c>
      <c r="K1361" s="5" t="str">
        <f t="shared" si="85"/>
        <v>Yes</v>
      </c>
      <c r="L1361" s="5" t="str">
        <f t="shared" si="87"/>
        <v>No</v>
      </c>
      <c r="M1361" s="5">
        <f t="shared" si="86"/>
        <v>0</v>
      </c>
    </row>
    <row r="1362" spans="1:13" x14ac:dyDescent="0.3">
      <c r="A1362" s="2" t="s">
        <v>3991</v>
      </c>
      <c r="B1362" s="2" t="s">
        <v>1511</v>
      </c>
      <c r="C1362" s="2" t="s">
        <v>2616</v>
      </c>
      <c r="D1362" s="3">
        <v>45870</v>
      </c>
      <c r="E1362" s="3">
        <v>45878</v>
      </c>
      <c r="F1362" s="3">
        <v>45886</v>
      </c>
      <c r="G1362" s="2" t="s">
        <v>2631</v>
      </c>
      <c r="H1362" s="2">
        <v>36</v>
      </c>
      <c r="I1362" s="2">
        <f>IFERROR(INDEX(Raw_Orders!H1362:H3790,MATCH(B1362,Raw_Orders!A1362:A3790,0)),0)</f>
        <v>36</v>
      </c>
      <c r="J1362" s="2" t="str">
        <f t="shared" si="84"/>
        <v>No</v>
      </c>
      <c r="K1362" s="2" t="str">
        <f t="shared" si="85"/>
        <v>Yes</v>
      </c>
      <c r="L1362" s="2" t="str">
        <f t="shared" si="87"/>
        <v>No</v>
      </c>
      <c r="M1362" s="2">
        <f t="shared" si="86"/>
        <v>0</v>
      </c>
    </row>
    <row r="1363" spans="1:13" x14ac:dyDescent="0.3">
      <c r="A1363" s="5" t="s">
        <v>3992</v>
      </c>
      <c r="B1363" s="5" t="s">
        <v>1512</v>
      </c>
      <c r="C1363" s="5" t="s">
        <v>2606</v>
      </c>
      <c r="D1363" s="6">
        <v>45869</v>
      </c>
      <c r="E1363" s="6">
        <v>45872</v>
      </c>
      <c r="F1363" s="6">
        <v>45877</v>
      </c>
      <c r="G1363" s="5" t="s">
        <v>2629</v>
      </c>
      <c r="H1363" s="5">
        <v>25</v>
      </c>
      <c r="I1363" s="5">
        <f>IFERROR(INDEX(Raw_Orders!H1363:H3791,MATCH(B1363,Raw_Orders!A1363:A3791,0)),0)</f>
        <v>25</v>
      </c>
      <c r="J1363" s="5" t="str">
        <f t="shared" si="84"/>
        <v>No</v>
      </c>
      <c r="K1363" s="5" t="str">
        <f t="shared" si="85"/>
        <v>Yes</v>
      </c>
      <c r="L1363" s="5" t="str">
        <f t="shared" si="87"/>
        <v>No</v>
      </c>
      <c r="M1363" s="5">
        <f t="shared" si="86"/>
        <v>0</v>
      </c>
    </row>
    <row r="1364" spans="1:13" x14ac:dyDescent="0.3">
      <c r="A1364" s="2" t="s">
        <v>3993</v>
      </c>
      <c r="B1364" s="2" t="s">
        <v>1513</v>
      </c>
      <c r="C1364" s="2" t="s">
        <v>2606</v>
      </c>
      <c r="D1364" s="3">
        <v>45869</v>
      </c>
      <c r="E1364" s="3">
        <v>45871</v>
      </c>
      <c r="F1364" s="3">
        <v>45879</v>
      </c>
      <c r="G1364" s="2" t="s">
        <v>2629</v>
      </c>
      <c r="H1364" s="2">
        <v>22</v>
      </c>
      <c r="I1364" s="2">
        <f>IFERROR(INDEX(Raw_Orders!H1364:H3792,MATCH(B1364,Raw_Orders!A1364:A3792,0)),0)</f>
        <v>27</v>
      </c>
      <c r="J1364" s="2" t="str">
        <f t="shared" si="84"/>
        <v>No</v>
      </c>
      <c r="K1364" s="2" t="str">
        <f t="shared" si="85"/>
        <v>N0</v>
      </c>
      <c r="L1364" s="2" t="str">
        <f t="shared" si="87"/>
        <v>No</v>
      </c>
      <c r="M1364" s="2">
        <f t="shared" si="86"/>
        <v>0</v>
      </c>
    </row>
    <row r="1365" spans="1:13" x14ac:dyDescent="0.3">
      <c r="A1365" s="5" t="s">
        <v>3994</v>
      </c>
      <c r="B1365" s="5" t="s">
        <v>1514</v>
      </c>
      <c r="C1365" s="5" t="s">
        <v>2608</v>
      </c>
      <c r="D1365" s="6">
        <v>45868</v>
      </c>
      <c r="E1365" s="6">
        <v>45875</v>
      </c>
      <c r="F1365" s="6">
        <v>45883</v>
      </c>
      <c r="G1365" s="5" t="s">
        <v>2641</v>
      </c>
      <c r="H1365" s="5">
        <v>28</v>
      </c>
      <c r="I1365" s="5">
        <f>IFERROR(INDEX(Raw_Orders!H1365:H3793,MATCH(B1365,Raw_Orders!A1365:A3793,0)),0)</f>
        <v>28</v>
      </c>
      <c r="J1365" s="5" t="str">
        <f t="shared" si="84"/>
        <v>No</v>
      </c>
      <c r="K1365" s="5" t="str">
        <f t="shared" si="85"/>
        <v>Yes</v>
      </c>
      <c r="L1365" s="5" t="str">
        <f t="shared" si="87"/>
        <v>No</v>
      </c>
      <c r="M1365" s="5">
        <f t="shared" si="86"/>
        <v>0</v>
      </c>
    </row>
    <row r="1366" spans="1:13" x14ac:dyDescent="0.3">
      <c r="A1366" s="2" t="s">
        <v>3995</v>
      </c>
      <c r="B1366" s="2" t="s">
        <v>1515</v>
      </c>
      <c r="C1366" s="2" t="s">
        <v>2608</v>
      </c>
      <c r="D1366" s="3">
        <v>45869</v>
      </c>
      <c r="E1366" s="3">
        <v>45873</v>
      </c>
      <c r="F1366" s="3">
        <v>45882</v>
      </c>
      <c r="G1366" s="2" t="s">
        <v>2627</v>
      </c>
      <c r="H1366" s="2">
        <v>7</v>
      </c>
      <c r="I1366" s="2">
        <f>IFERROR(INDEX(Raw_Orders!H1366:H3794,MATCH(B1366,Raw_Orders!A1366:A3794,0)),0)</f>
        <v>7</v>
      </c>
      <c r="J1366" s="2" t="str">
        <f t="shared" si="84"/>
        <v>No</v>
      </c>
      <c r="K1366" s="2" t="str">
        <f t="shared" si="85"/>
        <v>Yes</v>
      </c>
      <c r="L1366" s="2" t="str">
        <f t="shared" si="87"/>
        <v>No</v>
      </c>
      <c r="M1366" s="2">
        <f t="shared" si="86"/>
        <v>0</v>
      </c>
    </row>
    <row r="1367" spans="1:13" x14ac:dyDescent="0.3">
      <c r="A1367" s="5" t="s">
        <v>3996</v>
      </c>
      <c r="B1367" s="5" t="s">
        <v>1516</v>
      </c>
      <c r="C1367" s="5" t="s">
        <v>2608</v>
      </c>
      <c r="D1367" s="6">
        <v>45868</v>
      </c>
      <c r="E1367" s="6">
        <v>45871</v>
      </c>
      <c r="F1367" s="6">
        <v>45885</v>
      </c>
      <c r="G1367" s="5" t="s">
        <v>2641</v>
      </c>
      <c r="H1367" s="5">
        <v>10</v>
      </c>
      <c r="I1367" s="5">
        <f>IFERROR(INDEX(Raw_Orders!H1367:H3795,MATCH(B1367,Raw_Orders!A1367:A3795,0)),0)</f>
        <v>10</v>
      </c>
      <c r="J1367" s="5" t="str">
        <f t="shared" si="84"/>
        <v>No</v>
      </c>
      <c r="K1367" s="5" t="str">
        <f t="shared" si="85"/>
        <v>Yes</v>
      </c>
      <c r="L1367" s="5" t="str">
        <f t="shared" si="87"/>
        <v>No</v>
      </c>
      <c r="M1367" s="5">
        <f t="shared" si="86"/>
        <v>0</v>
      </c>
    </row>
    <row r="1368" spans="1:13" x14ac:dyDescent="0.3">
      <c r="A1368" s="2" t="s">
        <v>3997</v>
      </c>
      <c r="B1368" s="2" t="s">
        <v>1517</v>
      </c>
      <c r="C1368" s="2" t="s">
        <v>2598</v>
      </c>
      <c r="D1368" s="3">
        <v>45869</v>
      </c>
      <c r="E1368" s="3">
        <v>45877</v>
      </c>
      <c r="F1368" s="3">
        <v>45882</v>
      </c>
      <c r="G1368" s="2" t="s">
        <v>2633</v>
      </c>
      <c r="H1368" s="2">
        <v>9</v>
      </c>
      <c r="I1368" s="2">
        <f>IFERROR(INDEX(Raw_Orders!H1368:H3796,MATCH(B1368,Raw_Orders!A1368:A3796,0)),0)</f>
        <v>9</v>
      </c>
      <c r="J1368" s="2" t="str">
        <f t="shared" si="84"/>
        <v>No</v>
      </c>
      <c r="K1368" s="2" t="str">
        <f t="shared" si="85"/>
        <v>Yes</v>
      </c>
      <c r="L1368" s="2" t="str">
        <f t="shared" si="87"/>
        <v>No</v>
      </c>
      <c r="M1368" s="2">
        <f t="shared" si="86"/>
        <v>0</v>
      </c>
    </row>
    <row r="1369" spans="1:13" x14ac:dyDescent="0.3">
      <c r="A1369" s="5" t="s">
        <v>3998</v>
      </c>
      <c r="B1369" s="5" t="s">
        <v>1518</v>
      </c>
      <c r="C1369" s="5" t="s">
        <v>2601</v>
      </c>
      <c r="D1369" s="6">
        <v>45871</v>
      </c>
      <c r="E1369" s="6">
        <v>45872</v>
      </c>
      <c r="F1369" s="6">
        <v>45876</v>
      </c>
      <c r="G1369" s="5" t="s">
        <v>2629</v>
      </c>
      <c r="H1369" s="5">
        <v>20</v>
      </c>
      <c r="I1369" s="5">
        <f>IFERROR(INDEX(Raw_Orders!H1369:H3797,MATCH(B1369,Raw_Orders!A1369:A3797,0)),0)</f>
        <v>20</v>
      </c>
      <c r="J1369" s="5" t="str">
        <f t="shared" si="84"/>
        <v>No</v>
      </c>
      <c r="K1369" s="5" t="str">
        <f t="shared" si="85"/>
        <v>Yes</v>
      </c>
      <c r="L1369" s="5" t="str">
        <f t="shared" si="87"/>
        <v>No</v>
      </c>
      <c r="M1369" s="5">
        <f t="shared" si="86"/>
        <v>0</v>
      </c>
    </row>
    <row r="1370" spans="1:13" x14ac:dyDescent="0.3">
      <c r="A1370" s="2" t="s">
        <v>3999</v>
      </c>
      <c r="B1370" s="2" t="s">
        <v>1519</v>
      </c>
      <c r="C1370" s="2" t="s">
        <v>2601</v>
      </c>
      <c r="D1370" s="3">
        <v>45870</v>
      </c>
      <c r="E1370" s="3">
        <v>45875</v>
      </c>
      <c r="F1370" s="3">
        <v>45875</v>
      </c>
      <c r="G1370" s="2" t="s">
        <v>2641</v>
      </c>
      <c r="H1370" s="2">
        <v>13</v>
      </c>
      <c r="I1370" s="2">
        <f>IFERROR(INDEX(Raw_Orders!H1370:H3798,MATCH(B1370,Raw_Orders!A1370:A3798,0)),0)</f>
        <v>20</v>
      </c>
      <c r="J1370" s="2" t="str">
        <f t="shared" si="84"/>
        <v>Yes</v>
      </c>
      <c r="K1370" s="2" t="str">
        <f t="shared" si="85"/>
        <v>N0</v>
      </c>
      <c r="L1370" s="2" t="str">
        <f t="shared" si="87"/>
        <v>No</v>
      </c>
      <c r="M1370" s="2">
        <f t="shared" si="86"/>
        <v>0</v>
      </c>
    </row>
    <row r="1371" spans="1:13" x14ac:dyDescent="0.3">
      <c r="A1371" s="5" t="s">
        <v>4000</v>
      </c>
      <c r="B1371" s="5" t="s">
        <v>1520</v>
      </c>
      <c r="C1371" s="5" t="s">
        <v>2616</v>
      </c>
      <c r="D1371" s="6">
        <v>45869</v>
      </c>
      <c r="E1371" s="6">
        <v>45878</v>
      </c>
      <c r="F1371" s="6">
        <v>45886</v>
      </c>
      <c r="G1371" s="5" t="s">
        <v>2641</v>
      </c>
      <c r="H1371" s="5">
        <v>1</v>
      </c>
      <c r="I1371" s="5">
        <f>IFERROR(INDEX(Raw_Orders!H1371:H3799,MATCH(B1371,Raw_Orders!A1371:A3799,0)),0)</f>
        <v>3</v>
      </c>
      <c r="J1371" s="5" t="str">
        <f t="shared" si="84"/>
        <v>No</v>
      </c>
      <c r="K1371" s="5" t="str">
        <f t="shared" si="85"/>
        <v>N0</v>
      </c>
      <c r="L1371" s="5" t="str">
        <f t="shared" si="87"/>
        <v>No</v>
      </c>
      <c r="M1371" s="5">
        <f t="shared" si="86"/>
        <v>0</v>
      </c>
    </row>
    <row r="1372" spans="1:13" x14ac:dyDescent="0.3">
      <c r="A1372" s="2" t="s">
        <v>4001</v>
      </c>
      <c r="B1372" s="2" t="s">
        <v>1521</v>
      </c>
      <c r="C1372" s="2" t="s">
        <v>2604</v>
      </c>
      <c r="D1372" s="3">
        <v>45870</v>
      </c>
      <c r="E1372" s="3">
        <v>45879</v>
      </c>
      <c r="F1372" s="3">
        <v>45873</v>
      </c>
      <c r="G1372" s="2" t="s">
        <v>2631</v>
      </c>
      <c r="H1372" s="2">
        <v>35</v>
      </c>
      <c r="I1372" s="2">
        <f>IFERROR(INDEX(Raw_Orders!H1372:H3800,MATCH(B1372,Raw_Orders!A1372:A3800,0)),0)</f>
        <v>35</v>
      </c>
      <c r="J1372" s="2" t="str">
        <f t="shared" si="84"/>
        <v>Yes</v>
      </c>
      <c r="K1372" s="2" t="str">
        <f t="shared" si="85"/>
        <v>Yes</v>
      </c>
      <c r="L1372" s="2" t="str">
        <f t="shared" si="87"/>
        <v>Yes</v>
      </c>
      <c r="M1372" s="2">
        <f t="shared" si="86"/>
        <v>1</v>
      </c>
    </row>
    <row r="1373" spans="1:13" x14ac:dyDescent="0.3">
      <c r="A1373" s="5" t="s">
        <v>4002</v>
      </c>
      <c r="B1373" s="5" t="s">
        <v>1522</v>
      </c>
      <c r="C1373" s="5" t="s">
        <v>2606</v>
      </c>
      <c r="D1373" s="6">
        <v>45871</v>
      </c>
      <c r="E1373" s="6">
        <v>45875</v>
      </c>
      <c r="F1373" s="6">
        <v>45876</v>
      </c>
      <c r="G1373" s="5" t="s">
        <v>2631</v>
      </c>
      <c r="H1373" s="5">
        <v>32</v>
      </c>
      <c r="I1373" s="5">
        <f>IFERROR(INDEX(Raw_Orders!H1373:H3801,MATCH(B1373,Raw_Orders!A1373:A3801,0)),0)</f>
        <v>32</v>
      </c>
      <c r="J1373" s="5" t="str">
        <f t="shared" si="84"/>
        <v>No</v>
      </c>
      <c r="K1373" s="5" t="str">
        <f t="shared" si="85"/>
        <v>Yes</v>
      </c>
      <c r="L1373" s="5" t="str">
        <f t="shared" si="87"/>
        <v>No</v>
      </c>
      <c r="M1373" s="5">
        <f t="shared" si="86"/>
        <v>0</v>
      </c>
    </row>
    <row r="1374" spans="1:13" x14ac:dyDescent="0.3">
      <c r="A1374" s="2" t="s">
        <v>4003</v>
      </c>
      <c r="B1374" s="2" t="s">
        <v>1523</v>
      </c>
      <c r="C1374" s="2" t="s">
        <v>2608</v>
      </c>
      <c r="D1374" s="3">
        <v>45870</v>
      </c>
      <c r="E1374" s="3">
        <v>45874</v>
      </c>
      <c r="F1374" s="3">
        <v>45883</v>
      </c>
      <c r="G1374" s="2" t="s">
        <v>2629</v>
      </c>
      <c r="H1374" s="2">
        <v>4</v>
      </c>
      <c r="I1374" s="2">
        <f>IFERROR(INDEX(Raw_Orders!H1374:H3802,MATCH(B1374,Raw_Orders!A1374:A3802,0)),0)</f>
        <v>4</v>
      </c>
      <c r="J1374" s="2" t="str">
        <f t="shared" si="84"/>
        <v>No</v>
      </c>
      <c r="K1374" s="2" t="str">
        <f t="shared" si="85"/>
        <v>Yes</v>
      </c>
      <c r="L1374" s="2" t="str">
        <f t="shared" si="87"/>
        <v>No</v>
      </c>
      <c r="M1374" s="2">
        <f t="shared" si="86"/>
        <v>0</v>
      </c>
    </row>
    <row r="1375" spans="1:13" x14ac:dyDescent="0.3">
      <c r="A1375" s="5" t="s">
        <v>4004</v>
      </c>
      <c r="B1375" s="5" t="s">
        <v>1524</v>
      </c>
      <c r="C1375" s="5" t="s">
        <v>2608</v>
      </c>
      <c r="D1375" s="6">
        <v>45869</v>
      </c>
      <c r="E1375" s="6">
        <v>45878</v>
      </c>
      <c r="F1375" s="6">
        <v>45882</v>
      </c>
      <c r="G1375" s="5" t="s">
        <v>2627</v>
      </c>
      <c r="H1375" s="5">
        <v>12</v>
      </c>
      <c r="I1375" s="5">
        <f>IFERROR(INDEX(Raw_Orders!H1375:H3803,MATCH(B1375,Raw_Orders!A1375:A3803,0)),0)</f>
        <v>12</v>
      </c>
      <c r="J1375" s="5" t="str">
        <f t="shared" si="84"/>
        <v>No</v>
      </c>
      <c r="K1375" s="5" t="str">
        <f t="shared" si="85"/>
        <v>Yes</v>
      </c>
      <c r="L1375" s="5" t="str">
        <f t="shared" si="87"/>
        <v>No</v>
      </c>
      <c r="M1375" s="5">
        <f t="shared" si="86"/>
        <v>0</v>
      </c>
    </row>
    <row r="1376" spans="1:13" x14ac:dyDescent="0.3">
      <c r="A1376" s="2" t="s">
        <v>4005</v>
      </c>
      <c r="B1376" s="2" t="s">
        <v>1525</v>
      </c>
      <c r="C1376" s="2" t="s">
        <v>2611</v>
      </c>
      <c r="D1376" s="3">
        <v>45870</v>
      </c>
      <c r="E1376" s="3">
        <v>45879</v>
      </c>
      <c r="F1376" s="3">
        <v>45878</v>
      </c>
      <c r="G1376" s="2" t="s">
        <v>2641</v>
      </c>
      <c r="H1376" s="2">
        <v>16</v>
      </c>
      <c r="I1376" s="2">
        <f>IFERROR(INDEX(Raw_Orders!H1376:H3804,MATCH(B1376,Raw_Orders!A1376:A3804,0)),0)</f>
        <v>16</v>
      </c>
      <c r="J1376" s="2" t="str">
        <f t="shared" si="84"/>
        <v>Yes</v>
      </c>
      <c r="K1376" s="2" t="str">
        <f t="shared" si="85"/>
        <v>Yes</v>
      </c>
      <c r="L1376" s="2" t="str">
        <f t="shared" si="87"/>
        <v>Yes</v>
      </c>
      <c r="M1376" s="2">
        <f t="shared" si="86"/>
        <v>1</v>
      </c>
    </row>
    <row r="1377" spans="1:13" x14ac:dyDescent="0.3">
      <c r="A1377" s="5" t="s">
        <v>4006</v>
      </c>
      <c r="B1377" s="5" t="s">
        <v>1526</v>
      </c>
      <c r="C1377" s="5" t="s">
        <v>2601</v>
      </c>
      <c r="D1377" s="6">
        <v>45870</v>
      </c>
      <c r="E1377" s="6">
        <v>45878</v>
      </c>
      <c r="F1377" s="6">
        <v>45875</v>
      </c>
      <c r="G1377" s="5" t="s">
        <v>2633</v>
      </c>
      <c r="H1377" s="5">
        <v>19</v>
      </c>
      <c r="I1377" s="5">
        <f>IFERROR(INDEX(Raw_Orders!H1377:H3805,MATCH(B1377,Raw_Orders!A1377:A3805,0)),0)</f>
        <v>19</v>
      </c>
      <c r="J1377" s="5" t="str">
        <f t="shared" si="84"/>
        <v>Yes</v>
      </c>
      <c r="K1377" s="5" t="str">
        <f t="shared" si="85"/>
        <v>Yes</v>
      </c>
      <c r="L1377" s="5" t="str">
        <f t="shared" si="87"/>
        <v>Yes</v>
      </c>
      <c r="M1377" s="5">
        <f t="shared" si="86"/>
        <v>1</v>
      </c>
    </row>
    <row r="1378" spans="1:13" x14ac:dyDescent="0.3">
      <c r="A1378" s="2" t="s">
        <v>4007</v>
      </c>
      <c r="B1378" s="2" t="s">
        <v>1527</v>
      </c>
      <c r="C1378" s="2" t="s">
        <v>2601</v>
      </c>
      <c r="D1378" s="3">
        <v>45872</v>
      </c>
      <c r="E1378" s="3">
        <v>45874</v>
      </c>
      <c r="F1378" s="3">
        <v>45877</v>
      </c>
      <c r="G1378" s="2" t="s">
        <v>2633</v>
      </c>
      <c r="H1378" s="2">
        <v>29</v>
      </c>
      <c r="I1378" s="2">
        <f>IFERROR(INDEX(Raw_Orders!H1378:H3806,MATCH(B1378,Raw_Orders!A1378:A3806,0)),0)</f>
        <v>29</v>
      </c>
      <c r="J1378" s="2" t="str">
        <f t="shared" si="84"/>
        <v>No</v>
      </c>
      <c r="K1378" s="2" t="str">
        <f t="shared" si="85"/>
        <v>Yes</v>
      </c>
      <c r="L1378" s="2" t="str">
        <f t="shared" si="87"/>
        <v>No</v>
      </c>
      <c r="M1378" s="2">
        <f t="shared" si="86"/>
        <v>0</v>
      </c>
    </row>
    <row r="1379" spans="1:13" x14ac:dyDescent="0.3">
      <c r="A1379" s="5" t="s">
        <v>4008</v>
      </c>
      <c r="B1379" s="5" t="s">
        <v>1528</v>
      </c>
      <c r="C1379" s="5" t="s">
        <v>2601</v>
      </c>
      <c r="D1379" s="6">
        <v>45872</v>
      </c>
      <c r="E1379" s="6">
        <v>45874</v>
      </c>
      <c r="F1379" s="6">
        <v>45877</v>
      </c>
      <c r="G1379" s="5" t="s">
        <v>2641</v>
      </c>
      <c r="H1379" s="5">
        <v>10</v>
      </c>
      <c r="I1379" s="5">
        <f>IFERROR(INDEX(Raw_Orders!H1379:H3807,MATCH(B1379,Raw_Orders!A1379:A3807,0)),0)</f>
        <v>10</v>
      </c>
      <c r="J1379" s="5" t="str">
        <f t="shared" si="84"/>
        <v>No</v>
      </c>
      <c r="K1379" s="5" t="str">
        <f t="shared" si="85"/>
        <v>Yes</v>
      </c>
      <c r="L1379" s="5" t="str">
        <f t="shared" si="87"/>
        <v>No</v>
      </c>
      <c r="M1379" s="5">
        <f t="shared" si="86"/>
        <v>0</v>
      </c>
    </row>
    <row r="1380" spans="1:13" x14ac:dyDescent="0.3">
      <c r="A1380" s="2" t="s">
        <v>4009</v>
      </c>
      <c r="B1380" s="2" t="s">
        <v>1529</v>
      </c>
      <c r="C1380" s="2" t="s">
        <v>2606</v>
      </c>
      <c r="D1380" s="3">
        <v>45870</v>
      </c>
      <c r="E1380" s="3">
        <v>45877</v>
      </c>
      <c r="F1380" s="3">
        <v>45876</v>
      </c>
      <c r="G1380" s="2" t="s">
        <v>2629</v>
      </c>
      <c r="H1380" s="2">
        <v>28</v>
      </c>
      <c r="I1380" s="2">
        <f>IFERROR(INDEX(Raw_Orders!H1380:H3808,MATCH(B1380,Raw_Orders!A1380:A3808,0)),0)</f>
        <v>28</v>
      </c>
      <c r="J1380" s="2" t="str">
        <f t="shared" si="84"/>
        <v>Yes</v>
      </c>
      <c r="K1380" s="2" t="str">
        <f t="shared" si="85"/>
        <v>Yes</v>
      </c>
      <c r="L1380" s="2" t="str">
        <f t="shared" si="87"/>
        <v>Yes</v>
      </c>
      <c r="M1380" s="2">
        <f t="shared" si="86"/>
        <v>1</v>
      </c>
    </row>
    <row r="1381" spans="1:13" x14ac:dyDescent="0.3">
      <c r="A1381" s="5" t="s">
        <v>4010</v>
      </c>
      <c r="B1381" s="5" t="s">
        <v>1530</v>
      </c>
      <c r="C1381" s="5" t="s">
        <v>2608</v>
      </c>
      <c r="D1381" s="6">
        <v>45870</v>
      </c>
      <c r="E1381" s="6">
        <v>45879</v>
      </c>
      <c r="F1381" s="6">
        <v>45884</v>
      </c>
      <c r="G1381" s="5" t="s">
        <v>2633</v>
      </c>
      <c r="H1381" s="5">
        <v>8</v>
      </c>
      <c r="I1381" s="5">
        <f>IFERROR(INDEX(Raw_Orders!H1381:H3809,MATCH(B1381,Raw_Orders!A1381:A3809,0)),0)</f>
        <v>8</v>
      </c>
      <c r="J1381" s="5" t="str">
        <f t="shared" si="84"/>
        <v>No</v>
      </c>
      <c r="K1381" s="5" t="str">
        <f t="shared" si="85"/>
        <v>Yes</v>
      </c>
      <c r="L1381" s="5" t="str">
        <f t="shared" si="87"/>
        <v>No</v>
      </c>
      <c r="M1381" s="5">
        <f t="shared" si="86"/>
        <v>0</v>
      </c>
    </row>
    <row r="1382" spans="1:13" x14ac:dyDescent="0.3">
      <c r="A1382" s="2" t="s">
        <v>4011</v>
      </c>
      <c r="B1382" s="2" t="s">
        <v>1531</v>
      </c>
      <c r="C1382" s="2" t="s">
        <v>2601</v>
      </c>
      <c r="D1382" s="3">
        <v>45872</v>
      </c>
      <c r="E1382" s="3">
        <v>45876</v>
      </c>
      <c r="F1382" s="3">
        <v>45876</v>
      </c>
      <c r="G1382" s="2" t="s">
        <v>2641</v>
      </c>
      <c r="H1382" s="2">
        <v>21</v>
      </c>
      <c r="I1382" s="2">
        <f>IFERROR(INDEX(Raw_Orders!H1382:H3810,MATCH(B1382,Raw_Orders!A1382:A3810,0)),0)</f>
        <v>21</v>
      </c>
      <c r="J1382" s="2" t="str">
        <f t="shared" si="84"/>
        <v>Yes</v>
      </c>
      <c r="K1382" s="2" t="str">
        <f t="shared" si="85"/>
        <v>Yes</v>
      </c>
      <c r="L1382" s="2" t="str">
        <f t="shared" si="87"/>
        <v>Yes</v>
      </c>
      <c r="M1382" s="2">
        <f t="shared" si="86"/>
        <v>1</v>
      </c>
    </row>
    <row r="1383" spans="1:13" x14ac:dyDescent="0.3">
      <c r="A1383" s="5" t="s">
        <v>4012</v>
      </c>
      <c r="B1383" s="5" t="s">
        <v>1532</v>
      </c>
      <c r="C1383" s="5" t="s">
        <v>2614</v>
      </c>
      <c r="D1383" s="6">
        <v>45872</v>
      </c>
      <c r="E1383" s="6">
        <v>45878</v>
      </c>
      <c r="F1383" s="6">
        <v>45888</v>
      </c>
      <c r="G1383" s="5" t="s">
        <v>2627</v>
      </c>
      <c r="H1383" s="5">
        <v>5</v>
      </c>
      <c r="I1383" s="5">
        <f>IFERROR(INDEX(Raw_Orders!H1383:H3811,MATCH(B1383,Raw_Orders!A1383:A3811,0)),0)</f>
        <v>12</v>
      </c>
      <c r="J1383" s="5" t="str">
        <f t="shared" si="84"/>
        <v>No</v>
      </c>
      <c r="K1383" s="5" t="str">
        <f t="shared" si="85"/>
        <v>N0</v>
      </c>
      <c r="L1383" s="5" t="str">
        <f t="shared" si="87"/>
        <v>No</v>
      </c>
      <c r="M1383" s="5">
        <f t="shared" si="86"/>
        <v>0</v>
      </c>
    </row>
    <row r="1384" spans="1:13" x14ac:dyDescent="0.3">
      <c r="A1384" s="2" t="s">
        <v>4013</v>
      </c>
      <c r="B1384" s="2" t="s">
        <v>1533</v>
      </c>
      <c r="C1384" s="2" t="s">
        <v>2616</v>
      </c>
      <c r="D1384" s="3">
        <v>45871</v>
      </c>
      <c r="E1384" s="3">
        <v>45876</v>
      </c>
      <c r="F1384" s="3">
        <v>45888</v>
      </c>
      <c r="G1384" s="2" t="s">
        <v>2633</v>
      </c>
      <c r="H1384" s="2">
        <v>23</v>
      </c>
      <c r="I1384" s="2">
        <f>IFERROR(INDEX(Raw_Orders!H1384:H3812,MATCH(B1384,Raw_Orders!A1384:A3812,0)),0)</f>
        <v>23</v>
      </c>
      <c r="J1384" s="2" t="str">
        <f t="shared" si="84"/>
        <v>No</v>
      </c>
      <c r="K1384" s="2" t="str">
        <f t="shared" si="85"/>
        <v>Yes</v>
      </c>
      <c r="L1384" s="2" t="str">
        <f t="shared" si="87"/>
        <v>No</v>
      </c>
      <c r="M1384" s="2">
        <f t="shared" si="86"/>
        <v>0</v>
      </c>
    </row>
    <row r="1385" spans="1:13" x14ac:dyDescent="0.3">
      <c r="A1385" s="5" t="s">
        <v>4014</v>
      </c>
      <c r="B1385" s="5" t="s">
        <v>1534</v>
      </c>
      <c r="C1385" s="5" t="s">
        <v>2606</v>
      </c>
      <c r="D1385" s="6">
        <v>45872</v>
      </c>
      <c r="E1385" s="6">
        <v>45880</v>
      </c>
      <c r="F1385" s="6">
        <v>45882</v>
      </c>
      <c r="G1385" s="5" t="s">
        <v>2641</v>
      </c>
      <c r="H1385" s="5">
        <v>20</v>
      </c>
      <c r="I1385" s="5">
        <f>IFERROR(INDEX(Raw_Orders!H1385:H3813,MATCH(B1385,Raw_Orders!A1385:A3813,0)),0)</f>
        <v>25</v>
      </c>
      <c r="J1385" s="5" t="str">
        <f t="shared" si="84"/>
        <v>No</v>
      </c>
      <c r="K1385" s="5" t="str">
        <f t="shared" si="85"/>
        <v>N0</v>
      </c>
      <c r="L1385" s="5" t="str">
        <f t="shared" si="87"/>
        <v>No</v>
      </c>
      <c r="M1385" s="5">
        <f t="shared" si="86"/>
        <v>0</v>
      </c>
    </row>
    <row r="1386" spans="1:13" x14ac:dyDescent="0.3">
      <c r="A1386" s="2" t="s">
        <v>4015</v>
      </c>
      <c r="B1386" s="2" t="s">
        <v>1535</v>
      </c>
      <c r="C1386" s="2" t="s">
        <v>2606</v>
      </c>
      <c r="D1386" s="3">
        <v>45871</v>
      </c>
      <c r="E1386" s="3">
        <v>45880</v>
      </c>
      <c r="F1386" s="3">
        <v>45876</v>
      </c>
      <c r="G1386" s="2" t="s">
        <v>2641</v>
      </c>
      <c r="H1386" s="2">
        <v>40</v>
      </c>
      <c r="I1386" s="2">
        <f>IFERROR(INDEX(Raw_Orders!H1386:H3814,MATCH(B1386,Raw_Orders!A1386:A3814,0)),0)</f>
        <v>40</v>
      </c>
      <c r="J1386" s="2" t="str">
        <f t="shared" si="84"/>
        <v>Yes</v>
      </c>
      <c r="K1386" s="2" t="str">
        <f t="shared" si="85"/>
        <v>Yes</v>
      </c>
      <c r="L1386" s="2" t="str">
        <f t="shared" si="87"/>
        <v>Yes</v>
      </c>
      <c r="M1386" s="2">
        <f t="shared" si="86"/>
        <v>1</v>
      </c>
    </row>
    <row r="1387" spans="1:13" x14ac:dyDescent="0.3">
      <c r="A1387" s="5" t="s">
        <v>4016</v>
      </c>
      <c r="B1387" s="5" t="s">
        <v>1536</v>
      </c>
      <c r="C1387" s="5" t="s">
        <v>2608</v>
      </c>
      <c r="D1387" s="6">
        <v>45871</v>
      </c>
      <c r="E1387" s="6">
        <v>45877</v>
      </c>
      <c r="F1387" s="6">
        <v>45884</v>
      </c>
      <c r="G1387" s="5" t="s">
        <v>2633</v>
      </c>
      <c r="H1387" s="5">
        <v>3</v>
      </c>
      <c r="I1387" s="5">
        <f>IFERROR(INDEX(Raw_Orders!H1387:H3815,MATCH(B1387,Raw_Orders!A1387:A3815,0)),0)</f>
        <v>3</v>
      </c>
      <c r="J1387" s="5" t="str">
        <f t="shared" si="84"/>
        <v>No</v>
      </c>
      <c r="K1387" s="5" t="str">
        <f t="shared" si="85"/>
        <v>Yes</v>
      </c>
      <c r="L1387" s="5" t="str">
        <f t="shared" si="87"/>
        <v>No</v>
      </c>
      <c r="M1387" s="5">
        <f t="shared" si="86"/>
        <v>0</v>
      </c>
    </row>
    <row r="1388" spans="1:13" x14ac:dyDescent="0.3">
      <c r="A1388" s="2" t="s">
        <v>4017</v>
      </c>
      <c r="B1388" s="2" t="s">
        <v>1537</v>
      </c>
      <c r="C1388" s="2" t="s">
        <v>2611</v>
      </c>
      <c r="D1388" s="3">
        <v>45873</v>
      </c>
      <c r="E1388" s="3">
        <v>45875</v>
      </c>
      <c r="F1388" s="3">
        <v>45882</v>
      </c>
      <c r="G1388" s="2" t="s">
        <v>2633</v>
      </c>
      <c r="H1388" s="2">
        <v>10</v>
      </c>
      <c r="I1388" s="2">
        <f>IFERROR(INDEX(Raw_Orders!H1388:H3816,MATCH(B1388,Raw_Orders!A1388:A3816,0)),0)</f>
        <v>14</v>
      </c>
      <c r="J1388" s="2" t="str">
        <f t="shared" si="84"/>
        <v>No</v>
      </c>
      <c r="K1388" s="2" t="str">
        <f t="shared" si="85"/>
        <v>N0</v>
      </c>
      <c r="L1388" s="2" t="str">
        <f t="shared" si="87"/>
        <v>No</v>
      </c>
      <c r="M1388" s="2">
        <f t="shared" si="86"/>
        <v>0</v>
      </c>
    </row>
    <row r="1389" spans="1:13" x14ac:dyDescent="0.3">
      <c r="A1389" s="5" t="s">
        <v>4018</v>
      </c>
      <c r="B1389" s="5" t="s">
        <v>1538</v>
      </c>
      <c r="C1389" s="5" t="s">
        <v>2604</v>
      </c>
      <c r="D1389" s="6">
        <v>45872</v>
      </c>
      <c r="E1389" s="6">
        <v>45878</v>
      </c>
      <c r="F1389" s="6">
        <v>45880</v>
      </c>
      <c r="G1389" s="5" t="s">
        <v>2633</v>
      </c>
      <c r="H1389" s="5">
        <v>71</v>
      </c>
      <c r="I1389" s="5">
        <f>IFERROR(INDEX(Raw_Orders!H1389:H3817,MATCH(B1389,Raw_Orders!A1389:A3817,0)),0)</f>
        <v>71</v>
      </c>
      <c r="J1389" s="5" t="str">
        <f t="shared" si="84"/>
        <v>No</v>
      </c>
      <c r="K1389" s="5" t="str">
        <f t="shared" si="85"/>
        <v>Yes</v>
      </c>
      <c r="L1389" s="5" t="str">
        <f t="shared" si="87"/>
        <v>No</v>
      </c>
      <c r="M1389" s="5">
        <f t="shared" si="86"/>
        <v>0</v>
      </c>
    </row>
    <row r="1390" spans="1:13" x14ac:dyDescent="0.3">
      <c r="A1390" s="2" t="s">
        <v>4019</v>
      </c>
      <c r="B1390" s="2" t="s">
        <v>1539</v>
      </c>
      <c r="C1390" s="2" t="s">
        <v>2606</v>
      </c>
      <c r="D1390" s="3">
        <v>45873</v>
      </c>
      <c r="E1390" s="3">
        <v>45875</v>
      </c>
      <c r="F1390" s="3">
        <v>45881</v>
      </c>
      <c r="G1390" s="2" t="s">
        <v>2627</v>
      </c>
      <c r="H1390" s="2">
        <v>17</v>
      </c>
      <c r="I1390" s="2">
        <f>IFERROR(INDEX(Raw_Orders!H1390:H3818,MATCH(B1390,Raw_Orders!A1390:A3818,0)),0)</f>
        <v>24</v>
      </c>
      <c r="J1390" s="2" t="str">
        <f t="shared" si="84"/>
        <v>No</v>
      </c>
      <c r="K1390" s="2" t="str">
        <f t="shared" si="85"/>
        <v>N0</v>
      </c>
      <c r="L1390" s="2" t="str">
        <f t="shared" si="87"/>
        <v>No</v>
      </c>
      <c r="M1390" s="2">
        <f t="shared" si="86"/>
        <v>0</v>
      </c>
    </row>
    <row r="1391" spans="1:13" x14ac:dyDescent="0.3">
      <c r="A1391" s="5" t="s">
        <v>4020</v>
      </c>
      <c r="B1391" s="5" t="s">
        <v>1540</v>
      </c>
      <c r="C1391" s="5" t="s">
        <v>2598</v>
      </c>
      <c r="D1391" s="6">
        <v>45873</v>
      </c>
      <c r="E1391" s="6">
        <v>45877</v>
      </c>
      <c r="F1391" s="6">
        <v>45888</v>
      </c>
      <c r="G1391" s="5" t="s">
        <v>2627</v>
      </c>
      <c r="H1391" s="5">
        <v>1</v>
      </c>
      <c r="I1391" s="5">
        <f>IFERROR(INDEX(Raw_Orders!H1391:H3819,MATCH(B1391,Raw_Orders!A1391:A3819,0)),0)</f>
        <v>2</v>
      </c>
      <c r="J1391" s="5" t="str">
        <f t="shared" si="84"/>
        <v>No</v>
      </c>
      <c r="K1391" s="5" t="str">
        <f t="shared" si="85"/>
        <v>N0</v>
      </c>
      <c r="L1391" s="5" t="str">
        <f t="shared" si="87"/>
        <v>No</v>
      </c>
      <c r="M1391" s="5">
        <f t="shared" si="86"/>
        <v>0</v>
      </c>
    </row>
    <row r="1392" spans="1:13" x14ac:dyDescent="0.3">
      <c r="A1392" s="2" t="s">
        <v>4021</v>
      </c>
      <c r="B1392" s="2" t="s">
        <v>1541</v>
      </c>
      <c r="C1392" s="2" t="s">
        <v>2614</v>
      </c>
      <c r="D1392" s="3">
        <v>45873</v>
      </c>
      <c r="E1392" s="3">
        <v>45877</v>
      </c>
      <c r="F1392" s="3">
        <v>45889</v>
      </c>
      <c r="G1392" s="2" t="s">
        <v>2641</v>
      </c>
      <c r="H1392" s="2">
        <v>20</v>
      </c>
      <c r="I1392" s="2">
        <f>IFERROR(INDEX(Raw_Orders!H1392:H3820,MATCH(B1392,Raw_Orders!A1392:A3820,0)),0)</f>
        <v>20</v>
      </c>
      <c r="J1392" s="2" t="str">
        <f t="shared" si="84"/>
        <v>No</v>
      </c>
      <c r="K1392" s="2" t="str">
        <f t="shared" si="85"/>
        <v>Yes</v>
      </c>
      <c r="L1392" s="2" t="str">
        <f t="shared" si="87"/>
        <v>No</v>
      </c>
      <c r="M1392" s="2">
        <f t="shared" si="86"/>
        <v>0</v>
      </c>
    </row>
    <row r="1393" spans="1:13" x14ac:dyDescent="0.3">
      <c r="A1393" s="5" t="s">
        <v>4022</v>
      </c>
      <c r="B1393" s="5" t="s">
        <v>1542</v>
      </c>
      <c r="C1393" s="5" t="s">
        <v>2616</v>
      </c>
      <c r="D1393" s="6">
        <v>45874</v>
      </c>
      <c r="E1393" s="6">
        <v>45883</v>
      </c>
      <c r="F1393" s="6">
        <v>45891</v>
      </c>
      <c r="G1393" s="5" t="s">
        <v>2631</v>
      </c>
      <c r="H1393" s="5">
        <v>24</v>
      </c>
      <c r="I1393" s="5">
        <f>IFERROR(INDEX(Raw_Orders!H1393:H3821,MATCH(B1393,Raw_Orders!A1393:A3821,0)),0)</f>
        <v>24</v>
      </c>
      <c r="J1393" s="5" t="str">
        <f t="shared" si="84"/>
        <v>No</v>
      </c>
      <c r="K1393" s="5" t="str">
        <f t="shared" si="85"/>
        <v>Yes</v>
      </c>
      <c r="L1393" s="5" t="str">
        <f t="shared" si="87"/>
        <v>No</v>
      </c>
      <c r="M1393" s="5">
        <f t="shared" si="86"/>
        <v>0</v>
      </c>
    </row>
    <row r="1394" spans="1:13" x14ac:dyDescent="0.3">
      <c r="A1394" s="2" t="s">
        <v>4023</v>
      </c>
      <c r="B1394" s="2" t="s">
        <v>1543</v>
      </c>
      <c r="C1394" s="2" t="s">
        <v>2606</v>
      </c>
      <c r="D1394" s="3">
        <v>45874</v>
      </c>
      <c r="E1394" s="3">
        <v>45879</v>
      </c>
      <c r="F1394" s="3">
        <v>45880</v>
      </c>
      <c r="G1394" s="2" t="s">
        <v>2633</v>
      </c>
      <c r="H1394" s="2">
        <v>37</v>
      </c>
      <c r="I1394" s="2">
        <f>IFERROR(INDEX(Raw_Orders!H1394:H3822,MATCH(B1394,Raw_Orders!A1394:A3822,0)),0)</f>
        <v>37</v>
      </c>
      <c r="J1394" s="2" t="str">
        <f t="shared" si="84"/>
        <v>No</v>
      </c>
      <c r="K1394" s="2" t="str">
        <f t="shared" si="85"/>
        <v>Yes</v>
      </c>
      <c r="L1394" s="2" t="str">
        <f t="shared" si="87"/>
        <v>No</v>
      </c>
      <c r="M1394" s="2">
        <f t="shared" si="86"/>
        <v>0</v>
      </c>
    </row>
    <row r="1395" spans="1:13" x14ac:dyDescent="0.3">
      <c r="A1395" s="5" t="s">
        <v>4024</v>
      </c>
      <c r="B1395" s="5" t="s">
        <v>1544</v>
      </c>
      <c r="C1395" s="5" t="s">
        <v>2608</v>
      </c>
      <c r="D1395" s="6">
        <v>45875</v>
      </c>
      <c r="E1395" s="6">
        <v>45876</v>
      </c>
      <c r="F1395" s="6">
        <v>45888</v>
      </c>
      <c r="G1395" s="5" t="s">
        <v>2631</v>
      </c>
      <c r="H1395" s="5">
        <v>3</v>
      </c>
      <c r="I1395" s="5">
        <f>IFERROR(INDEX(Raw_Orders!H1395:H3823,MATCH(B1395,Raw_Orders!A1395:A3823,0)),0)</f>
        <v>3</v>
      </c>
      <c r="J1395" s="5" t="str">
        <f t="shared" si="84"/>
        <v>No</v>
      </c>
      <c r="K1395" s="5" t="str">
        <f t="shared" si="85"/>
        <v>Yes</v>
      </c>
      <c r="L1395" s="5" t="str">
        <f t="shared" si="87"/>
        <v>No</v>
      </c>
      <c r="M1395" s="5">
        <f t="shared" si="86"/>
        <v>0</v>
      </c>
    </row>
    <row r="1396" spans="1:13" x14ac:dyDescent="0.3">
      <c r="A1396" s="2" t="s">
        <v>4025</v>
      </c>
      <c r="B1396" s="2" t="s">
        <v>1545</v>
      </c>
      <c r="C1396" s="2" t="s">
        <v>2608</v>
      </c>
      <c r="D1396" s="3">
        <v>45873</v>
      </c>
      <c r="E1396" s="3">
        <v>45878</v>
      </c>
      <c r="F1396" s="3">
        <v>45887</v>
      </c>
      <c r="G1396" s="2" t="s">
        <v>2627</v>
      </c>
      <c r="H1396" s="2">
        <v>8</v>
      </c>
      <c r="I1396" s="2">
        <f>IFERROR(INDEX(Raw_Orders!H1396:H3824,MATCH(B1396,Raw_Orders!A1396:A3824,0)),0)</f>
        <v>8</v>
      </c>
      <c r="J1396" s="2" t="str">
        <f t="shared" si="84"/>
        <v>No</v>
      </c>
      <c r="K1396" s="2" t="str">
        <f t="shared" si="85"/>
        <v>Yes</v>
      </c>
      <c r="L1396" s="2" t="str">
        <f t="shared" si="87"/>
        <v>No</v>
      </c>
      <c r="M1396" s="2">
        <f t="shared" si="86"/>
        <v>0</v>
      </c>
    </row>
    <row r="1397" spans="1:13" x14ac:dyDescent="0.3">
      <c r="A1397" s="5" t="s">
        <v>4026</v>
      </c>
      <c r="B1397" s="5" t="s">
        <v>1546</v>
      </c>
      <c r="C1397" s="5" t="s">
        <v>2611</v>
      </c>
      <c r="D1397" s="6">
        <v>45874</v>
      </c>
      <c r="E1397" s="6">
        <v>45883</v>
      </c>
      <c r="F1397" s="6">
        <v>45881</v>
      </c>
      <c r="G1397" s="5" t="s">
        <v>2627</v>
      </c>
      <c r="H1397" s="5">
        <v>34</v>
      </c>
      <c r="I1397" s="5">
        <f>IFERROR(INDEX(Raw_Orders!H1397:H3825,MATCH(B1397,Raw_Orders!A1397:A3825,0)),0)</f>
        <v>34</v>
      </c>
      <c r="J1397" s="5" t="str">
        <f t="shared" si="84"/>
        <v>Yes</v>
      </c>
      <c r="K1397" s="5" t="str">
        <f t="shared" si="85"/>
        <v>Yes</v>
      </c>
      <c r="L1397" s="5" t="str">
        <f t="shared" si="87"/>
        <v>Yes</v>
      </c>
      <c r="M1397" s="5">
        <f t="shared" si="86"/>
        <v>1</v>
      </c>
    </row>
    <row r="1398" spans="1:13" x14ac:dyDescent="0.3">
      <c r="A1398" s="2" t="s">
        <v>4027</v>
      </c>
      <c r="B1398" s="2" t="s">
        <v>1547</v>
      </c>
      <c r="C1398" s="2" t="s">
        <v>2598</v>
      </c>
      <c r="D1398" s="3">
        <v>45876</v>
      </c>
      <c r="E1398" s="3">
        <v>45878</v>
      </c>
      <c r="F1398" s="3">
        <v>45890</v>
      </c>
      <c r="G1398" s="2" t="s">
        <v>2633</v>
      </c>
      <c r="H1398" s="2">
        <v>14</v>
      </c>
      <c r="I1398" s="2">
        <f>IFERROR(INDEX(Raw_Orders!H1398:H3826,MATCH(B1398,Raw_Orders!A1398:A3826,0)),0)</f>
        <v>14</v>
      </c>
      <c r="J1398" s="2" t="str">
        <f t="shared" si="84"/>
        <v>No</v>
      </c>
      <c r="K1398" s="2" t="str">
        <f t="shared" si="85"/>
        <v>Yes</v>
      </c>
      <c r="L1398" s="2" t="str">
        <f t="shared" si="87"/>
        <v>No</v>
      </c>
      <c r="M1398" s="2">
        <f t="shared" si="86"/>
        <v>0</v>
      </c>
    </row>
    <row r="1399" spans="1:13" x14ac:dyDescent="0.3">
      <c r="A1399" s="5" t="s">
        <v>4028</v>
      </c>
      <c r="B1399" s="5" t="s">
        <v>1548</v>
      </c>
      <c r="C1399" s="5" t="s">
        <v>2611</v>
      </c>
      <c r="D1399" s="6">
        <v>45876</v>
      </c>
      <c r="E1399" s="6">
        <v>45881</v>
      </c>
      <c r="F1399" s="6">
        <v>45884</v>
      </c>
      <c r="G1399" s="5" t="s">
        <v>2641</v>
      </c>
      <c r="H1399" s="5">
        <v>35</v>
      </c>
      <c r="I1399" s="5">
        <f>IFERROR(INDEX(Raw_Orders!H1399:H3827,MATCH(B1399,Raw_Orders!A1399:A3827,0)),0)</f>
        <v>35</v>
      </c>
      <c r="J1399" s="5" t="str">
        <f t="shared" si="84"/>
        <v>No</v>
      </c>
      <c r="K1399" s="5" t="str">
        <f t="shared" si="85"/>
        <v>Yes</v>
      </c>
      <c r="L1399" s="5" t="str">
        <f t="shared" si="87"/>
        <v>No</v>
      </c>
      <c r="M1399" s="5">
        <f t="shared" si="86"/>
        <v>0</v>
      </c>
    </row>
    <row r="1400" spans="1:13" x14ac:dyDescent="0.3">
      <c r="A1400" s="2" t="s">
        <v>4029</v>
      </c>
      <c r="B1400" s="2" t="s">
        <v>1549</v>
      </c>
      <c r="C1400" s="2" t="s">
        <v>2614</v>
      </c>
      <c r="D1400" s="3">
        <v>45876</v>
      </c>
      <c r="E1400" s="3">
        <v>45879</v>
      </c>
      <c r="F1400" s="3">
        <v>45890</v>
      </c>
      <c r="G1400" s="2" t="s">
        <v>2627</v>
      </c>
      <c r="H1400" s="2">
        <v>9</v>
      </c>
      <c r="I1400" s="2">
        <f>IFERROR(INDEX(Raw_Orders!H1400:H3828,MATCH(B1400,Raw_Orders!A1400:A3828,0)),0)</f>
        <v>12</v>
      </c>
      <c r="J1400" s="2" t="str">
        <f t="shared" si="84"/>
        <v>No</v>
      </c>
      <c r="K1400" s="2" t="str">
        <f t="shared" si="85"/>
        <v>N0</v>
      </c>
      <c r="L1400" s="2" t="str">
        <f t="shared" si="87"/>
        <v>No</v>
      </c>
      <c r="M1400" s="2">
        <f t="shared" si="86"/>
        <v>0</v>
      </c>
    </row>
    <row r="1401" spans="1:13" x14ac:dyDescent="0.3">
      <c r="A1401" s="5" t="s">
        <v>4030</v>
      </c>
      <c r="B1401" s="5" t="s">
        <v>1550</v>
      </c>
      <c r="C1401" s="5" t="s">
        <v>2601</v>
      </c>
      <c r="D1401" s="6">
        <v>45875</v>
      </c>
      <c r="E1401" s="6">
        <v>45884</v>
      </c>
      <c r="F1401" s="6">
        <v>45880</v>
      </c>
      <c r="G1401" s="5" t="s">
        <v>2627</v>
      </c>
      <c r="H1401" s="5">
        <v>37</v>
      </c>
      <c r="I1401" s="5">
        <f>IFERROR(INDEX(Raw_Orders!H1401:H3829,MATCH(B1401,Raw_Orders!A1401:A3829,0)),0)</f>
        <v>37</v>
      </c>
      <c r="J1401" s="5" t="str">
        <f t="shared" si="84"/>
        <v>Yes</v>
      </c>
      <c r="K1401" s="5" t="str">
        <f t="shared" si="85"/>
        <v>Yes</v>
      </c>
      <c r="L1401" s="5" t="str">
        <f t="shared" si="87"/>
        <v>Yes</v>
      </c>
      <c r="M1401" s="5">
        <f t="shared" si="86"/>
        <v>1</v>
      </c>
    </row>
    <row r="1402" spans="1:13" x14ac:dyDescent="0.3">
      <c r="A1402" s="2" t="s">
        <v>4031</v>
      </c>
      <c r="B1402" s="2" t="s">
        <v>1551</v>
      </c>
      <c r="C1402" s="2" t="s">
        <v>2601</v>
      </c>
      <c r="D1402" s="3">
        <v>45875</v>
      </c>
      <c r="E1402" s="3">
        <v>45882</v>
      </c>
      <c r="F1402" s="3">
        <v>45880</v>
      </c>
      <c r="G1402" s="2" t="s">
        <v>2627</v>
      </c>
      <c r="H1402" s="2">
        <v>11</v>
      </c>
      <c r="I1402" s="2">
        <f>IFERROR(INDEX(Raw_Orders!H1402:H3830,MATCH(B1402,Raw_Orders!A1402:A3830,0)),0)</f>
        <v>11</v>
      </c>
      <c r="J1402" s="2" t="str">
        <f t="shared" si="84"/>
        <v>Yes</v>
      </c>
      <c r="K1402" s="2" t="str">
        <f t="shared" si="85"/>
        <v>Yes</v>
      </c>
      <c r="L1402" s="2" t="str">
        <f t="shared" si="87"/>
        <v>Yes</v>
      </c>
      <c r="M1402" s="2">
        <f t="shared" si="86"/>
        <v>1</v>
      </c>
    </row>
    <row r="1403" spans="1:13" x14ac:dyDescent="0.3">
      <c r="A1403" s="5" t="s">
        <v>4032</v>
      </c>
      <c r="B1403" s="5" t="s">
        <v>1552</v>
      </c>
      <c r="C1403" s="5" t="s">
        <v>2616</v>
      </c>
      <c r="D1403" s="6">
        <v>45875</v>
      </c>
      <c r="E1403" s="6">
        <v>45881</v>
      </c>
      <c r="F1403" s="6">
        <v>45894</v>
      </c>
      <c r="G1403" s="5" t="s">
        <v>2629</v>
      </c>
      <c r="H1403" s="5">
        <v>18</v>
      </c>
      <c r="I1403" s="5">
        <f>IFERROR(INDEX(Raw_Orders!H1403:H3831,MATCH(B1403,Raw_Orders!A1403:A3831,0)),0)</f>
        <v>18</v>
      </c>
      <c r="J1403" s="5" t="str">
        <f t="shared" si="84"/>
        <v>No</v>
      </c>
      <c r="K1403" s="5" t="str">
        <f t="shared" si="85"/>
        <v>Yes</v>
      </c>
      <c r="L1403" s="5" t="str">
        <f t="shared" si="87"/>
        <v>No</v>
      </c>
      <c r="M1403" s="5">
        <f t="shared" si="86"/>
        <v>0</v>
      </c>
    </row>
    <row r="1404" spans="1:13" x14ac:dyDescent="0.3">
      <c r="A1404" s="2" t="s">
        <v>4033</v>
      </c>
      <c r="B1404" s="2" t="s">
        <v>1553</v>
      </c>
      <c r="C1404" s="2" t="s">
        <v>2616</v>
      </c>
      <c r="D1404" s="3">
        <v>45875</v>
      </c>
      <c r="E1404" s="3">
        <v>45879</v>
      </c>
      <c r="F1404" s="3">
        <v>45891</v>
      </c>
      <c r="G1404" s="2" t="s">
        <v>2633</v>
      </c>
      <c r="H1404" s="2">
        <v>39</v>
      </c>
      <c r="I1404" s="2">
        <f>IFERROR(INDEX(Raw_Orders!H1404:H3832,MATCH(B1404,Raw_Orders!A1404:A3832,0)),0)</f>
        <v>39</v>
      </c>
      <c r="J1404" s="2" t="str">
        <f t="shared" si="84"/>
        <v>No</v>
      </c>
      <c r="K1404" s="2" t="str">
        <f t="shared" si="85"/>
        <v>Yes</v>
      </c>
      <c r="L1404" s="2" t="str">
        <f t="shared" si="87"/>
        <v>No</v>
      </c>
      <c r="M1404" s="2">
        <f t="shared" si="86"/>
        <v>0</v>
      </c>
    </row>
    <row r="1405" spans="1:13" x14ac:dyDescent="0.3">
      <c r="A1405" s="5" t="s">
        <v>4034</v>
      </c>
      <c r="B1405" s="5" t="s">
        <v>1554</v>
      </c>
      <c r="C1405" s="5" t="s">
        <v>2606</v>
      </c>
      <c r="D1405" s="6">
        <v>45875</v>
      </c>
      <c r="E1405" s="6">
        <v>45884</v>
      </c>
      <c r="F1405" s="6">
        <v>45885</v>
      </c>
      <c r="G1405" s="5" t="s">
        <v>2631</v>
      </c>
      <c r="H1405" s="5">
        <v>6</v>
      </c>
      <c r="I1405" s="5">
        <f>IFERROR(INDEX(Raw_Orders!H1405:H3833,MATCH(B1405,Raw_Orders!A1405:A3833,0)),0)</f>
        <v>6</v>
      </c>
      <c r="J1405" s="5" t="str">
        <f t="shared" si="84"/>
        <v>No</v>
      </c>
      <c r="K1405" s="5" t="str">
        <f t="shared" si="85"/>
        <v>Yes</v>
      </c>
      <c r="L1405" s="5" t="str">
        <f t="shared" si="87"/>
        <v>No</v>
      </c>
      <c r="M1405" s="5">
        <f t="shared" si="86"/>
        <v>0</v>
      </c>
    </row>
    <row r="1406" spans="1:13" x14ac:dyDescent="0.3">
      <c r="A1406" s="2" t="s">
        <v>4035</v>
      </c>
      <c r="B1406" s="2" t="s">
        <v>1555</v>
      </c>
      <c r="C1406" s="2" t="s">
        <v>2608</v>
      </c>
      <c r="D1406" s="3">
        <v>45876</v>
      </c>
      <c r="E1406" s="3">
        <v>45883</v>
      </c>
      <c r="F1406" s="3">
        <v>45889</v>
      </c>
      <c r="G1406" s="2" t="s">
        <v>2641</v>
      </c>
      <c r="H1406" s="2">
        <v>9</v>
      </c>
      <c r="I1406" s="2">
        <f>IFERROR(INDEX(Raw_Orders!H1406:H3834,MATCH(B1406,Raw_Orders!A1406:A3834,0)),0)</f>
        <v>9</v>
      </c>
      <c r="J1406" s="2" t="str">
        <f t="shared" si="84"/>
        <v>No</v>
      </c>
      <c r="K1406" s="2" t="str">
        <f t="shared" si="85"/>
        <v>Yes</v>
      </c>
      <c r="L1406" s="2" t="str">
        <f t="shared" si="87"/>
        <v>No</v>
      </c>
      <c r="M1406" s="2">
        <f t="shared" si="86"/>
        <v>0</v>
      </c>
    </row>
    <row r="1407" spans="1:13" x14ac:dyDescent="0.3">
      <c r="A1407" s="5" t="s">
        <v>4036</v>
      </c>
      <c r="B1407" s="5" t="s">
        <v>1556</v>
      </c>
      <c r="C1407" s="5" t="s">
        <v>2611</v>
      </c>
      <c r="D1407" s="6">
        <v>45877</v>
      </c>
      <c r="E1407" s="6">
        <v>45883</v>
      </c>
      <c r="F1407" s="6">
        <v>45885</v>
      </c>
      <c r="G1407" s="5" t="s">
        <v>2641</v>
      </c>
      <c r="H1407" s="5">
        <v>2</v>
      </c>
      <c r="I1407" s="5">
        <f>IFERROR(INDEX(Raw_Orders!H1407:H3835,MATCH(B1407,Raw_Orders!A1407:A3835,0)),0)</f>
        <v>10</v>
      </c>
      <c r="J1407" s="5" t="str">
        <f t="shared" si="84"/>
        <v>No</v>
      </c>
      <c r="K1407" s="5" t="str">
        <f t="shared" si="85"/>
        <v>N0</v>
      </c>
      <c r="L1407" s="5" t="str">
        <f t="shared" si="87"/>
        <v>No</v>
      </c>
      <c r="M1407" s="5">
        <f t="shared" si="86"/>
        <v>0</v>
      </c>
    </row>
    <row r="1408" spans="1:13" x14ac:dyDescent="0.3">
      <c r="A1408" s="2" t="s">
        <v>4037</v>
      </c>
      <c r="B1408" s="2" t="s">
        <v>1557</v>
      </c>
      <c r="C1408" s="2" t="s">
        <v>2601</v>
      </c>
      <c r="D1408" s="3">
        <v>45877</v>
      </c>
      <c r="E1408" s="3">
        <v>45878</v>
      </c>
      <c r="F1408" s="3">
        <v>45882</v>
      </c>
      <c r="G1408" s="2" t="s">
        <v>2627</v>
      </c>
      <c r="H1408" s="2">
        <v>23</v>
      </c>
      <c r="I1408" s="2">
        <f>IFERROR(INDEX(Raw_Orders!H1408:H3836,MATCH(B1408,Raw_Orders!A1408:A3836,0)),0)</f>
        <v>23</v>
      </c>
      <c r="J1408" s="2" t="str">
        <f t="shared" si="84"/>
        <v>No</v>
      </c>
      <c r="K1408" s="2" t="str">
        <f t="shared" si="85"/>
        <v>Yes</v>
      </c>
      <c r="L1408" s="2" t="str">
        <f t="shared" si="87"/>
        <v>No</v>
      </c>
      <c r="M1408" s="2">
        <f t="shared" si="86"/>
        <v>0</v>
      </c>
    </row>
    <row r="1409" spans="1:13" x14ac:dyDescent="0.3">
      <c r="A1409" s="5" t="s">
        <v>4038</v>
      </c>
      <c r="B1409" s="5" t="s">
        <v>1558</v>
      </c>
      <c r="C1409" s="5" t="s">
        <v>2601</v>
      </c>
      <c r="D1409" s="6">
        <v>45877</v>
      </c>
      <c r="E1409" s="6">
        <v>45885</v>
      </c>
      <c r="F1409" s="6">
        <v>45881</v>
      </c>
      <c r="G1409" s="5" t="s">
        <v>2633</v>
      </c>
      <c r="H1409" s="5">
        <v>10</v>
      </c>
      <c r="I1409" s="5">
        <f>IFERROR(INDEX(Raw_Orders!H1409:H3837,MATCH(B1409,Raw_Orders!A1409:A3837,0)),0)</f>
        <v>10</v>
      </c>
      <c r="J1409" s="5" t="str">
        <f t="shared" si="84"/>
        <v>Yes</v>
      </c>
      <c r="K1409" s="5" t="str">
        <f t="shared" si="85"/>
        <v>Yes</v>
      </c>
      <c r="L1409" s="5" t="str">
        <f t="shared" si="87"/>
        <v>Yes</v>
      </c>
      <c r="M1409" s="5">
        <f t="shared" si="86"/>
        <v>1</v>
      </c>
    </row>
    <row r="1410" spans="1:13" x14ac:dyDescent="0.3">
      <c r="A1410" s="2" t="s">
        <v>4039</v>
      </c>
      <c r="B1410" s="2" t="s">
        <v>1559</v>
      </c>
      <c r="C1410" s="2" t="s">
        <v>2616</v>
      </c>
      <c r="D1410" s="3">
        <v>45875</v>
      </c>
      <c r="E1410" s="3">
        <v>45881</v>
      </c>
      <c r="F1410" s="3">
        <v>45891</v>
      </c>
      <c r="G1410" s="2" t="s">
        <v>2627</v>
      </c>
      <c r="H1410" s="2">
        <v>17</v>
      </c>
      <c r="I1410" s="2">
        <f>IFERROR(INDEX(Raw_Orders!H1410:H3838,MATCH(B1410,Raw_Orders!A1410:A3838,0)),0)</f>
        <v>17</v>
      </c>
      <c r="J1410" s="2" t="str">
        <f t="shared" si="84"/>
        <v>No</v>
      </c>
      <c r="K1410" s="2" t="str">
        <f t="shared" si="85"/>
        <v>Yes</v>
      </c>
      <c r="L1410" s="2" t="str">
        <f t="shared" si="87"/>
        <v>No</v>
      </c>
      <c r="M1410" s="2">
        <f t="shared" si="86"/>
        <v>0</v>
      </c>
    </row>
    <row r="1411" spans="1:13" x14ac:dyDescent="0.3">
      <c r="A1411" s="5" t="s">
        <v>4040</v>
      </c>
      <c r="B1411" s="5" t="s">
        <v>1560</v>
      </c>
      <c r="C1411" s="5" t="s">
        <v>2606</v>
      </c>
      <c r="D1411" s="6">
        <v>45877</v>
      </c>
      <c r="E1411" s="6">
        <v>45884</v>
      </c>
      <c r="F1411" s="6">
        <v>45883</v>
      </c>
      <c r="G1411" s="5" t="s">
        <v>2627</v>
      </c>
      <c r="H1411" s="5">
        <v>44</v>
      </c>
      <c r="I1411" s="5">
        <f>IFERROR(INDEX(Raw_Orders!H1411:H3839,MATCH(B1411,Raw_Orders!A1411:A3839,0)),0)</f>
        <v>51</v>
      </c>
      <c r="J1411" s="5" t="str">
        <f t="shared" ref="J1411:J1474" si="88">IF(E1411&gt;=F1411,"Yes","No")</f>
        <v>Yes</v>
      </c>
      <c r="K1411" s="5" t="str">
        <f t="shared" ref="K1411:K1474" si="89">IF(H1411&gt;=I1411,"Yes","N0")</f>
        <v>N0</v>
      </c>
      <c r="L1411" s="5" t="str">
        <f t="shared" si="87"/>
        <v>No</v>
      </c>
      <c r="M1411" s="5">
        <f t="shared" ref="M1411:M1474" si="90">IF(L1411="Yes",1,0)</f>
        <v>0</v>
      </c>
    </row>
    <row r="1412" spans="1:13" x14ac:dyDescent="0.3">
      <c r="A1412" s="2" t="s">
        <v>4041</v>
      </c>
      <c r="B1412" s="2" t="s">
        <v>1561</v>
      </c>
      <c r="C1412" s="2" t="s">
        <v>2608</v>
      </c>
      <c r="D1412" s="3">
        <v>45876</v>
      </c>
      <c r="E1412" s="3">
        <v>45880</v>
      </c>
      <c r="F1412" s="3">
        <v>45893</v>
      </c>
      <c r="G1412" s="2" t="s">
        <v>2633</v>
      </c>
      <c r="H1412" s="2">
        <v>13</v>
      </c>
      <c r="I1412" s="2">
        <f>IFERROR(INDEX(Raw_Orders!H1412:H3840,MATCH(B1412,Raw_Orders!A1412:A3840,0)),0)</f>
        <v>13</v>
      </c>
      <c r="J1412" s="2" t="str">
        <f t="shared" si="88"/>
        <v>No</v>
      </c>
      <c r="K1412" s="2" t="str">
        <f t="shared" si="89"/>
        <v>Yes</v>
      </c>
      <c r="L1412" s="2" t="str">
        <f t="shared" ref="L1412:L1475" si="91">IF(AND(J1412="Yes",K1412="Yes"),"Yes","No")</f>
        <v>No</v>
      </c>
      <c r="M1412" s="2">
        <f t="shared" si="90"/>
        <v>0</v>
      </c>
    </row>
    <row r="1413" spans="1:13" x14ac:dyDescent="0.3">
      <c r="A1413" s="5" t="s">
        <v>4042</v>
      </c>
      <c r="B1413" s="5" t="s">
        <v>1562</v>
      </c>
      <c r="C1413" s="5" t="s">
        <v>2598</v>
      </c>
      <c r="D1413" s="6">
        <v>45878</v>
      </c>
      <c r="E1413" s="6">
        <v>45879</v>
      </c>
      <c r="F1413" s="6">
        <v>45895</v>
      </c>
      <c r="G1413" s="5" t="s">
        <v>2631</v>
      </c>
      <c r="H1413" s="5">
        <v>32</v>
      </c>
      <c r="I1413" s="5">
        <f>IFERROR(INDEX(Raw_Orders!H1413:H3841,MATCH(B1413,Raw_Orders!A1413:A3841,0)),0)</f>
        <v>32</v>
      </c>
      <c r="J1413" s="5" t="str">
        <f t="shared" si="88"/>
        <v>No</v>
      </c>
      <c r="K1413" s="5" t="str">
        <f t="shared" si="89"/>
        <v>Yes</v>
      </c>
      <c r="L1413" s="5" t="str">
        <f t="shared" si="91"/>
        <v>No</v>
      </c>
      <c r="M1413" s="5">
        <f t="shared" si="90"/>
        <v>0</v>
      </c>
    </row>
    <row r="1414" spans="1:13" x14ac:dyDescent="0.3">
      <c r="A1414" s="2" t="s">
        <v>4043</v>
      </c>
      <c r="B1414" s="2" t="s">
        <v>1563</v>
      </c>
      <c r="C1414" s="2" t="s">
        <v>2598</v>
      </c>
      <c r="D1414" s="3">
        <v>45877</v>
      </c>
      <c r="E1414" s="3">
        <v>45879</v>
      </c>
      <c r="F1414" s="3">
        <v>45892</v>
      </c>
      <c r="G1414" s="2" t="s">
        <v>2627</v>
      </c>
      <c r="H1414" s="2">
        <v>31</v>
      </c>
      <c r="I1414" s="2">
        <f>IFERROR(INDEX(Raw_Orders!H1414:H3842,MATCH(B1414,Raw_Orders!A1414:A3842,0)),0)</f>
        <v>31</v>
      </c>
      <c r="J1414" s="2" t="str">
        <f t="shared" si="88"/>
        <v>No</v>
      </c>
      <c r="K1414" s="2" t="str">
        <f t="shared" si="89"/>
        <v>Yes</v>
      </c>
      <c r="L1414" s="2" t="str">
        <f t="shared" si="91"/>
        <v>No</v>
      </c>
      <c r="M1414" s="2">
        <f t="shared" si="90"/>
        <v>0</v>
      </c>
    </row>
    <row r="1415" spans="1:13" x14ac:dyDescent="0.3">
      <c r="A1415" s="5" t="s">
        <v>4044</v>
      </c>
      <c r="B1415" s="5" t="s">
        <v>1564</v>
      </c>
      <c r="C1415" s="5" t="s">
        <v>2616</v>
      </c>
      <c r="D1415" s="6">
        <v>45878</v>
      </c>
      <c r="E1415" s="6">
        <v>45885</v>
      </c>
      <c r="F1415" s="6">
        <v>45895</v>
      </c>
      <c r="G1415" s="5" t="s">
        <v>2633</v>
      </c>
      <c r="H1415" s="5">
        <v>12</v>
      </c>
      <c r="I1415" s="5">
        <f>IFERROR(INDEX(Raw_Orders!H1415:H3843,MATCH(B1415,Raw_Orders!A1415:A3843,0)),0)</f>
        <v>12</v>
      </c>
      <c r="J1415" s="5" t="str">
        <f t="shared" si="88"/>
        <v>No</v>
      </c>
      <c r="K1415" s="5" t="str">
        <f t="shared" si="89"/>
        <v>Yes</v>
      </c>
      <c r="L1415" s="5" t="str">
        <f t="shared" si="91"/>
        <v>No</v>
      </c>
      <c r="M1415" s="5">
        <f t="shared" si="90"/>
        <v>0</v>
      </c>
    </row>
    <row r="1416" spans="1:13" x14ac:dyDescent="0.3">
      <c r="A1416" s="2" t="s">
        <v>4045</v>
      </c>
      <c r="B1416" s="2" t="s">
        <v>1565</v>
      </c>
      <c r="C1416" s="2" t="s">
        <v>2606</v>
      </c>
      <c r="D1416" s="3">
        <v>45876</v>
      </c>
      <c r="E1416" s="3">
        <v>45884</v>
      </c>
      <c r="F1416" s="3">
        <v>45882</v>
      </c>
      <c r="G1416" s="2" t="s">
        <v>2631</v>
      </c>
      <c r="H1416" s="2">
        <v>37</v>
      </c>
      <c r="I1416" s="2">
        <f>IFERROR(INDEX(Raw_Orders!H1416:H3844,MATCH(B1416,Raw_Orders!A1416:A3844,0)),0)</f>
        <v>37</v>
      </c>
      <c r="J1416" s="2" t="str">
        <f t="shared" si="88"/>
        <v>Yes</v>
      </c>
      <c r="K1416" s="2" t="str">
        <f t="shared" si="89"/>
        <v>Yes</v>
      </c>
      <c r="L1416" s="2" t="str">
        <f t="shared" si="91"/>
        <v>Yes</v>
      </c>
      <c r="M1416" s="2">
        <f t="shared" si="90"/>
        <v>1</v>
      </c>
    </row>
    <row r="1417" spans="1:13" x14ac:dyDescent="0.3">
      <c r="A1417" s="5" t="s">
        <v>4046</v>
      </c>
      <c r="B1417" s="5" t="s">
        <v>1566</v>
      </c>
      <c r="C1417" s="5" t="s">
        <v>2606</v>
      </c>
      <c r="D1417" s="6">
        <v>45877</v>
      </c>
      <c r="E1417" s="6">
        <v>45879</v>
      </c>
      <c r="F1417" s="6">
        <v>45883</v>
      </c>
      <c r="G1417" s="5" t="s">
        <v>2629</v>
      </c>
      <c r="H1417" s="5">
        <v>49</v>
      </c>
      <c r="I1417" s="5">
        <f>IFERROR(INDEX(Raw_Orders!H1417:H3845,MATCH(B1417,Raw_Orders!A1417:A3845,0)),0)</f>
        <v>49</v>
      </c>
      <c r="J1417" s="5" t="str">
        <f t="shared" si="88"/>
        <v>No</v>
      </c>
      <c r="K1417" s="5" t="str">
        <f t="shared" si="89"/>
        <v>Yes</v>
      </c>
      <c r="L1417" s="5" t="str">
        <f t="shared" si="91"/>
        <v>No</v>
      </c>
      <c r="M1417" s="5">
        <f t="shared" si="90"/>
        <v>0</v>
      </c>
    </row>
    <row r="1418" spans="1:13" x14ac:dyDescent="0.3">
      <c r="A1418" s="2" t="s">
        <v>4047</v>
      </c>
      <c r="B1418" s="2" t="s">
        <v>1567</v>
      </c>
      <c r="C1418" s="2" t="s">
        <v>2606</v>
      </c>
      <c r="D1418" s="3">
        <v>45876</v>
      </c>
      <c r="E1418" s="3">
        <v>45883</v>
      </c>
      <c r="F1418" s="3">
        <v>45883</v>
      </c>
      <c r="G1418" s="2" t="s">
        <v>2627</v>
      </c>
      <c r="H1418" s="2">
        <v>22</v>
      </c>
      <c r="I1418" s="2">
        <f>IFERROR(INDEX(Raw_Orders!H1418:H3846,MATCH(B1418,Raw_Orders!A1418:A3846,0)),0)</f>
        <v>22</v>
      </c>
      <c r="J1418" s="2" t="str">
        <f t="shared" si="88"/>
        <v>Yes</v>
      </c>
      <c r="K1418" s="2" t="str">
        <f t="shared" si="89"/>
        <v>Yes</v>
      </c>
      <c r="L1418" s="2" t="str">
        <f t="shared" si="91"/>
        <v>Yes</v>
      </c>
      <c r="M1418" s="2">
        <f t="shared" si="90"/>
        <v>1</v>
      </c>
    </row>
    <row r="1419" spans="1:13" x14ac:dyDescent="0.3">
      <c r="A1419" s="5" t="s">
        <v>4048</v>
      </c>
      <c r="B1419" s="5" t="s">
        <v>1568</v>
      </c>
      <c r="C1419" s="5" t="s">
        <v>2608</v>
      </c>
      <c r="D1419" s="6">
        <v>45877</v>
      </c>
      <c r="E1419" s="6">
        <v>45881</v>
      </c>
      <c r="F1419" s="6">
        <v>45890</v>
      </c>
      <c r="G1419" s="5" t="s">
        <v>2641</v>
      </c>
      <c r="H1419" s="5">
        <v>5</v>
      </c>
      <c r="I1419" s="5">
        <f>IFERROR(INDEX(Raw_Orders!H1419:H3847,MATCH(B1419,Raw_Orders!A1419:A3847,0)),0)</f>
        <v>5</v>
      </c>
      <c r="J1419" s="5" t="str">
        <f t="shared" si="88"/>
        <v>No</v>
      </c>
      <c r="K1419" s="5" t="str">
        <f t="shared" si="89"/>
        <v>Yes</v>
      </c>
      <c r="L1419" s="5" t="str">
        <f t="shared" si="91"/>
        <v>No</v>
      </c>
      <c r="M1419" s="5">
        <f t="shared" si="90"/>
        <v>0</v>
      </c>
    </row>
    <row r="1420" spans="1:13" x14ac:dyDescent="0.3">
      <c r="A1420" s="2" t="s">
        <v>4049</v>
      </c>
      <c r="B1420" s="2" t="s">
        <v>1569</v>
      </c>
      <c r="C1420" s="2" t="s">
        <v>2608</v>
      </c>
      <c r="D1420" s="3">
        <v>45876</v>
      </c>
      <c r="E1420" s="3">
        <v>45879</v>
      </c>
      <c r="F1420" s="3">
        <v>45889</v>
      </c>
      <c r="G1420" s="2" t="s">
        <v>2633</v>
      </c>
      <c r="H1420" s="2">
        <v>8</v>
      </c>
      <c r="I1420" s="2">
        <f>IFERROR(INDEX(Raw_Orders!H1420:H3848,MATCH(B1420,Raw_Orders!A1420:A3848,0)),0)</f>
        <v>8</v>
      </c>
      <c r="J1420" s="2" t="str">
        <f t="shared" si="88"/>
        <v>No</v>
      </c>
      <c r="K1420" s="2" t="str">
        <f t="shared" si="89"/>
        <v>Yes</v>
      </c>
      <c r="L1420" s="2" t="str">
        <f t="shared" si="91"/>
        <v>No</v>
      </c>
      <c r="M1420" s="2">
        <f t="shared" si="90"/>
        <v>0</v>
      </c>
    </row>
    <row r="1421" spans="1:13" x14ac:dyDescent="0.3">
      <c r="A1421" s="5" t="s">
        <v>4050</v>
      </c>
      <c r="B1421" s="5" t="s">
        <v>1570</v>
      </c>
      <c r="C1421" s="5" t="s">
        <v>2611</v>
      </c>
      <c r="D1421" s="6">
        <v>45879</v>
      </c>
      <c r="E1421" s="6">
        <v>45885</v>
      </c>
      <c r="F1421" s="6">
        <v>45886</v>
      </c>
      <c r="G1421" s="5" t="s">
        <v>2633</v>
      </c>
      <c r="H1421" s="5">
        <v>38</v>
      </c>
      <c r="I1421" s="5">
        <f>IFERROR(INDEX(Raw_Orders!H1421:H3849,MATCH(B1421,Raw_Orders!A1421:A3849,0)),0)</f>
        <v>38</v>
      </c>
      <c r="J1421" s="5" t="str">
        <f t="shared" si="88"/>
        <v>No</v>
      </c>
      <c r="K1421" s="5" t="str">
        <f t="shared" si="89"/>
        <v>Yes</v>
      </c>
      <c r="L1421" s="5" t="str">
        <f t="shared" si="91"/>
        <v>No</v>
      </c>
      <c r="M1421" s="5">
        <f t="shared" si="90"/>
        <v>0</v>
      </c>
    </row>
    <row r="1422" spans="1:13" x14ac:dyDescent="0.3">
      <c r="A1422" s="2" t="s">
        <v>4051</v>
      </c>
      <c r="B1422" s="2" t="s">
        <v>1571</v>
      </c>
      <c r="C1422" s="2" t="s">
        <v>2611</v>
      </c>
      <c r="D1422" s="3">
        <v>45879</v>
      </c>
      <c r="E1422" s="3">
        <v>45881</v>
      </c>
      <c r="F1422" s="3">
        <v>45888</v>
      </c>
      <c r="G1422" s="2" t="s">
        <v>2633</v>
      </c>
      <c r="H1422" s="2">
        <v>16</v>
      </c>
      <c r="I1422" s="2">
        <f>IFERROR(INDEX(Raw_Orders!H1422:H3850,MATCH(B1422,Raw_Orders!A1422:A3850,0)),0)</f>
        <v>16</v>
      </c>
      <c r="J1422" s="2" t="str">
        <f t="shared" si="88"/>
        <v>No</v>
      </c>
      <c r="K1422" s="2" t="str">
        <f t="shared" si="89"/>
        <v>Yes</v>
      </c>
      <c r="L1422" s="2" t="str">
        <f t="shared" si="91"/>
        <v>No</v>
      </c>
      <c r="M1422" s="2">
        <f t="shared" si="90"/>
        <v>0</v>
      </c>
    </row>
    <row r="1423" spans="1:13" x14ac:dyDescent="0.3">
      <c r="A1423" s="5" t="s">
        <v>4052</v>
      </c>
      <c r="B1423" s="5" t="s">
        <v>1572</v>
      </c>
      <c r="C1423" s="5" t="s">
        <v>2601</v>
      </c>
      <c r="D1423" s="6">
        <v>45877</v>
      </c>
      <c r="E1423" s="6">
        <v>45883</v>
      </c>
      <c r="F1423" s="6">
        <v>45882</v>
      </c>
      <c r="G1423" s="5" t="s">
        <v>2641</v>
      </c>
      <c r="H1423" s="5">
        <v>39</v>
      </c>
      <c r="I1423" s="5">
        <f>IFERROR(INDEX(Raw_Orders!H1423:H3851,MATCH(B1423,Raw_Orders!A1423:A3851,0)),0)</f>
        <v>39</v>
      </c>
      <c r="J1423" s="5" t="str">
        <f t="shared" si="88"/>
        <v>Yes</v>
      </c>
      <c r="K1423" s="5" t="str">
        <f t="shared" si="89"/>
        <v>Yes</v>
      </c>
      <c r="L1423" s="5" t="str">
        <f t="shared" si="91"/>
        <v>Yes</v>
      </c>
      <c r="M1423" s="5">
        <f t="shared" si="90"/>
        <v>1</v>
      </c>
    </row>
    <row r="1424" spans="1:13" x14ac:dyDescent="0.3">
      <c r="A1424" s="2" t="s">
        <v>4053</v>
      </c>
      <c r="B1424" s="2" t="s">
        <v>1573</v>
      </c>
      <c r="C1424" s="2" t="s">
        <v>2604</v>
      </c>
      <c r="D1424" s="3">
        <v>45877</v>
      </c>
      <c r="E1424" s="3">
        <v>45887</v>
      </c>
      <c r="F1424" s="3">
        <v>45885</v>
      </c>
      <c r="G1424" s="2" t="s">
        <v>2627</v>
      </c>
      <c r="H1424" s="2">
        <v>9</v>
      </c>
      <c r="I1424" s="2">
        <f>IFERROR(INDEX(Raw_Orders!H1424:H3852,MATCH(B1424,Raw_Orders!A1424:A3852,0)),0)</f>
        <v>9</v>
      </c>
      <c r="J1424" s="2" t="str">
        <f t="shared" si="88"/>
        <v>Yes</v>
      </c>
      <c r="K1424" s="2" t="str">
        <f t="shared" si="89"/>
        <v>Yes</v>
      </c>
      <c r="L1424" s="2" t="str">
        <f t="shared" si="91"/>
        <v>Yes</v>
      </c>
      <c r="M1424" s="2">
        <f t="shared" si="90"/>
        <v>1</v>
      </c>
    </row>
    <row r="1425" spans="1:13" x14ac:dyDescent="0.3">
      <c r="A1425" s="5" t="s">
        <v>4054</v>
      </c>
      <c r="B1425" s="5" t="s">
        <v>1574</v>
      </c>
      <c r="C1425" s="5" t="s">
        <v>2604</v>
      </c>
      <c r="D1425" s="6">
        <v>45879</v>
      </c>
      <c r="E1425" s="6">
        <v>45882</v>
      </c>
      <c r="F1425" s="6">
        <v>45883</v>
      </c>
      <c r="G1425" s="5" t="s">
        <v>2631</v>
      </c>
      <c r="H1425" s="5">
        <v>17</v>
      </c>
      <c r="I1425" s="5">
        <f>IFERROR(INDEX(Raw_Orders!H1425:H3853,MATCH(B1425,Raw_Orders!A1425:A3853,0)),0)</f>
        <v>17</v>
      </c>
      <c r="J1425" s="5" t="str">
        <f t="shared" si="88"/>
        <v>No</v>
      </c>
      <c r="K1425" s="5" t="str">
        <f t="shared" si="89"/>
        <v>Yes</v>
      </c>
      <c r="L1425" s="5" t="str">
        <f t="shared" si="91"/>
        <v>No</v>
      </c>
      <c r="M1425" s="5">
        <f t="shared" si="90"/>
        <v>0</v>
      </c>
    </row>
    <row r="1426" spans="1:13" x14ac:dyDescent="0.3">
      <c r="A1426" s="2" t="s">
        <v>4055</v>
      </c>
      <c r="B1426" s="2" t="s">
        <v>1575</v>
      </c>
      <c r="C1426" s="2" t="s">
        <v>2606</v>
      </c>
      <c r="D1426" s="3">
        <v>45877</v>
      </c>
      <c r="E1426" s="3">
        <v>45885</v>
      </c>
      <c r="F1426" s="3">
        <v>45883</v>
      </c>
      <c r="G1426" s="2" t="s">
        <v>2627</v>
      </c>
      <c r="H1426" s="2">
        <v>57</v>
      </c>
      <c r="I1426" s="2">
        <f>IFERROR(INDEX(Raw_Orders!H1426:H3854,MATCH(B1426,Raw_Orders!A1426:A3854,0)),0)</f>
        <v>57</v>
      </c>
      <c r="J1426" s="2" t="str">
        <f t="shared" si="88"/>
        <v>Yes</v>
      </c>
      <c r="K1426" s="2" t="str">
        <f t="shared" si="89"/>
        <v>Yes</v>
      </c>
      <c r="L1426" s="2" t="str">
        <f t="shared" si="91"/>
        <v>Yes</v>
      </c>
      <c r="M1426" s="2">
        <f t="shared" si="90"/>
        <v>1</v>
      </c>
    </row>
    <row r="1427" spans="1:13" x14ac:dyDescent="0.3">
      <c r="A1427" s="5" t="s">
        <v>4056</v>
      </c>
      <c r="B1427" s="5" t="s">
        <v>1576</v>
      </c>
      <c r="C1427" s="5" t="s">
        <v>2608</v>
      </c>
      <c r="D1427" s="6">
        <v>45878</v>
      </c>
      <c r="E1427" s="6">
        <v>45886</v>
      </c>
      <c r="F1427" s="6">
        <v>45890</v>
      </c>
      <c r="G1427" s="5" t="s">
        <v>2633</v>
      </c>
      <c r="H1427" s="5">
        <v>13</v>
      </c>
      <c r="I1427" s="5">
        <f>IFERROR(INDEX(Raw_Orders!H1427:H3855,MATCH(B1427,Raw_Orders!A1427:A3855,0)),0)</f>
        <v>13</v>
      </c>
      <c r="J1427" s="5" t="str">
        <f t="shared" si="88"/>
        <v>No</v>
      </c>
      <c r="K1427" s="5" t="str">
        <f t="shared" si="89"/>
        <v>Yes</v>
      </c>
      <c r="L1427" s="5" t="str">
        <f t="shared" si="91"/>
        <v>No</v>
      </c>
      <c r="M1427" s="5">
        <f t="shared" si="90"/>
        <v>0</v>
      </c>
    </row>
    <row r="1428" spans="1:13" x14ac:dyDescent="0.3">
      <c r="A1428" s="2" t="s">
        <v>4057</v>
      </c>
      <c r="B1428" s="2" t="s">
        <v>1577</v>
      </c>
      <c r="C1428" s="2" t="s">
        <v>2608</v>
      </c>
      <c r="D1428" s="3">
        <v>45879</v>
      </c>
      <c r="E1428" s="3">
        <v>45880</v>
      </c>
      <c r="F1428" s="3">
        <v>45892</v>
      </c>
      <c r="G1428" s="2" t="s">
        <v>2629</v>
      </c>
      <c r="H1428" s="2">
        <v>8</v>
      </c>
      <c r="I1428" s="2">
        <f>IFERROR(INDEX(Raw_Orders!H1428:H3856,MATCH(B1428,Raw_Orders!A1428:A3856,0)),0)</f>
        <v>8</v>
      </c>
      <c r="J1428" s="2" t="str">
        <f t="shared" si="88"/>
        <v>No</v>
      </c>
      <c r="K1428" s="2" t="str">
        <f t="shared" si="89"/>
        <v>Yes</v>
      </c>
      <c r="L1428" s="2" t="str">
        <f t="shared" si="91"/>
        <v>No</v>
      </c>
      <c r="M1428" s="2">
        <f t="shared" si="90"/>
        <v>0</v>
      </c>
    </row>
    <row r="1429" spans="1:13" x14ac:dyDescent="0.3">
      <c r="A1429" s="5" t="s">
        <v>4058</v>
      </c>
      <c r="B1429" s="5" t="s">
        <v>1578</v>
      </c>
      <c r="C1429" s="5" t="s">
        <v>2598</v>
      </c>
      <c r="D1429" s="6">
        <v>45878</v>
      </c>
      <c r="E1429" s="6">
        <v>45881</v>
      </c>
      <c r="F1429" s="6">
        <v>45890</v>
      </c>
      <c r="G1429" s="5" t="s">
        <v>2629</v>
      </c>
      <c r="H1429" s="5">
        <v>27</v>
      </c>
      <c r="I1429" s="5">
        <f>IFERROR(INDEX(Raw_Orders!H1429:H3857,MATCH(B1429,Raw_Orders!A1429:A3857,0)),0)</f>
        <v>27</v>
      </c>
      <c r="J1429" s="5" t="str">
        <f t="shared" si="88"/>
        <v>No</v>
      </c>
      <c r="K1429" s="5" t="str">
        <f t="shared" si="89"/>
        <v>Yes</v>
      </c>
      <c r="L1429" s="5" t="str">
        <f t="shared" si="91"/>
        <v>No</v>
      </c>
      <c r="M1429" s="5">
        <f t="shared" si="90"/>
        <v>0</v>
      </c>
    </row>
    <row r="1430" spans="1:13" x14ac:dyDescent="0.3">
      <c r="A1430" s="2" t="s">
        <v>4059</v>
      </c>
      <c r="B1430" s="2" t="s">
        <v>1579</v>
      </c>
      <c r="C1430" s="2" t="s">
        <v>2601</v>
      </c>
      <c r="D1430" s="3">
        <v>45878</v>
      </c>
      <c r="E1430" s="3">
        <v>45882</v>
      </c>
      <c r="F1430" s="3">
        <v>45887</v>
      </c>
      <c r="G1430" s="2" t="s">
        <v>2633</v>
      </c>
      <c r="H1430" s="2">
        <v>19</v>
      </c>
      <c r="I1430" s="2">
        <f>IFERROR(INDEX(Raw_Orders!H1430:H3858,MATCH(B1430,Raw_Orders!A1430:A3858,0)),0)</f>
        <v>19</v>
      </c>
      <c r="J1430" s="2" t="str">
        <f t="shared" si="88"/>
        <v>No</v>
      </c>
      <c r="K1430" s="2" t="str">
        <f t="shared" si="89"/>
        <v>Yes</v>
      </c>
      <c r="L1430" s="2" t="str">
        <f t="shared" si="91"/>
        <v>No</v>
      </c>
      <c r="M1430" s="2">
        <f t="shared" si="90"/>
        <v>0</v>
      </c>
    </row>
    <row r="1431" spans="1:13" x14ac:dyDescent="0.3">
      <c r="A1431" s="5" t="s">
        <v>4060</v>
      </c>
      <c r="B1431" s="5" t="s">
        <v>1580</v>
      </c>
      <c r="C1431" s="5" t="s">
        <v>2604</v>
      </c>
      <c r="D1431" s="6">
        <v>45878</v>
      </c>
      <c r="E1431" s="6">
        <v>45887</v>
      </c>
      <c r="F1431" s="6">
        <v>45884</v>
      </c>
      <c r="G1431" s="5" t="s">
        <v>2629</v>
      </c>
      <c r="H1431" s="5">
        <v>5</v>
      </c>
      <c r="I1431" s="5">
        <f>IFERROR(INDEX(Raw_Orders!H1431:H3859,MATCH(B1431,Raw_Orders!A1431:A3859,0)),0)</f>
        <v>5</v>
      </c>
      <c r="J1431" s="5" t="str">
        <f t="shared" si="88"/>
        <v>Yes</v>
      </c>
      <c r="K1431" s="5" t="str">
        <f t="shared" si="89"/>
        <v>Yes</v>
      </c>
      <c r="L1431" s="5" t="str">
        <f t="shared" si="91"/>
        <v>Yes</v>
      </c>
      <c r="M1431" s="5">
        <f t="shared" si="90"/>
        <v>1</v>
      </c>
    </row>
    <row r="1432" spans="1:13" x14ac:dyDescent="0.3">
      <c r="A1432" s="2" t="s">
        <v>4061</v>
      </c>
      <c r="B1432" s="2" t="s">
        <v>1581</v>
      </c>
      <c r="C1432" s="2" t="s">
        <v>2616</v>
      </c>
      <c r="D1432" s="3">
        <v>45880</v>
      </c>
      <c r="E1432" s="3">
        <v>45881</v>
      </c>
      <c r="F1432" s="3">
        <v>45897</v>
      </c>
      <c r="G1432" s="2" t="s">
        <v>2633</v>
      </c>
      <c r="H1432" s="2">
        <v>58</v>
      </c>
      <c r="I1432" s="2">
        <f>IFERROR(INDEX(Raw_Orders!H1432:H3860,MATCH(B1432,Raw_Orders!A1432:A3860,0)),0)</f>
        <v>58</v>
      </c>
      <c r="J1432" s="2" t="str">
        <f t="shared" si="88"/>
        <v>No</v>
      </c>
      <c r="K1432" s="2" t="str">
        <f t="shared" si="89"/>
        <v>Yes</v>
      </c>
      <c r="L1432" s="2" t="str">
        <f t="shared" si="91"/>
        <v>No</v>
      </c>
      <c r="M1432" s="2">
        <f t="shared" si="90"/>
        <v>0</v>
      </c>
    </row>
    <row r="1433" spans="1:13" x14ac:dyDescent="0.3">
      <c r="A1433" s="5" t="s">
        <v>4062</v>
      </c>
      <c r="B1433" s="5" t="s">
        <v>1582</v>
      </c>
      <c r="C1433" s="5" t="s">
        <v>2606</v>
      </c>
      <c r="D1433" s="6">
        <v>45880</v>
      </c>
      <c r="E1433" s="6">
        <v>45884</v>
      </c>
      <c r="F1433" s="6">
        <v>45886</v>
      </c>
      <c r="G1433" s="5" t="s">
        <v>2631</v>
      </c>
      <c r="H1433" s="5">
        <v>39</v>
      </c>
      <c r="I1433" s="5">
        <f>IFERROR(INDEX(Raw_Orders!H1433:H3861,MATCH(B1433,Raw_Orders!A1433:A3861,0)),0)</f>
        <v>39</v>
      </c>
      <c r="J1433" s="5" t="str">
        <f t="shared" si="88"/>
        <v>No</v>
      </c>
      <c r="K1433" s="5" t="str">
        <f t="shared" si="89"/>
        <v>Yes</v>
      </c>
      <c r="L1433" s="5" t="str">
        <f t="shared" si="91"/>
        <v>No</v>
      </c>
      <c r="M1433" s="5">
        <f t="shared" si="90"/>
        <v>0</v>
      </c>
    </row>
    <row r="1434" spans="1:13" x14ac:dyDescent="0.3">
      <c r="A1434" s="2" t="s">
        <v>4063</v>
      </c>
      <c r="B1434" s="2" t="s">
        <v>1583</v>
      </c>
      <c r="C1434" s="2" t="s">
        <v>2608</v>
      </c>
      <c r="D1434" s="3">
        <v>45879</v>
      </c>
      <c r="E1434" s="3">
        <v>45881</v>
      </c>
      <c r="F1434" s="3">
        <v>45892</v>
      </c>
      <c r="G1434" s="2" t="s">
        <v>2627</v>
      </c>
      <c r="H1434" s="2">
        <v>32</v>
      </c>
      <c r="I1434" s="2">
        <f>IFERROR(INDEX(Raw_Orders!H1434:H3862,MATCH(B1434,Raw_Orders!A1434:A3862,0)),0)</f>
        <v>32</v>
      </c>
      <c r="J1434" s="2" t="str">
        <f t="shared" si="88"/>
        <v>No</v>
      </c>
      <c r="K1434" s="2" t="str">
        <f t="shared" si="89"/>
        <v>Yes</v>
      </c>
      <c r="L1434" s="2" t="str">
        <f t="shared" si="91"/>
        <v>No</v>
      </c>
      <c r="M1434" s="2">
        <f t="shared" si="90"/>
        <v>0</v>
      </c>
    </row>
    <row r="1435" spans="1:13" x14ac:dyDescent="0.3">
      <c r="A1435" s="5" t="s">
        <v>4064</v>
      </c>
      <c r="B1435" s="5" t="s">
        <v>1584</v>
      </c>
      <c r="C1435" s="5" t="s">
        <v>2608</v>
      </c>
      <c r="D1435" s="6">
        <v>45879</v>
      </c>
      <c r="E1435" s="6">
        <v>45883</v>
      </c>
      <c r="F1435" s="6">
        <v>45892</v>
      </c>
      <c r="G1435" s="5" t="s">
        <v>2631</v>
      </c>
      <c r="H1435" s="5">
        <v>9</v>
      </c>
      <c r="I1435" s="5">
        <f>IFERROR(INDEX(Raw_Orders!H1435:H3863,MATCH(B1435,Raw_Orders!A1435:A3863,0)),0)</f>
        <v>9</v>
      </c>
      <c r="J1435" s="5" t="str">
        <f t="shared" si="88"/>
        <v>No</v>
      </c>
      <c r="K1435" s="5" t="str">
        <f t="shared" si="89"/>
        <v>Yes</v>
      </c>
      <c r="L1435" s="5" t="str">
        <f t="shared" si="91"/>
        <v>No</v>
      </c>
      <c r="M1435" s="5">
        <f t="shared" si="90"/>
        <v>0</v>
      </c>
    </row>
    <row r="1436" spans="1:13" x14ac:dyDescent="0.3">
      <c r="A1436" s="2" t="s">
        <v>4065</v>
      </c>
      <c r="B1436" s="2" t="s">
        <v>1585</v>
      </c>
      <c r="C1436" s="2" t="s">
        <v>2611</v>
      </c>
      <c r="D1436" s="3">
        <v>45879</v>
      </c>
      <c r="E1436" s="3">
        <v>45882</v>
      </c>
      <c r="F1436" s="3">
        <v>45886</v>
      </c>
      <c r="G1436" s="2" t="s">
        <v>2641</v>
      </c>
      <c r="H1436" s="2">
        <v>20</v>
      </c>
      <c r="I1436" s="2">
        <f>IFERROR(INDEX(Raw_Orders!H1436:H3864,MATCH(B1436,Raw_Orders!A1436:A3864,0)),0)</f>
        <v>20</v>
      </c>
      <c r="J1436" s="2" t="str">
        <f t="shared" si="88"/>
        <v>No</v>
      </c>
      <c r="K1436" s="2" t="str">
        <f t="shared" si="89"/>
        <v>Yes</v>
      </c>
      <c r="L1436" s="2" t="str">
        <f t="shared" si="91"/>
        <v>No</v>
      </c>
      <c r="M1436" s="2">
        <f t="shared" si="90"/>
        <v>0</v>
      </c>
    </row>
    <row r="1437" spans="1:13" x14ac:dyDescent="0.3">
      <c r="A1437" s="5" t="s">
        <v>4066</v>
      </c>
      <c r="B1437" s="5" t="s">
        <v>1586</v>
      </c>
      <c r="C1437" s="5" t="s">
        <v>2614</v>
      </c>
      <c r="D1437" s="6">
        <v>45880</v>
      </c>
      <c r="E1437" s="6">
        <v>45886</v>
      </c>
      <c r="F1437" s="6">
        <v>45893</v>
      </c>
      <c r="G1437" s="5" t="s">
        <v>2627</v>
      </c>
      <c r="H1437" s="5">
        <v>17</v>
      </c>
      <c r="I1437" s="5">
        <f>IFERROR(INDEX(Raw_Orders!H1437:H3865,MATCH(B1437,Raw_Orders!A1437:A3865,0)),0)</f>
        <v>17</v>
      </c>
      <c r="J1437" s="5" t="str">
        <f t="shared" si="88"/>
        <v>No</v>
      </c>
      <c r="K1437" s="5" t="str">
        <f t="shared" si="89"/>
        <v>Yes</v>
      </c>
      <c r="L1437" s="5" t="str">
        <f t="shared" si="91"/>
        <v>No</v>
      </c>
      <c r="M1437" s="5">
        <f t="shared" si="90"/>
        <v>0</v>
      </c>
    </row>
    <row r="1438" spans="1:13" x14ac:dyDescent="0.3">
      <c r="A1438" s="2" t="s">
        <v>4067</v>
      </c>
      <c r="B1438" s="2" t="s">
        <v>1587</v>
      </c>
      <c r="C1438" s="2" t="s">
        <v>2614</v>
      </c>
      <c r="D1438" s="3">
        <v>45879</v>
      </c>
      <c r="E1438" s="3">
        <v>45882</v>
      </c>
      <c r="F1438" s="3">
        <v>45897</v>
      </c>
      <c r="G1438" s="2" t="s">
        <v>2627</v>
      </c>
      <c r="H1438" s="2">
        <v>10</v>
      </c>
      <c r="I1438" s="2">
        <f>IFERROR(INDEX(Raw_Orders!H1438:H3866,MATCH(B1438,Raw_Orders!A1438:A3866,0)),0)</f>
        <v>10</v>
      </c>
      <c r="J1438" s="2" t="str">
        <f t="shared" si="88"/>
        <v>No</v>
      </c>
      <c r="K1438" s="2" t="str">
        <f t="shared" si="89"/>
        <v>Yes</v>
      </c>
      <c r="L1438" s="2" t="str">
        <f t="shared" si="91"/>
        <v>No</v>
      </c>
      <c r="M1438" s="2">
        <f t="shared" si="90"/>
        <v>0</v>
      </c>
    </row>
    <row r="1439" spans="1:13" x14ac:dyDescent="0.3">
      <c r="A1439" s="5" t="s">
        <v>4068</v>
      </c>
      <c r="B1439" s="5" t="s">
        <v>1588</v>
      </c>
      <c r="C1439" s="5" t="s">
        <v>2604</v>
      </c>
      <c r="D1439" s="6">
        <v>45879</v>
      </c>
      <c r="E1439" s="6">
        <v>45886</v>
      </c>
      <c r="F1439" s="6">
        <v>45887</v>
      </c>
      <c r="G1439" s="5" t="s">
        <v>2633</v>
      </c>
      <c r="H1439" s="5">
        <v>24</v>
      </c>
      <c r="I1439" s="5">
        <f>IFERROR(INDEX(Raw_Orders!H1439:H3867,MATCH(B1439,Raw_Orders!A1439:A3867,0)),0)</f>
        <v>32</v>
      </c>
      <c r="J1439" s="5" t="str">
        <f t="shared" si="88"/>
        <v>No</v>
      </c>
      <c r="K1439" s="5" t="str">
        <f t="shared" si="89"/>
        <v>N0</v>
      </c>
      <c r="L1439" s="5" t="str">
        <f t="shared" si="91"/>
        <v>No</v>
      </c>
      <c r="M1439" s="5">
        <f t="shared" si="90"/>
        <v>0</v>
      </c>
    </row>
    <row r="1440" spans="1:13" x14ac:dyDescent="0.3">
      <c r="A1440" s="2" t="s">
        <v>4069</v>
      </c>
      <c r="B1440" s="2" t="s">
        <v>1589</v>
      </c>
      <c r="C1440" s="2" t="s">
        <v>2608</v>
      </c>
      <c r="D1440" s="3">
        <v>45881</v>
      </c>
      <c r="E1440" s="3">
        <v>45886</v>
      </c>
      <c r="F1440" s="3">
        <v>45898</v>
      </c>
      <c r="G1440" s="2" t="s">
        <v>2633</v>
      </c>
      <c r="H1440" s="2">
        <v>6</v>
      </c>
      <c r="I1440" s="2">
        <f>IFERROR(INDEX(Raw_Orders!H1440:H3868,MATCH(B1440,Raw_Orders!A1440:A3868,0)),0)</f>
        <v>6</v>
      </c>
      <c r="J1440" s="2" t="str">
        <f t="shared" si="88"/>
        <v>No</v>
      </c>
      <c r="K1440" s="2" t="str">
        <f t="shared" si="89"/>
        <v>Yes</v>
      </c>
      <c r="L1440" s="2" t="str">
        <f t="shared" si="91"/>
        <v>No</v>
      </c>
      <c r="M1440" s="2">
        <f t="shared" si="90"/>
        <v>0</v>
      </c>
    </row>
    <row r="1441" spans="1:13" x14ac:dyDescent="0.3">
      <c r="A1441" s="5" t="s">
        <v>4070</v>
      </c>
      <c r="B1441" s="5" t="s">
        <v>1590</v>
      </c>
      <c r="C1441" s="5" t="s">
        <v>2611</v>
      </c>
      <c r="D1441" s="6">
        <v>45882</v>
      </c>
      <c r="E1441" s="6">
        <v>45887</v>
      </c>
      <c r="F1441" s="6">
        <v>45891</v>
      </c>
      <c r="G1441" s="5" t="s">
        <v>2629</v>
      </c>
      <c r="H1441" s="5">
        <v>22</v>
      </c>
      <c r="I1441" s="5">
        <f>IFERROR(INDEX(Raw_Orders!H1441:H3869,MATCH(B1441,Raw_Orders!A1441:A3869,0)),0)</f>
        <v>22</v>
      </c>
      <c r="J1441" s="5" t="str">
        <f t="shared" si="88"/>
        <v>No</v>
      </c>
      <c r="K1441" s="5" t="str">
        <f t="shared" si="89"/>
        <v>Yes</v>
      </c>
      <c r="L1441" s="5" t="str">
        <f t="shared" si="91"/>
        <v>No</v>
      </c>
      <c r="M1441" s="5">
        <f t="shared" si="90"/>
        <v>0</v>
      </c>
    </row>
    <row r="1442" spans="1:13" x14ac:dyDescent="0.3">
      <c r="A1442" s="2" t="s">
        <v>4071</v>
      </c>
      <c r="B1442" s="2" t="s">
        <v>1591</v>
      </c>
      <c r="C1442" s="2" t="s">
        <v>2611</v>
      </c>
      <c r="D1442" s="3">
        <v>45880</v>
      </c>
      <c r="E1442" s="3">
        <v>45888</v>
      </c>
      <c r="F1442" s="3">
        <v>45887</v>
      </c>
      <c r="G1442" s="2" t="s">
        <v>2633</v>
      </c>
      <c r="H1442" s="2">
        <v>18</v>
      </c>
      <c r="I1442" s="2">
        <f>IFERROR(INDEX(Raw_Orders!H1442:H3870,MATCH(B1442,Raw_Orders!A1442:A3870,0)),0)</f>
        <v>18</v>
      </c>
      <c r="J1442" s="2" t="str">
        <f t="shared" si="88"/>
        <v>Yes</v>
      </c>
      <c r="K1442" s="2" t="str">
        <f t="shared" si="89"/>
        <v>Yes</v>
      </c>
      <c r="L1442" s="2" t="str">
        <f t="shared" si="91"/>
        <v>Yes</v>
      </c>
      <c r="M1442" s="2">
        <f t="shared" si="90"/>
        <v>1</v>
      </c>
    </row>
    <row r="1443" spans="1:13" x14ac:dyDescent="0.3">
      <c r="A1443" s="5" t="s">
        <v>4072</v>
      </c>
      <c r="B1443" s="5" t="s">
        <v>1592</v>
      </c>
      <c r="C1443" s="5" t="s">
        <v>2611</v>
      </c>
      <c r="D1443" s="6">
        <v>45880</v>
      </c>
      <c r="E1443" s="6">
        <v>45885</v>
      </c>
      <c r="F1443" s="6">
        <v>45888</v>
      </c>
      <c r="G1443" s="5" t="s">
        <v>2633</v>
      </c>
      <c r="H1443" s="5">
        <v>55</v>
      </c>
      <c r="I1443" s="5">
        <f>IFERROR(INDEX(Raw_Orders!H1443:H3871,MATCH(B1443,Raw_Orders!A1443:A3871,0)),0)</f>
        <v>55</v>
      </c>
      <c r="J1443" s="5" t="str">
        <f t="shared" si="88"/>
        <v>No</v>
      </c>
      <c r="K1443" s="5" t="str">
        <f t="shared" si="89"/>
        <v>Yes</v>
      </c>
      <c r="L1443" s="5" t="str">
        <f t="shared" si="91"/>
        <v>No</v>
      </c>
      <c r="M1443" s="5">
        <f t="shared" si="90"/>
        <v>0</v>
      </c>
    </row>
    <row r="1444" spans="1:13" x14ac:dyDescent="0.3">
      <c r="A1444" s="2" t="s">
        <v>4073</v>
      </c>
      <c r="B1444" s="2" t="s">
        <v>1593</v>
      </c>
      <c r="C1444" s="2" t="s">
        <v>2614</v>
      </c>
      <c r="D1444" s="3">
        <v>45880</v>
      </c>
      <c r="E1444" s="3">
        <v>45885</v>
      </c>
      <c r="F1444" s="3">
        <v>45898</v>
      </c>
      <c r="G1444" s="2" t="s">
        <v>2641</v>
      </c>
      <c r="H1444" s="2">
        <v>6</v>
      </c>
      <c r="I1444" s="2">
        <f>IFERROR(INDEX(Raw_Orders!H1444:H3872,MATCH(B1444,Raw_Orders!A1444:A3872,0)),0)</f>
        <v>6</v>
      </c>
      <c r="J1444" s="2" t="str">
        <f t="shared" si="88"/>
        <v>No</v>
      </c>
      <c r="K1444" s="2" t="str">
        <f t="shared" si="89"/>
        <v>Yes</v>
      </c>
      <c r="L1444" s="2" t="str">
        <f t="shared" si="91"/>
        <v>No</v>
      </c>
      <c r="M1444" s="2">
        <f t="shared" si="90"/>
        <v>0</v>
      </c>
    </row>
    <row r="1445" spans="1:13" x14ac:dyDescent="0.3">
      <c r="A1445" s="5" t="s">
        <v>4074</v>
      </c>
      <c r="B1445" s="5" t="s">
        <v>1594</v>
      </c>
      <c r="C1445" s="5" t="s">
        <v>2601</v>
      </c>
      <c r="D1445" s="6">
        <v>45882</v>
      </c>
      <c r="E1445" s="6">
        <v>45885</v>
      </c>
      <c r="F1445" s="6">
        <v>45888</v>
      </c>
      <c r="G1445" s="5" t="s">
        <v>2641</v>
      </c>
      <c r="H1445" s="5">
        <v>9</v>
      </c>
      <c r="I1445" s="5">
        <f>IFERROR(INDEX(Raw_Orders!H1445:H3873,MATCH(B1445,Raw_Orders!A1445:A3873,0)),0)</f>
        <v>9</v>
      </c>
      <c r="J1445" s="5" t="str">
        <f t="shared" si="88"/>
        <v>No</v>
      </c>
      <c r="K1445" s="5" t="str">
        <f t="shared" si="89"/>
        <v>Yes</v>
      </c>
      <c r="L1445" s="5" t="str">
        <f t="shared" si="91"/>
        <v>No</v>
      </c>
      <c r="M1445" s="5">
        <f t="shared" si="90"/>
        <v>0</v>
      </c>
    </row>
    <row r="1446" spans="1:13" x14ac:dyDescent="0.3">
      <c r="A1446" s="2" t="s">
        <v>4075</v>
      </c>
      <c r="B1446" s="2" t="s">
        <v>1595</v>
      </c>
      <c r="C1446" s="2" t="s">
        <v>2616</v>
      </c>
      <c r="D1446" s="3">
        <v>45880</v>
      </c>
      <c r="E1446" s="3">
        <v>45890</v>
      </c>
      <c r="F1446" s="3">
        <v>45896</v>
      </c>
      <c r="G1446" s="2" t="s">
        <v>2641</v>
      </c>
      <c r="H1446" s="2">
        <v>43</v>
      </c>
      <c r="I1446" s="2">
        <f>IFERROR(INDEX(Raw_Orders!H1446:H3874,MATCH(B1446,Raw_Orders!A1446:A3874,0)),0)</f>
        <v>49</v>
      </c>
      <c r="J1446" s="2" t="str">
        <f t="shared" si="88"/>
        <v>No</v>
      </c>
      <c r="K1446" s="2" t="str">
        <f t="shared" si="89"/>
        <v>N0</v>
      </c>
      <c r="L1446" s="2" t="str">
        <f t="shared" si="91"/>
        <v>No</v>
      </c>
      <c r="M1446" s="2">
        <f t="shared" si="90"/>
        <v>0</v>
      </c>
    </row>
    <row r="1447" spans="1:13" x14ac:dyDescent="0.3">
      <c r="A1447" s="5" t="s">
        <v>4076</v>
      </c>
      <c r="B1447" s="5" t="s">
        <v>1596</v>
      </c>
      <c r="C1447" s="5" t="s">
        <v>2604</v>
      </c>
      <c r="D1447" s="6">
        <v>45881</v>
      </c>
      <c r="E1447" s="6">
        <v>45885</v>
      </c>
      <c r="F1447" s="6">
        <v>45884</v>
      </c>
      <c r="G1447" s="5" t="s">
        <v>2633</v>
      </c>
      <c r="H1447" s="5">
        <v>25</v>
      </c>
      <c r="I1447" s="5">
        <f>IFERROR(INDEX(Raw_Orders!H1447:H3875,MATCH(B1447,Raw_Orders!A1447:A3875,0)),0)</f>
        <v>25</v>
      </c>
      <c r="J1447" s="5" t="str">
        <f t="shared" si="88"/>
        <v>Yes</v>
      </c>
      <c r="K1447" s="5" t="str">
        <f t="shared" si="89"/>
        <v>Yes</v>
      </c>
      <c r="L1447" s="5" t="str">
        <f t="shared" si="91"/>
        <v>Yes</v>
      </c>
      <c r="M1447" s="5">
        <f t="shared" si="90"/>
        <v>1</v>
      </c>
    </row>
    <row r="1448" spans="1:13" x14ac:dyDescent="0.3">
      <c r="A1448" s="2" t="s">
        <v>4077</v>
      </c>
      <c r="B1448" s="2" t="s">
        <v>1597</v>
      </c>
      <c r="C1448" s="2" t="s">
        <v>2606</v>
      </c>
      <c r="D1448" s="3">
        <v>45881</v>
      </c>
      <c r="E1448" s="3">
        <v>45883</v>
      </c>
      <c r="F1448" s="3">
        <v>45888</v>
      </c>
      <c r="G1448" s="2" t="s">
        <v>2629</v>
      </c>
      <c r="H1448" s="2">
        <v>63</v>
      </c>
      <c r="I1448" s="2">
        <f>IFERROR(INDEX(Raw_Orders!H1448:H3876,MATCH(B1448,Raw_Orders!A1448:A3876,0)),0)</f>
        <v>63</v>
      </c>
      <c r="J1448" s="2" t="str">
        <f t="shared" si="88"/>
        <v>No</v>
      </c>
      <c r="K1448" s="2" t="str">
        <f t="shared" si="89"/>
        <v>Yes</v>
      </c>
      <c r="L1448" s="2" t="str">
        <f t="shared" si="91"/>
        <v>No</v>
      </c>
      <c r="M1448" s="2">
        <f t="shared" si="90"/>
        <v>0</v>
      </c>
    </row>
    <row r="1449" spans="1:13" x14ac:dyDescent="0.3">
      <c r="A1449" s="5" t="s">
        <v>4078</v>
      </c>
      <c r="B1449" s="5" t="s">
        <v>1598</v>
      </c>
      <c r="C1449" s="5" t="s">
        <v>2608</v>
      </c>
      <c r="D1449" s="6">
        <v>45880</v>
      </c>
      <c r="E1449" s="6">
        <v>45883</v>
      </c>
      <c r="F1449" s="6">
        <v>45892</v>
      </c>
      <c r="G1449" s="5" t="s">
        <v>2631</v>
      </c>
      <c r="H1449" s="5">
        <v>28</v>
      </c>
      <c r="I1449" s="5">
        <f>IFERROR(INDEX(Raw_Orders!H1449:H3877,MATCH(B1449,Raw_Orders!A1449:A3877,0)),0)</f>
        <v>28</v>
      </c>
      <c r="J1449" s="5" t="str">
        <f t="shared" si="88"/>
        <v>No</v>
      </c>
      <c r="K1449" s="5" t="str">
        <f t="shared" si="89"/>
        <v>Yes</v>
      </c>
      <c r="L1449" s="5" t="str">
        <f t="shared" si="91"/>
        <v>No</v>
      </c>
      <c r="M1449" s="5">
        <f t="shared" si="90"/>
        <v>0</v>
      </c>
    </row>
    <row r="1450" spans="1:13" x14ac:dyDescent="0.3">
      <c r="A1450" s="2" t="s">
        <v>4079</v>
      </c>
      <c r="B1450" s="2" t="s">
        <v>1599</v>
      </c>
      <c r="C1450" s="2" t="s">
        <v>2598</v>
      </c>
      <c r="D1450" s="3">
        <v>45881</v>
      </c>
      <c r="E1450" s="3">
        <v>45891</v>
      </c>
      <c r="F1450" s="3">
        <v>45896</v>
      </c>
      <c r="G1450" s="2" t="s">
        <v>2627</v>
      </c>
      <c r="H1450" s="2">
        <v>23</v>
      </c>
      <c r="I1450" s="2">
        <f>IFERROR(INDEX(Raw_Orders!H1450:H3878,MATCH(B1450,Raw_Orders!A1450:A3878,0)),0)</f>
        <v>23</v>
      </c>
      <c r="J1450" s="2" t="str">
        <f t="shared" si="88"/>
        <v>No</v>
      </c>
      <c r="K1450" s="2" t="str">
        <f t="shared" si="89"/>
        <v>Yes</v>
      </c>
      <c r="L1450" s="2" t="str">
        <f t="shared" si="91"/>
        <v>No</v>
      </c>
      <c r="M1450" s="2">
        <f t="shared" si="90"/>
        <v>0</v>
      </c>
    </row>
    <row r="1451" spans="1:13" x14ac:dyDescent="0.3">
      <c r="A1451" s="5" t="s">
        <v>4080</v>
      </c>
      <c r="B1451" s="5" t="s">
        <v>1600</v>
      </c>
      <c r="C1451" s="5" t="s">
        <v>2611</v>
      </c>
      <c r="D1451" s="6">
        <v>45883</v>
      </c>
      <c r="E1451" s="6">
        <v>45886</v>
      </c>
      <c r="F1451" s="6">
        <v>45892</v>
      </c>
      <c r="G1451" s="5" t="s">
        <v>2633</v>
      </c>
      <c r="H1451" s="5">
        <v>51</v>
      </c>
      <c r="I1451" s="5">
        <f>IFERROR(INDEX(Raw_Orders!H1451:H3879,MATCH(B1451,Raw_Orders!A1451:A3879,0)),0)</f>
        <v>51</v>
      </c>
      <c r="J1451" s="5" t="str">
        <f t="shared" si="88"/>
        <v>No</v>
      </c>
      <c r="K1451" s="5" t="str">
        <f t="shared" si="89"/>
        <v>Yes</v>
      </c>
      <c r="L1451" s="5" t="str">
        <f t="shared" si="91"/>
        <v>No</v>
      </c>
      <c r="M1451" s="5">
        <f t="shared" si="90"/>
        <v>0</v>
      </c>
    </row>
    <row r="1452" spans="1:13" x14ac:dyDescent="0.3">
      <c r="A1452" s="2" t="s">
        <v>4081</v>
      </c>
      <c r="B1452" s="2" t="s">
        <v>1601</v>
      </c>
      <c r="C1452" s="2" t="s">
        <v>2601</v>
      </c>
      <c r="D1452" s="3">
        <v>45882</v>
      </c>
      <c r="E1452" s="3">
        <v>45884</v>
      </c>
      <c r="F1452" s="3">
        <v>45887</v>
      </c>
      <c r="G1452" s="2" t="s">
        <v>2631</v>
      </c>
      <c r="H1452" s="2">
        <v>25</v>
      </c>
      <c r="I1452" s="2">
        <f>IFERROR(INDEX(Raw_Orders!H1452:H3880,MATCH(B1452,Raw_Orders!A1452:A3880,0)),0)</f>
        <v>25</v>
      </c>
      <c r="J1452" s="2" t="str">
        <f t="shared" si="88"/>
        <v>No</v>
      </c>
      <c r="K1452" s="2" t="str">
        <f t="shared" si="89"/>
        <v>Yes</v>
      </c>
      <c r="L1452" s="2" t="str">
        <f t="shared" si="91"/>
        <v>No</v>
      </c>
      <c r="M1452" s="2">
        <f t="shared" si="90"/>
        <v>0</v>
      </c>
    </row>
    <row r="1453" spans="1:13" x14ac:dyDescent="0.3">
      <c r="A1453" s="5" t="s">
        <v>4082</v>
      </c>
      <c r="B1453" s="5" t="s">
        <v>1602</v>
      </c>
      <c r="C1453" s="5" t="s">
        <v>2614</v>
      </c>
      <c r="D1453" s="6">
        <v>45882</v>
      </c>
      <c r="E1453" s="6">
        <v>45890</v>
      </c>
      <c r="F1453" s="6">
        <v>45895</v>
      </c>
      <c r="G1453" s="5" t="s">
        <v>2631</v>
      </c>
      <c r="H1453" s="5">
        <v>13</v>
      </c>
      <c r="I1453" s="5">
        <f>IFERROR(INDEX(Raw_Orders!H1453:H3881,MATCH(B1453,Raw_Orders!A1453:A3881,0)),0)</f>
        <v>13</v>
      </c>
      <c r="J1453" s="5" t="str">
        <f t="shared" si="88"/>
        <v>No</v>
      </c>
      <c r="K1453" s="5" t="str">
        <f t="shared" si="89"/>
        <v>Yes</v>
      </c>
      <c r="L1453" s="5" t="str">
        <f t="shared" si="91"/>
        <v>No</v>
      </c>
      <c r="M1453" s="5">
        <f t="shared" si="90"/>
        <v>0</v>
      </c>
    </row>
    <row r="1454" spans="1:13" x14ac:dyDescent="0.3">
      <c r="A1454" s="2" t="s">
        <v>4083</v>
      </c>
      <c r="B1454" s="2" t="s">
        <v>1603</v>
      </c>
      <c r="C1454" s="2" t="s">
        <v>2604</v>
      </c>
      <c r="D1454" s="3">
        <v>45881</v>
      </c>
      <c r="E1454" s="3">
        <v>45888</v>
      </c>
      <c r="F1454" s="3">
        <v>45886</v>
      </c>
      <c r="G1454" s="2" t="s">
        <v>2631</v>
      </c>
      <c r="H1454" s="2">
        <v>33</v>
      </c>
      <c r="I1454" s="2">
        <f>IFERROR(INDEX(Raw_Orders!H1454:H3882,MATCH(B1454,Raw_Orders!A1454:A3882,0)),0)</f>
        <v>33</v>
      </c>
      <c r="J1454" s="2" t="str">
        <f t="shared" si="88"/>
        <v>Yes</v>
      </c>
      <c r="K1454" s="2" t="str">
        <f t="shared" si="89"/>
        <v>Yes</v>
      </c>
      <c r="L1454" s="2" t="str">
        <f t="shared" si="91"/>
        <v>Yes</v>
      </c>
      <c r="M1454" s="2">
        <f t="shared" si="90"/>
        <v>1</v>
      </c>
    </row>
    <row r="1455" spans="1:13" x14ac:dyDescent="0.3">
      <c r="A1455" s="5" t="s">
        <v>4084</v>
      </c>
      <c r="B1455" s="5" t="s">
        <v>1604</v>
      </c>
      <c r="C1455" s="5" t="s">
        <v>2608</v>
      </c>
      <c r="D1455" s="6">
        <v>45881</v>
      </c>
      <c r="E1455" s="6">
        <v>45888</v>
      </c>
      <c r="F1455" s="6">
        <v>45893</v>
      </c>
      <c r="G1455" s="5" t="s">
        <v>2631</v>
      </c>
      <c r="H1455" s="5">
        <v>7</v>
      </c>
      <c r="I1455" s="5">
        <f>IFERROR(INDEX(Raw_Orders!H1455:H3883,MATCH(B1455,Raw_Orders!A1455:A3883,0)),0)</f>
        <v>7</v>
      </c>
      <c r="J1455" s="5" t="str">
        <f t="shared" si="88"/>
        <v>No</v>
      </c>
      <c r="K1455" s="5" t="str">
        <f t="shared" si="89"/>
        <v>Yes</v>
      </c>
      <c r="L1455" s="5" t="str">
        <f t="shared" si="91"/>
        <v>No</v>
      </c>
      <c r="M1455" s="5">
        <f t="shared" si="90"/>
        <v>0</v>
      </c>
    </row>
    <row r="1456" spans="1:13" x14ac:dyDescent="0.3">
      <c r="A1456" s="2" t="s">
        <v>4085</v>
      </c>
      <c r="B1456" s="2" t="s">
        <v>1605</v>
      </c>
      <c r="C1456" s="2" t="s">
        <v>2598</v>
      </c>
      <c r="D1456" s="3">
        <v>45883</v>
      </c>
      <c r="E1456" s="3">
        <v>45885</v>
      </c>
      <c r="F1456" s="3">
        <v>45896</v>
      </c>
      <c r="G1456" s="2" t="s">
        <v>2631</v>
      </c>
      <c r="H1456" s="2">
        <v>56</v>
      </c>
      <c r="I1456" s="2">
        <f>IFERROR(INDEX(Raw_Orders!H1456:H3884,MATCH(B1456,Raw_Orders!A1456:A3884,0)),0)</f>
        <v>56</v>
      </c>
      <c r="J1456" s="2" t="str">
        <f t="shared" si="88"/>
        <v>No</v>
      </c>
      <c r="K1456" s="2" t="str">
        <f t="shared" si="89"/>
        <v>Yes</v>
      </c>
      <c r="L1456" s="2" t="str">
        <f t="shared" si="91"/>
        <v>No</v>
      </c>
      <c r="M1456" s="2">
        <f t="shared" si="90"/>
        <v>0</v>
      </c>
    </row>
    <row r="1457" spans="1:13" x14ac:dyDescent="0.3">
      <c r="A1457" s="5" t="s">
        <v>4086</v>
      </c>
      <c r="B1457" s="5" t="s">
        <v>1606</v>
      </c>
      <c r="C1457" s="5" t="s">
        <v>2611</v>
      </c>
      <c r="D1457" s="6">
        <v>45884</v>
      </c>
      <c r="E1457" s="6">
        <v>45890</v>
      </c>
      <c r="F1457" s="6">
        <v>45895</v>
      </c>
      <c r="G1457" s="5" t="s">
        <v>2633</v>
      </c>
      <c r="H1457" s="5">
        <v>11</v>
      </c>
      <c r="I1457" s="5">
        <f>IFERROR(INDEX(Raw_Orders!H1457:H3885,MATCH(B1457,Raw_Orders!A1457:A3885,0)),0)</f>
        <v>11</v>
      </c>
      <c r="J1457" s="5" t="str">
        <f t="shared" si="88"/>
        <v>No</v>
      </c>
      <c r="K1457" s="5" t="str">
        <f t="shared" si="89"/>
        <v>Yes</v>
      </c>
      <c r="L1457" s="5" t="str">
        <f t="shared" si="91"/>
        <v>No</v>
      </c>
      <c r="M1457" s="5">
        <f t="shared" si="90"/>
        <v>0</v>
      </c>
    </row>
    <row r="1458" spans="1:13" x14ac:dyDescent="0.3">
      <c r="A1458" s="2" t="s">
        <v>4087</v>
      </c>
      <c r="B1458" s="2" t="s">
        <v>1607</v>
      </c>
      <c r="C1458" s="2" t="s">
        <v>2601</v>
      </c>
      <c r="D1458" s="3">
        <v>45884</v>
      </c>
      <c r="E1458" s="3">
        <v>45889</v>
      </c>
      <c r="F1458" s="3">
        <v>45891</v>
      </c>
      <c r="G1458" s="2" t="s">
        <v>2633</v>
      </c>
      <c r="H1458" s="2">
        <v>12</v>
      </c>
      <c r="I1458" s="2">
        <f>IFERROR(INDEX(Raw_Orders!H1458:H3886,MATCH(B1458,Raw_Orders!A1458:A3886,0)),0)</f>
        <v>12</v>
      </c>
      <c r="J1458" s="2" t="str">
        <f t="shared" si="88"/>
        <v>No</v>
      </c>
      <c r="K1458" s="2" t="str">
        <f t="shared" si="89"/>
        <v>Yes</v>
      </c>
      <c r="L1458" s="2" t="str">
        <f t="shared" si="91"/>
        <v>No</v>
      </c>
      <c r="M1458" s="2">
        <f t="shared" si="90"/>
        <v>0</v>
      </c>
    </row>
    <row r="1459" spans="1:13" x14ac:dyDescent="0.3">
      <c r="A1459" s="5" t="s">
        <v>4088</v>
      </c>
      <c r="B1459" s="5" t="s">
        <v>1608</v>
      </c>
      <c r="C1459" s="5" t="s">
        <v>2614</v>
      </c>
      <c r="D1459" s="6">
        <v>45884</v>
      </c>
      <c r="E1459" s="6">
        <v>45892</v>
      </c>
      <c r="F1459" s="6">
        <v>45899</v>
      </c>
      <c r="G1459" s="5" t="s">
        <v>2631</v>
      </c>
      <c r="H1459" s="5">
        <v>12</v>
      </c>
      <c r="I1459" s="5">
        <f>IFERROR(INDEX(Raw_Orders!H1459:H3887,MATCH(B1459,Raw_Orders!A1459:A3887,0)),0)</f>
        <v>20</v>
      </c>
      <c r="J1459" s="5" t="str">
        <f t="shared" si="88"/>
        <v>No</v>
      </c>
      <c r="K1459" s="5" t="str">
        <f t="shared" si="89"/>
        <v>N0</v>
      </c>
      <c r="L1459" s="5" t="str">
        <f t="shared" si="91"/>
        <v>No</v>
      </c>
      <c r="M1459" s="5">
        <f t="shared" si="90"/>
        <v>0</v>
      </c>
    </row>
    <row r="1460" spans="1:13" x14ac:dyDescent="0.3">
      <c r="A1460" s="2" t="s">
        <v>4089</v>
      </c>
      <c r="B1460" s="2" t="s">
        <v>1609</v>
      </c>
      <c r="C1460" s="2" t="s">
        <v>2604</v>
      </c>
      <c r="D1460" s="3">
        <v>45883</v>
      </c>
      <c r="E1460" s="3">
        <v>45887</v>
      </c>
      <c r="F1460" s="3">
        <v>45889</v>
      </c>
      <c r="G1460" s="2" t="s">
        <v>2627</v>
      </c>
      <c r="H1460" s="2">
        <v>35</v>
      </c>
      <c r="I1460" s="2">
        <f>IFERROR(INDEX(Raw_Orders!H1460:H3888,MATCH(B1460,Raw_Orders!A1460:A3888,0)),0)</f>
        <v>35</v>
      </c>
      <c r="J1460" s="2" t="str">
        <f t="shared" si="88"/>
        <v>No</v>
      </c>
      <c r="K1460" s="2" t="str">
        <f t="shared" si="89"/>
        <v>Yes</v>
      </c>
      <c r="L1460" s="2" t="str">
        <f t="shared" si="91"/>
        <v>No</v>
      </c>
      <c r="M1460" s="2">
        <f t="shared" si="90"/>
        <v>0</v>
      </c>
    </row>
    <row r="1461" spans="1:13" x14ac:dyDescent="0.3">
      <c r="A1461" s="5" t="s">
        <v>4090</v>
      </c>
      <c r="B1461" s="5" t="s">
        <v>1610</v>
      </c>
      <c r="C1461" s="5" t="s">
        <v>2606</v>
      </c>
      <c r="D1461" s="6">
        <v>45884</v>
      </c>
      <c r="E1461" s="6">
        <v>45891</v>
      </c>
      <c r="F1461" s="6">
        <v>45889</v>
      </c>
      <c r="G1461" s="5" t="s">
        <v>2631</v>
      </c>
      <c r="H1461" s="5">
        <v>38</v>
      </c>
      <c r="I1461" s="5">
        <f>IFERROR(INDEX(Raw_Orders!H1461:H3889,MATCH(B1461,Raw_Orders!A1461:A3889,0)),0)</f>
        <v>38</v>
      </c>
      <c r="J1461" s="5" t="str">
        <f t="shared" si="88"/>
        <v>Yes</v>
      </c>
      <c r="K1461" s="5" t="str">
        <f t="shared" si="89"/>
        <v>Yes</v>
      </c>
      <c r="L1461" s="5" t="str">
        <f t="shared" si="91"/>
        <v>Yes</v>
      </c>
      <c r="M1461" s="5">
        <f t="shared" si="90"/>
        <v>1</v>
      </c>
    </row>
    <row r="1462" spans="1:13" x14ac:dyDescent="0.3">
      <c r="A1462" s="2" t="s">
        <v>4091</v>
      </c>
      <c r="B1462" s="2" t="s">
        <v>1611</v>
      </c>
      <c r="C1462" s="2" t="s">
        <v>2606</v>
      </c>
      <c r="D1462" s="3">
        <v>45882</v>
      </c>
      <c r="E1462" s="3">
        <v>45887</v>
      </c>
      <c r="F1462" s="3">
        <v>45888</v>
      </c>
      <c r="G1462" s="2" t="s">
        <v>2627</v>
      </c>
      <c r="H1462" s="2">
        <v>13</v>
      </c>
      <c r="I1462" s="2">
        <f>IFERROR(INDEX(Raw_Orders!H1462:H3890,MATCH(B1462,Raw_Orders!A1462:A3890,0)),0)</f>
        <v>13</v>
      </c>
      <c r="J1462" s="2" t="str">
        <f t="shared" si="88"/>
        <v>No</v>
      </c>
      <c r="K1462" s="2" t="str">
        <f t="shared" si="89"/>
        <v>Yes</v>
      </c>
      <c r="L1462" s="2" t="str">
        <f t="shared" si="91"/>
        <v>No</v>
      </c>
      <c r="M1462" s="2">
        <f t="shared" si="90"/>
        <v>0</v>
      </c>
    </row>
    <row r="1463" spans="1:13" x14ac:dyDescent="0.3">
      <c r="A1463" s="5" t="s">
        <v>4092</v>
      </c>
      <c r="B1463" s="5" t="s">
        <v>1612</v>
      </c>
      <c r="C1463" s="5" t="s">
        <v>2608</v>
      </c>
      <c r="D1463" s="6">
        <v>45884</v>
      </c>
      <c r="E1463" s="6">
        <v>45891</v>
      </c>
      <c r="F1463" s="6">
        <v>45898</v>
      </c>
      <c r="G1463" s="5" t="s">
        <v>2641</v>
      </c>
      <c r="H1463" s="5">
        <v>7</v>
      </c>
      <c r="I1463" s="5">
        <f>IFERROR(INDEX(Raw_Orders!H1463:H3891,MATCH(B1463,Raw_Orders!A1463:A3891,0)),0)</f>
        <v>8</v>
      </c>
      <c r="J1463" s="5" t="str">
        <f t="shared" si="88"/>
        <v>No</v>
      </c>
      <c r="K1463" s="5" t="str">
        <f t="shared" si="89"/>
        <v>N0</v>
      </c>
      <c r="L1463" s="5" t="str">
        <f t="shared" si="91"/>
        <v>No</v>
      </c>
      <c r="M1463" s="5">
        <f t="shared" si="90"/>
        <v>0</v>
      </c>
    </row>
    <row r="1464" spans="1:13" x14ac:dyDescent="0.3">
      <c r="A1464" s="2" t="s">
        <v>4093</v>
      </c>
      <c r="B1464" s="2" t="s">
        <v>1613</v>
      </c>
      <c r="C1464" s="2" t="s">
        <v>2614</v>
      </c>
      <c r="D1464" s="3">
        <v>45883</v>
      </c>
      <c r="E1464" s="3">
        <v>45892</v>
      </c>
      <c r="F1464" s="3">
        <v>45896</v>
      </c>
      <c r="G1464" s="2" t="s">
        <v>2631</v>
      </c>
      <c r="H1464" s="2">
        <v>47</v>
      </c>
      <c r="I1464" s="2">
        <f>IFERROR(INDEX(Raw_Orders!H1464:H3892,MATCH(B1464,Raw_Orders!A1464:A3892,0)),0)</f>
        <v>47</v>
      </c>
      <c r="J1464" s="2" t="str">
        <f t="shared" si="88"/>
        <v>No</v>
      </c>
      <c r="K1464" s="2" t="str">
        <f t="shared" si="89"/>
        <v>Yes</v>
      </c>
      <c r="L1464" s="2" t="str">
        <f t="shared" si="91"/>
        <v>No</v>
      </c>
      <c r="M1464" s="2">
        <f t="shared" si="90"/>
        <v>0</v>
      </c>
    </row>
    <row r="1465" spans="1:13" x14ac:dyDescent="0.3">
      <c r="A1465" s="5" t="s">
        <v>4094</v>
      </c>
      <c r="B1465" s="5" t="s">
        <v>1614</v>
      </c>
      <c r="C1465" s="5" t="s">
        <v>2604</v>
      </c>
      <c r="D1465" s="6">
        <v>45884</v>
      </c>
      <c r="E1465" s="6">
        <v>45887</v>
      </c>
      <c r="F1465" s="6">
        <v>45890</v>
      </c>
      <c r="G1465" s="5" t="s">
        <v>2629</v>
      </c>
      <c r="H1465" s="5">
        <v>14</v>
      </c>
      <c r="I1465" s="5">
        <f>IFERROR(INDEX(Raw_Orders!H1465:H3893,MATCH(B1465,Raw_Orders!A1465:A3893,0)),0)</f>
        <v>14</v>
      </c>
      <c r="J1465" s="5" t="str">
        <f t="shared" si="88"/>
        <v>No</v>
      </c>
      <c r="K1465" s="5" t="str">
        <f t="shared" si="89"/>
        <v>Yes</v>
      </c>
      <c r="L1465" s="5" t="str">
        <f t="shared" si="91"/>
        <v>No</v>
      </c>
      <c r="M1465" s="5">
        <f t="shared" si="90"/>
        <v>0</v>
      </c>
    </row>
    <row r="1466" spans="1:13" x14ac:dyDescent="0.3">
      <c r="A1466" s="2" t="s">
        <v>4095</v>
      </c>
      <c r="B1466" s="2" t="s">
        <v>1615</v>
      </c>
      <c r="C1466" s="2" t="s">
        <v>2608</v>
      </c>
      <c r="D1466" s="3">
        <v>45883</v>
      </c>
      <c r="E1466" s="3">
        <v>45889</v>
      </c>
      <c r="F1466" s="3">
        <v>45895</v>
      </c>
      <c r="G1466" s="2" t="s">
        <v>2631</v>
      </c>
      <c r="H1466" s="2">
        <v>33</v>
      </c>
      <c r="I1466" s="2">
        <f>IFERROR(INDEX(Raw_Orders!H1466:H3894,MATCH(B1466,Raw_Orders!A1466:A3894,0)),0)</f>
        <v>33</v>
      </c>
      <c r="J1466" s="2" t="str">
        <f t="shared" si="88"/>
        <v>No</v>
      </c>
      <c r="K1466" s="2" t="str">
        <f t="shared" si="89"/>
        <v>Yes</v>
      </c>
      <c r="L1466" s="2" t="str">
        <f t="shared" si="91"/>
        <v>No</v>
      </c>
      <c r="M1466" s="2">
        <f t="shared" si="90"/>
        <v>0</v>
      </c>
    </row>
    <row r="1467" spans="1:13" x14ac:dyDescent="0.3">
      <c r="A1467" s="5" t="s">
        <v>4096</v>
      </c>
      <c r="B1467" s="5" t="s">
        <v>1616</v>
      </c>
      <c r="C1467" s="5" t="s">
        <v>2598</v>
      </c>
      <c r="D1467" s="6">
        <v>45886</v>
      </c>
      <c r="E1467" s="6">
        <v>45892</v>
      </c>
      <c r="F1467" s="6">
        <v>45901</v>
      </c>
      <c r="G1467" s="5" t="s">
        <v>2633</v>
      </c>
      <c r="H1467" s="5">
        <v>20</v>
      </c>
      <c r="I1467" s="5">
        <f>IFERROR(INDEX(Raw_Orders!H1467:H3895,MATCH(B1467,Raw_Orders!A1467:A3895,0)),0)</f>
        <v>20</v>
      </c>
      <c r="J1467" s="5" t="str">
        <f t="shared" si="88"/>
        <v>No</v>
      </c>
      <c r="K1467" s="5" t="str">
        <f t="shared" si="89"/>
        <v>Yes</v>
      </c>
      <c r="L1467" s="5" t="str">
        <f t="shared" si="91"/>
        <v>No</v>
      </c>
      <c r="M1467" s="5">
        <f t="shared" si="90"/>
        <v>0</v>
      </c>
    </row>
    <row r="1468" spans="1:13" x14ac:dyDescent="0.3">
      <c r="A1468" s="2" t="s">
        <v>4097</v>
      </c>
      <c r="B1468" s="2" t="s">
        <v>1617</v>
      </c>
      <c r="C1468" s="2" t="s">
        <v>2611</v>
      </c>
      <c r="D1468" s="3">
        <v>45884</v>
      </c>
      <c r="E1468" s="3">
        <v>45893</v>
      </c>
      <c r="F1468" s="3">
        <v>45891</v>
      </c>
      <c r="G1468" s="2" t="s">
        <v>2631</v>
      </c>
      <c r="H1468" s="2">
        <v>47</v>
      </c>
      <c r="I1468" s="2">
        <f>IFERROR(INDEX(Raw_Orders!H1468:H3896,MATCH(B1468,Raw_Orders!A1468:A3896,0)),0)</f>
        <v>50</v>
      </c>
      <c r="J1468" s="2" t="str">
        <f t="shared" si="88"/>
        <v>Yes</v>
      </c>
      <c r="K1468" s="2" t="str">
        <f t="shared" si="89"/>
        <v>N0</v>
      </c>
      <c r="L1468" s="2" t="str">
        <f t="shared" si="91"/>
        <v>No</v>
      </c>
      <c r="M1468" s="2">
        <f t="shared" si="90"/>
        <v>0</v>
      </c>
    </row>
    <row r="1469" spans="1:13" x14ac:dyDescent="0.3">
      <c r="A1469" s="5" t="s">
        <v>4098</v>
      </c>
      <c r="B1469" s="5" t="s">
        <v>1618</v>
      </c>
      <c r="C1469" s="5" t="s">
        <v>2614</v>
      </c>
      <c r="D1469" s="6">
        <v>45886</v>
      </c>
      <c r="E1469" s="6">
        <v>45889</v>
      </c>
      <c r="F1469" s="6">
        <v>45900</v>
      </c>
      <c r="G1469" s="5" t="s">
        <v>2627</v>
      </c>
      <c r="H1469" s="5">
        <v>42</v>
      </c>
      <c r="I1469" s="5">
        <f>IFERROR(INDEX(Raw_Orders!H1469:H3897,MATCH(B1469,Raw_Orders!A1469:A3897,0)),0)</f>
        <v>42</v>
      </c>
      <c r="J1469" s="5" t="str">
        <f t="shared" si="88"/>
        <v>No</v>
      </c>
      <c r="K1469" s="5" t="str">
        <f t="shared" si="89"/>
        <v>Yes</v>
      </c>
      <c r="L1469" s="5" t="str">
        <f t="shared" si="91"/>
        <v>No</v>
      </c>
      <c r="M1469" s="5">
        <f t="shared" si="90"/>
        <v>0</v>
      </c>
    </row>
    <row r="1470" spans="1:13" x14ac:dyDescent="0.3">
      <c r="A1470" s="2" t="s">
        <v>4099</v>
      </c>
      <c r="B1470" s="2" t="s">
        <v>1619</v>
      </c>
      <c r="C1470" s="2" t="s">
        <v>2614</v>
      </c>
      <c r="D1470" s="3">
        <v>45886</v>
      </c>
      <c r="E1470" s="3">
        <v>45892</v>
      </c>
      <c r="F1470" s="3">
        <v>45900</v>
      </c>
      <c r="G1470" s="2" t="s">
        <v>2633</v>
      </c>
      <c r="H1470" s="2">
        <v>26</v>
      </c>
      <c r="I1470" s="2">
        <f>IFERROR(INDEX(Raw_Orders!H1470:H3898,MATCH(B1470,Raw_Orders!A1470:A3898,0)),0)</f>
        <v>26</v>
      </c>
      <c r="J1470" s="2" t="str">
        <f t="shared" si="88"/>
        <v>No</v>
      </c>
      <c r="K1470" s="2" t="str">
        <f t="shared" si="89"/>
        <v>Yes</v>
      </c>
      <c r="L1470" s="2" t="str">
        <f t="shared" si="91"/>
        <v>No</v>
      </c>
      <c r="M1470" s="2">
        <f t="shared" si="90"/>
        <v>0</v>
      </c>
    </row>
    <row r="1471" spans="1:13" x14ac:dyDescent="0.3">
      <c r="A1471" s="5" t="s">
        <v>4100</v>
      </c>
      <c r="B1471" s="5" t="s">
        <v>1620</v>
      </c>
      <c r="C1471" s="5" t="s">
        <v>2604</v>
      </c>
      <c r="D1471" s="6">
        <v>45885</v>
      </c>
      <c r="E1471" s="6">
        <v>45889</v>
      </c>
      <c r="F1471" s="6">
        <v>45889</v>
      </c>
      <c r="G1471" s="5" t="s">
        <v>2631</v>
      </c>
      <c r="H1471" s="5">
        <v>46</v>
      </c>
      <c r="I1471" s="5">
        <f>IFERROR(INDEX(Raw_Orders!H1471:H3899,MATCH(B1471,Raw_Orders!A1471:A3899,0)),0)</f>
        <v>46</v>
      </c>
      <c r="J1471" s="5" t="str">
        <f t="shared" si="88"/>
        <v>Yes</v>
      </c>
      <c r="K1471" s="5" t="str">
        <f t="shared" si="89"/>
        <v>Yes</v>
      </c>
      <c r="L1471" s="5" t="str">
        <f t="shared" si="91"/>
        <v>Yes</v>
      </c>
      <c r="M1471" s="5">
        <f t="shared" si="90"/>
        <v>1</v>
      </c>
    </row>
    <row r="1472" spans="1:13" x14ac:dyDescent="0.3">
      <c r="A1472" s="2" t="s">
        <v>4101</v>
      </c>
      <c r="B1472" s="2" t="s">
        <v>1621</v>
      </c>
      <c r="C1472" s="2" t="s">
        <v>2616</v>
      </c>
      <c r="D1472" s="3">
        <v>45886</v>
      </c>
      <c r="E1472" s="3">
        <v>45893</v>
      </c>
      <c r="F1472" s="3">
        <v>45901</v>
      </c>
      <c r="G1472" s="2" t="s">
        <v>2629</v>
      </c>
      <c r="H1472" s="2">
        <v>22</v>
      </c>
      <c r="I1472" s="2">
        <f>IFERROR(INDEX(Raw_Orders!H1472:H3900,MATCH(B1472,Raw_Orders!A1472:A3900,0)),0)</f>
        <v>22</v>
      </c>
      <c r="J1472" s="2" t="str">
        <f t="shared" si="88"/>
        <v>No</v>
      </c>
      <c r="K1472" s="2" t="str">
        <f t="shared" si="89"/>
        <v>Yes</v>
      </c>
      <c r="L1472" s="2" t="str">
        <f t="shared" si="91"/>
        <v>No</v>
      </c>
      <c r="M1472" s="2">
        <f t="shared" si="90"/>
        <v>0</v>
      </c>
    </row>
    <row r="1473" spans="1:13" x14ac:dyDescent="0.3">
      <c r="A1473" s="5" t="s">
        <v>4102</v>
      </c>
      <c r="B1473" s="5" t="s">
        <v>1622</v>
      </c>
      <c r="C1473" s="5" t="s">
        <v>2606</v>
      </c>
      <c r="D1473" s="6">
        <v>45884</v>
      </c>
      <c r="E1473" s="6">
        <v>45891</v>
      </c>
      <c r="F1473" s="6">
        <v>45889</v>
      </c>
      <c r="G1473" s="5" t="s">
        <v>2633</v>
      </c>
      <c r="H1473" s="5">
        <v>41</v>
      </c>
      <c r="I1473" s="5">
        <f>IFERROR(INDEX(Raw_Orders!H1473:H3901,MATCH(B1473,Raw_Orders!A1473:A3901,0)),0)</f>
        <v>41</v>
      </c>
      <c r="J1473" s="5" t="str">
        <f t="shared" si="88"/>
        <v>Yes</v>
      </c>
      <c r="K1473" s="5" t="str">
        <f t="shared" si="89"/>
        <v>Yes</v>
      </c>
      <c r="L1473" s="5" t="str">
        <f t="shared" si="91"/>
        <v>Yes</v>
      </c>
      <c r="M1473" s="5">
        <f t="shared" si="90"/>
        <v>1</v>
      </c>
    </row>
    <row r="1474" spans="1:13" x14ac:dyDescent="0.3">
      <c r="A1474" s="2" t="s">
        <v>4103</v>
      </c>
      <c r="B1474" s="2" t="s">
        <v>1623</v>
      </c>
      <c r="C1474" s="2" t="s">
        <v>2608</v>
      </c>
      <c r="D1474" s="3">
        <v>45886</v>
      </c>
      <c r="E1474" s="3">
        <v>45888</v>
      </c>
      <c r="F1474" s="3">
        <v>45901</v>
      </c>
      <c r="G1474" s="2" t="s">
        <v>2633</v>
      </c>
      <c r="H1474" s="2">
        <v>18</v>
      </c>
      <c r="I1474" s="2">
        <f>IFERROR(INDEX(Raw_Orders!H1474:H3902,MATCH(B1474,Raw_Orders!A1474:A3902,0)),0)</f>
        <v>25</v>
      </c>
      <c r="J1474" s="2" t="str">
        <f t="shared" si="88"/>
        <v>No</v>
      </c>
      <c r="K1474" s="2" t="str">
        <f t="shared" si="89"/>
        <v>N0</v>
      </c>
      <c r="L1474" s="2" t="str">
        <f t="shared" si="91"/>
        <v>No</v>
      </c>
      <c r="M1474" s="2">
        <f t="shared" si="90"/>
        <v>0</v>
      </c>
    </row>
    <row r="1475" spans="1:13" x14ac:dyDescent="0.3">
      <c r="A1475" s="5" t="s">
        <v>4104</v>
      </c>
      <c r="B1475" s="5" t="s">
        <v>1624</v>
      </c>
      <c r="C1475" s="5" t="s">
        <v>2608</v>
      </c>
      <c r="D1475" s="6">
        <v>45885</v>
      </c>
      <c r="E1475" s="6">
        <v>45889</v>
      </c>
      <c r="F1475" s="6">
        <v>45898</v>
      </c>
      <c r="G1475" s="5" t="s">
        <v>2633</v>
      </c>
      <c r="H1475" s="5">
        <v>8</v>
      </c>
      <c r="I1475" s="5">
        <f>IFERROR(INDEX(Raw_Orders!H1475:H3903,MATCH(B1475,Raw_Orders!A1475:A3903,0)),0)</f>
        <v>8</v>
      </c>
      <c r="J1475" s="5" t="str">
        <f t="shared" ref="J1475:J1538" si="92">IF(E1475&gt;=F1475,"Yes","No")</f>
        <v>No</v>
      </c>
      <c r="K1475" s="5" t="str">
        <f t="shared" ref="K1475:K1538" si="93">IF(H1475&gt;=I1475,"Yes","N0")</f>
        <v>Yes</v>
      </c>
      <c r="L1475" s="5" t="str">
        <f t="shared" si="91"/>
        <v>No</v>
      </c>
      <c r="M1475" s="5">
        <f t="shared" ref="M1475:M1538" si="94">IF(L1475="Yes",1,0)</f>
        <v>0</v>
      </c>
    </row>
    <row r="1476" spans="1:13" x14ac:dyDescent="0.3">
      <c r="A1476" s="2" t="s">
        <v>4105</v>
      </c>
      <c r="B1476" s="2" t="s">
        <v>1625</v>
      </c>
      <c r="C1476" s="2" t="s">
        <v>2598</v>
      </c>
      <c r="D1476" s="3">
        <v>45887</v>
      </c>
      <c r="E1476" s="3">
        <v>45895</v>
      </c>
      <c r="F1476" s="3">
        <v>45900</v>
      </c>
      <c r="G1476" s="2" t="s">
        <v>2641</v>
      </c>
      <c r="H1476" s="2">
        <v>42</v>
      </c>
      <c r="I1476" s="2">
        <f>IFERROR(INDEX(Raw_Orders!H1476:H3904,MATCH(B1476,Raw_Orders!A1476:A3904,0)),0)</f>
        <v>42</v>
      </c>
      <c r="J1476" s="2" t="str">
        <f t="shared" si="92"/>
        <v>No</v>
      </c>
      <c r="K1476" s="2" t="str">
        <f t="shared" si="93"/>
        <v>Yes</v>
      </c>
      <c r="L1476" s="2" t="str">
        <f t="shared" ref="L1476:L1539" si="95">IF(AND(J1476="Yes",K1476="Yes"),"Yes","No")</f>
        <v>No</v>
      </c>
      <c r="M1476" s="2">
        <f t="shared" si="94"/>
        <v>0</v>
      </c>
    </row>
    <row r="1477" spans="1:13" x14ac:dyDescent="0.3">
      <c r="A1477" s="5" t="s">
        <v>4106</v>
      </c>
      <c r="B1477" s="5" t="s">
        <v>1626</v>
      </c>
      <c r="C1477" s="5" t="s">
        <v>2601</v>
      </c>
      <c r="D1477" s="6">
        <v>45886</v>
      </c>
      <c r="E1477" s="6">
        <v>45890</v>
      </c>
      <c r="F1477" s="6">
        <v>45890</v>
      </c>
      <c r="G1477" s="5" t="s">
        <v>2641</v>
      </c>
      <c r="H1477" s="5">
        <v>15</v>
      </c>
      <c r="I1477" s="5">
        <f>IFERROR(INDEX(Raw_Orders!H1477:H3905,MATCH(B1477,Raw_Orders!A1477:A3905,0)),0)</f>
        <v>15</v>
      </c>
      <c r="J1477" s="5" t="str">
        <f t="shared" si="92"/>
        <v>Yes</v>
      </c>
      <c r="K1477" s="5" t="str">
        <f t="shared" si="93"/>
        <v>Yes</v>
      </c>
      <c r="L1477" s="5" t="str">
        <f t="shared" si="95"/>
        <v>Yes</v>
      </c>
      <c r="M1477" s="5">
        <f t="shared" si="94"/>
        <v>1</v>
      </c>
    </row>
    <row r="1478" spans="1:13" x14ac:dyDescent="0.3">
      <c r="A1478" s="2" t="s">
        <v>4107</v>
      </c>
      <c r="B1478" s="2" t="s">
        <v>1627</v>
      </c>
      <c r="C1478" s="2" t="s">
        <v>2616</v>
      </c>
      <c r="D1478" s="3">
        <v>45885</v>
      </c>
      <c r="E1478" s="3">
        <v>45891</v>
      </c>
      <c r="F1478" s="3">
        <v>45902</v>
      </c>
      <c r="G1478" s="2" t="s">
        <v>2627</v>
      </c>
      <c r="H1478" s="2">
        <v>45</v>
      </c>
      <c r="I1478" s="2">
        <f>IFERROR(INDEX(Raw_Orders!H1478:H3906,MATCH(B1478,Raw_Orders!A1478:A3906,0)),0)</f>
        <v>45</v>
      </c>
      <c r="J1478" s="2" t="str">
        <f t="shared" si="92"/>
        <v>No</v>
      </c>
      <c r="K1478" s="2" t="str">
        <f t="shared" si="93"/>
        <v>Yes</v>
      </c>
      <c r="L1478" s="2" t="str">
        <f t="shared" si="95"/>
        <v>No</v>
      </c>
      <c r="M1478" s="2">
        <f t="shared" si="94"/>
        <v>0</v>
      </c>
    </row>
    <row r="1479" spans="1:13" x14ac:dyDescent="0.3">
      <c r="A1479" s="5" t="s">
        <v>4108</v>
      </c>
      <c r="B1479" s="5" t="s">
        <v>1628</v>
      </c>
      <c r="C1479" s="5" t="s">
        <v>2606</v>
      </c>
      <c r="D1479" s="6">
        <v>45886</v>
      </c>
      <c r="E1479" s="6">
        <v>45895</v>
      </c>
      <c r="F1479" s="6">
        <v>45892</v>
      </c>
      <c r="G1479" s="5" t="s">
        <v>2631</v>
      </c>
      <c r="H1479" s="5">
        <v>38</v>
      </c>
      <c r="I1479" s="5">
        <f>IFERROR(INDEX(Raw_Orders!H1479:H3907,MATCH(B1479,Raw_Orders!A1479:A3907,0)),0)</f>
        <v>38</v>
      </c>
      <c r="J1479" s="5" t="str">
        <f t="shared" si="92"/>
        <v>Yes</v>
      </c>
      <c r="K1479" s="5" t="str">
        <f t="shared" si="93"/>
        <v>Yes</v>
      </c>
      <c r="L1479" s="5" t="str">
        <f t="shared" si="95"/>
        <v>Yes</v>
      </c>
      <c r="M1479" s="5">
        <f t="shared" si="94"/>
        <v>1</v>
      </c>
    </row>
    <row r="1480" spans="1:13" x14ac:dyDescent="0.3">
      <c r="A1480" s="2" t="s">
        <v>4109</v>
      </c>
      <c r="B1480" s="2" t="s">
        <v>1629</v>
      </c>
      <c r="C1480" s="2" t="s">
        <v>2608</v>
      </c>
      <c r="D1480" s="3">
        <v>45887</v>
      </c>
      <c r="E1480" s="3">
        <v>45893</v>
      </c>
      <c r="F1480" s="3">
        <v>45902</v>
      </c>
      <c r="G1480" s="2" t="s">
        <v>2627</v>
      </c>
      <c r="H1480" s="2">
        <v>6</v>
      </c>
      <c r="I1480" s="2">
        <f>IFERROR(INDEX(Raw_Orders!H1480:H3908,MATCH(B1480,Raw_Orders!A1480:A3908,0)),0)</f>
        <v>6</v>
      </c>
      <c r="J1480" s="2" t="str">
        <f t="shared" si="92"/>
        <v>No</v>
      </c>
      <c r="K1480" s="2" t="str">
        <f t="shared" si="93"/>
        <v>Yes</v>
      </c>
      <c r="L1480" s="2" t="str">
        <f t="shared" si="95"/>
        <v>No</v>
      </c>
      <c r="M1480" s="2">
        <f t="shared" si="94"/>
        <v>0</v>
      </c>
    </row>
    <row r="1481" spans="1:13" x14ac:dyDescent="0.3">
      <c r="A1481" s="5" t="s">
        <v>4110</v>
      </c>
      <c r="B1481" s="5" t="s">
        <v>1630</v>
      </c>
      <c r="C1481" s="5" t="s">
        <v>2608</v>
      </c>
      <c r="D1481" s="6">
        <v>45887</v>
      </c>
      <c r="E1481" s="6">
        <v>45889</v>
      </c>
      <c r="F1481" s="6">
        <v>45902</v>
      </c>
      <c r="G1481" s="5" t="s">
        <v>2629</v>
      </c>
      <c r="H1481" s="5">
        <v>9</v>
      </c>
      <c r="I1481" s="5">
        <f>IFERROR(INDEX(Raw_Orders!H1481:H3909,MATCH(B1481,Raw_Orders!A1481:A3909,0)),0)</f>
        <v>9</v>
      </c>
      <c r="J1481" s="5" t="str">
        <f t="shared" si="92"/>
        <v>No</v>
      </c>
      <c r="K1481" s="5" t="str">
        <f t="shared" si="93"/>
        <v>Yes</v>
      </c>
      <c r="L1481" s="5" t="str">
        <f t="shared" si="95"/>
        <v>No</v>
      </c>
      <c r="M1481" s="5">
        <f t="shared" si="94"/>
        <v>0</v>
      </c>
    </row>
    <row r="1482" spans="1:13" x14ac:dyDescent="0.3">
      <c r="A1482" s="2" t="s">
        <v>4111</v>
      </c>
      <c r="B1482" s="2" t="s">
        <v>1631</v>
      </c>
      <c r="C1482" s="2" t="s">
        <v>2598</v>
      </c>
      <c r="D1482" s="3">
        <v>45886</v>
      </c>
      <c r="E1482" s="3">
        <v>45892</v>
      </c>
      <c r="F1482" s="3">
        <v>45899</v>
      </c>
      <c r="G1482" s="2" t="s">
        <v>2641</v>
      </c>
      <c r="H1482" s="2">
        <v>30</v>
      </c>
      <c r="I1482" s="2">
        <f>IFERROR(INDEX(Raw_Orders!H1482:H3910,MATCH(B1482,Raw_Orders!A1482:A3910,0)),0)</f>
        <v>35</v>
      </c>
      <c r="J1482" s="2" t="str">
        <f t="shared" si="92"/>
        <v>No</v>
      </c>
      <c r="K1482" s="2" t="str">
        <f t="shared" si="93"/>
        <v>N0</v>
      </c>
      <c r="L1482" s="2" t="str">
        <f t="shared" si="95"/>
        <v>No</v>
      </c>
      <c r="M1482" s="2">
        <f t="shared" si="94"/>
        <v>0</v>
      </c>
    </row>
    <row r="1483" spans="1:13" x14ac:dyDescent="0.3">
      <c r="A1483" s="5" t="s">
        <v>4112</v>
      </c>
      <c r="B1483" s="5" t="s">
        <v>1632</v>
      </c>
      <c r="C1483" s="5" t="s">
        <v>2611</v>
      </c>
      <c r="D1483" s="6">
        <v>45886</v>
      </c>
      <c r="E1483" s="6">
        <v>45889</v>
      </c>
      <c r="F1483" s="6">
        <v>45895</v>
      </c>
      <c r="G1483" s="5" t="s">
        <v>2641</v>
      </c>
      <c r="H1483" s="5">
        <v>24</v>
      </c>
      <c r="I1483" s="5">
        <f>IFERROR(INDEX(Raw_Orders!H1483:H3911,MATCH(B1483,Raw_Orders!A1483:A3911,0)),0)</f>
        <v>24</v>
      </c>
      <c r="J1483" s="5" t="str">
        <f t="shared" si="92"/>
        <v>No</v>
      </c>
      <c r="K1483" s="5" t="str">
        <f t="shared" si="93"/>
        <v>Yes</v>
      </c>
      <c r="L1483" s="5" t="str">
        <f t="shared" si="95"/>
        <v>No</v>
      </c>
      <c r="M1483" s="5">
        <f t="shared" si="94"/>
        <v>0</v>
      </c>
    </row>
    <row r="1484" spans="1:13" x14ac:dyDescent="0.3">
      <c r="A1484" s="2" t="s">
        <v>4113</v>
      </c>
      <c r="B1484" s="2" t="s">
        <v>1633</v>
      </c>
      <c r="C1484" s="2" t="s">
        <v>2614</v>
      </c>
      <c r="D1484" s="3">
        <v>45888</v>
      </c>
      <c r="E1484" s="3">
        <v>45892</v>
      </c>
      <c r="F1484" s="3">
        <v>45901</v>
      </c>
      <c r="G1484" s="2" t="s">
        <v>2641</v>
      </c>
      <c r="H1484" s="2">
        <v>17</v>
      </c>
      <c r="I1484" s="2">
        <f>IFERROR(INDEX(Raw_Orders!H1484:H3912,MATCH(B1484,Raw_Orders!A1484:A3912,0)),0)</f>
        <v>17</v>
      </c>
      <c r="J1484" s="2" t="str">
        <f t="shared" si="92"/>
        <v>No</v>
      </c>
      <c r="K1484" s="2" t="str">
        <f t="shared" si="93"/>
        <v>Yes</v>
      </c>
      <c r="L1484" s="2" t="str">
        <f t="shared" si="95"/>
        <v>No</v>
      </c>
      <c r="M1484" s="2">
        <f t="shared" si="94"/>
        <v>0</v>
      </c>
    </row>
    <row r="1485" spans="1:13" x14ac:dyDescent="0.3">
      <c r="A1485" s="5" t="s">
        <v>4114</v>
      </c>
      <c r="B1485" s="5" t="s">
        <v>1634</v>
      </c>
      <c r="C1485" s="5" t="s">
        <v>2604</v>
      </c>
      <c r="D1485" s="6">
        <v>45887</v>
      </c>
      <c r="E1485" s="6">
        <v>45894</v>
      </c>
      <c r="F1485" s="6">
        <v>45891</v>
      </c>
      <c r="G1485" s="5" t="s">
        <v>2641</v>
      </c>
      <c r="H1485" s="5">
        <v>34</v>
      </c>
      <c r="I1485" s="5">
        <f>IFERROR(INDEX(Raw_Orders!H1485:H3913,MATCH(B1485,Raw_Orders!A1485:A3913,0)),0)</f>
        <v>34</v>
      </c>
      <c r="J1485" s="5" t="str">
        <f t="shared" si="92"/>
        <v>Yes</v>
      </c>
      <c r="K1485" s="5" t="str">
        <f t="shared" si="93"/>
        <v>Yes</v>
      </c>
      <c r="L1485" s="5" t="str">
        <f t="shared" si="95"/>
        <v>Yes</v>
      </c>
      <c r="M1485" s="5">
        <f t="shared" si="94"/>
        <v>1</v>
      </c>
    </row>
    <row r="1486" spans="1:13" x14ac:dyDescent="0.3">
      <c r="A1486" s="2" t="s">
        <v>4115</v>
      </c>
      <c r="B1486" s="2" t="s">
        <v>1635</v>
      </c>
      <c r="C1486" s="2" t="s">
        <v>2606</v>
      </c>
      <c r="D1486" s="3">
        <v>45888</v>
      </c>
      <c r="E1486" s="3">
        <v>45895</v>
      </c>
      <c r="F1486" s="3">
        <v>45894</v>
      </c>
      <c r="G1486" s="2" t="s">
        <v>2633</v>
      </c>
      <c r="H1486" s="2">
        <v>31</v>
      </c>
      <c r="I1486" s="2">
        <f>IFERROR(INDEX(Raw_Orders!H1486:H3914,MATCH(B1486,Raw_Orders!A1486:A3914,0)),0)</f>
        <v>31</v>
      </c>
      <c r="J1486" s="2" t="str">
        <f t="shared" si="92"/>
        <v>Yes</v>
      </c>
      <c r="K1486" s="2" t="str">
        <f t="shared" si="93"/>
        <v>Yes</v>
      </c>
      <c r="L1486" s="2" t="str">
        <f t="shared" si="95"/>
        <v>Yes</v>
      </c>
      <c r="M1486" s="2">
        <f t="shared" si="94"/>
        <v>1</v>
      </c>
    </row>
    <row r="1487" spans="1:13" x14ac:dyDescent="0.3">
      <c r="A1487" s="5" t="s">
        <v>4116</v>
      </c>
      <c r="B1487" s="5" t="s">
        <v>1636</v>
      </c>
      <c r="C1487" s="5" t="s">
        <v>2606</v>
      </c>
      <c r="D1487" s="6">
        <v>45888</v>
      </c>
      <c r="E1487" s="6">
        <v>45895</v>
      </c>
      <c r="F1487" s="6">
        <v>45894</v>
      </c>
      <c r="G1487" s="5" t="s">
        <v>2629</v>
      </c>
      <c r="H1487" s="5">
        <v>47</v>
      </c>
      <c r="I1487" s="5">
        <f>IFERROR(INDEX(Raw_Orders!H1487:H3915,MATCH(B1487,Raw_Orders!A1487:A3915,0)),0)</f>
        <v>47</v>
      </c>
      <c r="J1487" s="5" t="str">
        <f t="shared" si="92"/>
        <v>Yes</v>
      </c>
      <c r="K1487" s="5" t="str">
        <f t="shared" si="93"/>
        <v>Yes</v>
      </c>
      <c r="L1487" s="5" t="str">
        <f t="shared" si="95"/>
        <v>Yes</v>
      </c>
      <c r="M1487" s="5">
        <f t="shared" si="94"/>
        <v>1</v>
      </c>
    </row>
    <row r="1488" spans="1:13" x14ac:dyDescent="0.3">
      <c r="A1488" s="2" t="s">
        <v>4117</v>
      </c>
      <c r="B1488" s="2" t="s">
        <v>1637</v>
      </c>
      <c r="C1488" s="2" t="s">
        <v>2608</v>
      </c>
      <c r="D1488" s="3">
        <v>45886</v>
      </c>
      <c r="E1488" s="3">
        <v>45890</v>
      </c>
      <c r="F1488" s="3">
        <v>45903</v>
      </c>
      <c r="G1488" s="2" t="s">
        <v>2629</v>
      </c>
      <c r="H1488" s="2">
        <v>3</v>
      </c>
      <c r="I1488" s="2">
        <f>IFERROR(INDEX(Raw_Orders!H1488:H3916,MATCH(B1488,Raw_Orders!A1488:A3916,0)),0)</f>
        <v>3</v>
      </c>
      <c r="J1488" s="2" t="str">
        <f t="shared" si="92"/>
        <v>No</v>
      </c>
      <c r="K1488" s="2" t="str">
        <f t="shared" si="93"/>
        <v>Yes</v>
      </c>
      <c r="L1488" s="2" t="str">
        <f t="shared" si="95"/>
        <v>No</v>
      </c>
      <c r="M1488" s="2">
        <f t="shared" si="94"/>
        <v>0</v>
      </c>
    </row>
    <row r="1489" spans="1:13" x14ac:dyDescent="0.3">
      <c r="A1489" s="5" t="s">
        <v>4118</v>
      </c>
      <c r="B1489" s="5" t="s">
        <v>1638</v>
      </c>
      <c r="C1489" s="5" t="s">
        <v>2608</v>
      </c>
      <c r="D1489" s="6">
        <v>45886</v>
      </c>
      <c r="E1489" s="6">
        <v>45895</v>
      </c>
      <c r="F1489" s="6">
        <v>45903</v>
      </c>
      <c r="G1489" s="5" t="s">
        <v>2627</v>
      </c>
      <c r="H1489" s="5">
        <v>11</v>
      </c>
      <c r="I1489" s="5">
        <f>IFERROR(INDEX(Raw_Orders!H1489:H3917,MATCH(B1489,Raw_Orders!A1489:A3917,0)),0)</f>
        <v>11</v>
      </c>
      <c r="J1489" s="5" t="str">
        <f t="shared" si="92"/>
        <v>No</v>
      </c>
      <c r="K1489" s="5" t="str">
        <f t="shared" si="93"/>
        <v>Yes</v>
      </c>
      <c r="L1489" s="5" t="str">
        <f t="shared" si="95"/>
        <v>No</v>
      </c>
      <c r="M1489" s="5">
        <f t="shared" si="94"/>
        <v>0</v>
      </c>
    </row>
    <row r="1490" spans="1:13" x14ac:dyDescent="0.3">
      <c r="A1490" s="2" t="s">
        <v>4119</v>
      </c>
      <c r="B1490" s="2" t="s">
        <v>1639</v>
      </c>
      <c r="C1490" s="2" t="s">
        <v>2598</v>
      </c>
      <c r="D1490" s="3">
        <v>45888</v>
      </c>
      <c r="E1490" s="3">
        <v>45891</v>
      </c>
      <c r="F1490" s="3">
        <v>45901</v>
      </c>
      <c r="G1490" s="2" t="s">
        <v>2629</v>
      </c>
      <c r="H1490" s="2">
        <v>41</v>
      </c>
      <c r="I1490" s="2">
        <f>IFERROR(INDEX(Raw_Orders!H1490:H3918,MATCH(B1490,Raw_Orders!A1490:A3918,0)),0)</f>
        <v>41</v>
      </c>
      <c r="J1490" s="2" t="str">
        <f t="shared" si="92"/>
        <v>No</v>
      </c>
      <c r="K1490" s="2" t="str">
        <f t="shared" si="93"/>
        <v>Yes</v>
      </c>
      <c r="L1490" s="2" t="str">
        <f t="shared" si="95"/>
        <v>No</v>
      </c>
      <c r="M1490" s="2">
        <f t="shared" si="94"/>
        <v>0</v>
      </c>
    </row>
    <row r="1491" spans="1:13" x14ac:dyDescent="0.3">
      <c r="A1491" s="5" t="s">
        <v>4120</v>
      </c>
      <c r="B1491" s="5" t="s">
        <v>1640</v>
      </c>
      <c r="C1491" s="5" t="s">
        <v>2614</v>
      </c>
      <c r="D1491" s="6">
        <v>45889</v>
      </c>
      <c r="E1491" s="6">
        <v>45895</v>
      </c>
      <c r="F1491" s="6">
        <v>45907</v>
      </c>
      <c r="G1491" s="5" t="s">
        <v>2627</v>
      </c>
      <c r="H1491" s="5">
        <v>10</v>
      </c>
      <c r="I1491" s="5">
        <f>IFERROR(INDEX(Raw_Orders!H1491:H3919,MATCH(B1491,Raw_Orders!A1491:A3919,0)),0)</f>
        <v>18</v>
      </c>
      <c r="J1491" s="5" t="str">
        <f t="shared" si="92"/>
        <v>No</v>
      </c>
      <c r="K1491" s="5" t="str">
        <f t="shared" si="93"/>
        <v>N0</v>
      </c>
      <c r="L1491" s="5" t="str">
        <f t="shared" si="95"/>
        <v>No</v>
      </c>
      <c r="M1491" s="5">
        <f t="shared" si="94"/>
        <v>0</v>
      </c>
    </row>
    <row r="1492" spans="1:13" x14ac:dyDescent="0.3">
      <c r="A1492" s="2" t="s">
        <v>4121</v>
      </c>
      <c r="B1492" s="2" t="s">
        <v>1641</v>
      </c>
      <c r="C1492" s="2" t="s">
        <v>2616</v>
      </c>
      <c r="D1492" s="3">
        <v>45889</v>
      </c>
      <c r="E1492" s="3">
        <v>45896</v>
      </c>
      <c r="F1492" s="3">
        <v>45903</v>
      </c>
      <c r="G1492" s="2" t="s">
        <v>2629</v>
      </c>
      <c r="H1492" s="2">
        <v>8</v>
      </c>
      <c r="I1492" s="2">
        <f>IFERROR(INDEX(Raw_Orders!H1492:H3920,MATCH(B1492,Raw_Orders!A1492:A3920,0)),0)</f>
        <v>8</v>
      </c>
      <c r="J1492" s="2" t="str">
        <f t="shared" si="92"/>
        <v>No</v>
      </c>
      <c r="K1492" s="2" t="str">
        <f t="shared" si="93"/>
        <v>Yes</v>
      </c>
      <c r="L1492" s="2" t="str">
        <f t="shared" si="95"/>
        <v>No</v>
      </c>
      <c r="M1492" s="2">
        <f t="shared" si="94"/>
        <v>0</v>
      </c>
    </row>
    <row r="1493" spans="1:13" x14ac:dyDescent="0.3">
      <c r="A1493" s="5" t="s">
        <v>4122</v>
      </c>
      <c r="B1493" s="5" t="s">
        <v>1642</v>
      </c>
      <c r="C1493" s="5" t="s">
        <v>2616</v>
      </c>
      <c r="D1493" s="6">
        <v>45889</v>
      </c>
      <c r="E1493" s="6">
        <v>45891</v>
      </c>
      <c r="F1493" s="6">
        <v>45905</v>
      </c>
      <c r="G1493" s="5" t="s">
        <v>2631</v>
      </c>
      <c r="H1493" s="5">
        <v>55</v>
      </c>
      <c r="I1493" s="5">
        <f>IFERROR(INDEX(Raw_Orders!H1493:H3921,MATCH(B1493,Raw_Orders!A1493:A3921,0)),0)</f>
        <v>61</v>
      </c>
      <c r="J1493" s="5" t="str">
        <f t="shared" si="92"/>
        <v>No</v>
      </c>
      <c r="K1493" s="5" t="str">
        <f t="shared" si="93"/>
        <v>N0</v>
      </c>
      <c r="L1493" s="5" t="str">
        <f t="shared" si="95"/>
        <v>No</v>
      </c>
      <c r="M1493" s="5">
        <f t="shared" si="94"/>
        <v>0</v>
      </c>
    </row>
    <row r="1494" spans="1:13" x14ac:dyDescent="0.3">
      <c r="A1494" s="2" t="s">
        <v>4123</v>
      </c>
      <c r="B1494" s="2" t="s">
        <v>1643</v>
      </c>
      <c r="C1494" s="2" t="s">
        <v>2616</v>
      </c>
      <c r="D1494" s="3">
        <v>45888</v>
      </c>
      <c r="E1494" s="3">
        <v>45894</v>
      </c>
      <c r="F1494" s="3">
        <v>45903</v>
      </c>
      <c r="G1494" s="2" t="s">
        <v>2627</v>
      </c>
      <c r="H1494" s="2">
        <v>31</v>
      </c>
      <c r="I1494" s="2">
        <f>IFERROR(INDEX(Raw_Orders!H1494:H3922,MATCH(B1494,Raw_Orders!A1494:A3922,0)),0)</f>
        <v>31</v>
      </c>
      <c r="J1494" s="2" t="str">
        <f t="shared" si="92"/>
        <v>No</v>
      </c>
      <c r="K1494" s="2" t="str">
        <f t="shared" si="93"/>
        <v>Yes</v>
      </c>
      <c r="L1494" s="2" t="str">
        <f t="shared" si="95"/>
        <v>No</v>
      </c>
      <c r="M1494" s="2">
        <f t="shared" si="94"/>
        <v>0</v>
      </c>
    </row>
    <row r="1495" spans="1:13" x14ac:dyDescent="0.3">
      <c r="A1495" s="5" t="s">
        <v>4124</v>
      </c>
      <c r="B1495" s="5" t="s">
        <v>1644</v>
      </c>
      <c r="C1495" s="5" t="s">
        <v>2606</v>
      </c>
      <c r="D1495" s="6">
        <v>45888</v>
      </c>
      <c r="E1495" s="6">
        <v>45894</v>
      </c>
      <c r="F1495" s="6">
        <v>45894</v>
      </c>
      <c r="G1495" s="5" t="s">
        <v>2641</v>
      </c>
      <c r="H1495" s="5">
        <v>27</v>
      </c>
      <c r="I1495" s="5">
        <f>IFERROR(INDEX(Raw_Orders!H1495:H3923,MATCH(B1495,Raw_Orders!A1495:A3923,0)),0)</f>
        <v>27</v>
      </c>
      <c r="J1495" s="5" t="str">
        <f t="shared" si="92"/>
        <v>Yes</v>
      </c>
      <c r="K1495" s="5" t="str">
        <f t="shared" si="93"/>
        <v>Yes</v>
      </c>
      <c r="L1495" s="5" t="str">
        <f t="shared" si="95"/>
        <v>Yes</v>
      </c>
      <c r="M1495" s="5">
        <f t="shared" si="94"/>
        <v>1</v>
      </c>
    </row>
    <row r="1496" spans="1:13" x14ac:dyDescent="0.3">
      <c r="A1496" s="2" t="s">
        <v>4125</v>
      </c>
      <c r="B1496" s="2" t="s">
        <v>1645</v>
      </c>
      <c r="C1496" s="2" t="s">
        <v>2608</v>
      </c>
      <c r="D1496" s="3">
        <v>45888</v>
      </c>
      <c r="E1496" s="3">
        <v>45892</v>
      </c>
      <c r="F1496" s="3">
        <v>45900</v>
      </c>
      <c r="G1496" s="2" t="s">
        <v>2629</v>
      </c>
      <c r="H1496" s="2">
        <v>23</v>
      </c>
      <c r="I1496" s="2">
        <f>IFERROR(INDEX(Raw_Orders!H1496:H3924,MATCH(B1496,Raw_Orders!A1496:A3924,0)),0)</f>
        <v>23</v>
      </c>
      <c r="J1496" s="2" t="str">
        <f t="shared" si="92"/>
        <v>No</v>
      </c>
      <c r="K1496" s="2" t="str">
        <f t="shared" si="93"/>
        <v>Yes</v>
      </c>
      <c r="L1496" s="2" t="str">
        <f t="shared" si="95"/>
        <v>No</v>
      </c>
      <c r="M1496" s="2">
        <f t="shared" si="94"/>
        <v>0</v>
      </c>
    </row>
    <row r="1497" spans="1:13" x14ac:dyDescent="0.3">
      <c r="A1497" s="5" t="s">
        <v>4126</v>
      </c>
      <c r="B1497" s="5" t="s">
        <v>1646</v>
      </c>
      <c r="C1497" s="5" t="s">
        <v>2608</v>
      </c>
      <c r="D1497" s="6">
        <v>45888</v>
      </c>
      <c r="E1497" s="6">
        <v>45897</v>
      </c>
      <c r="F1497" s="6">
        <v>45902</v>
      </c>
      <c r="G1497" s="5" t="s">
        <v>2631</v>
      </c>
      <c r="H1497" s="5">
        <v>1</v>
      </c>
      <c r="I1497" s="5">
        <f>IFERROR(INDEX(Raw_Orders!H1497:H3925,MATCH(B1497,Raw_Orders!A1497:A3925,0)),0)</f>
        <v>7</v>
      </c>
      <c r="J1497" s="5" t="str">
        <f t="shared" si="92"/>
        <v>No</v>
      </c>
      <c r="K1497" s="5" t="str">
        <f t="shared" si="93"/>
        <v>N0</v>
      </c>
      <c r="L1497" s="5" t="str">
        <f t="shared" si="95"/>
        <v>No</v>
      </c>
      <c r="M1497" s="5">
        <f t="shared" si="94"/>
        <v>0</v>
      </c>
    </row>
    <row r="1498" spans="1:13" x14ac:dyDescent="0.3">
      <c r="A1498" s="2" t="s">
        <v>4127</v>
      </c>
      <c r="B1498" s="2" t="s">
        <v>1647</v>
      </c>
      <c r="C1498" s="2" t="s">
        <v>2611</v>
      </c>
      <c r="D1498" s="3">
        <v>45890</v>
      </c>
      <c r="E1498" s="3">
        <v>45891</v>
      </c>
      <c r="F1498" s="3">
        <v>45901</v>
      </c>
      <c r="G1498" s="2" t="s">
        <v>2641</v>
      </c>
      <c r="H1498" s="2">
        <v>44</v>
      </c>
      <c r="I1498" s="2">
        <f>IFERROR(INDEX(Raw_Orders!H1498:H3926,MATCH(B1498,Raw_Orders!A1498:A3926,0)),0)</f>
        <v>44</v>
      </c>
      <c r="J1498" s="2" t="str">
        <f t="shared" si="92"/>
        <v>No</v>
      </c>
      <c r="K1498" s="2" t="str">
        <f t="shared" si="93"/>
        <v>Yes</v>
      </c>
      <c r="L1498" s="2" t="str">
        <f t="shared" si="95"/>
        <v>No</v>
      </c>
      <c r="M1498" s="2">
        <f t="shared" si="94"/>
        <v>0</v>
      </c>
    </row>
    <row r="1499" spans="1:13" x14ac:dyDescent="0.3">
      <c r="A1499" s="5" t="s">
        <v>4128</v>
      </c>
      <c r="B1499" s="5" t="s">
        <v>1648</v>
      </c>
      <c r="C1499" s="5" t="s">
        <v>2598</v>
      </c>
      <c r="D1499" s="6">
        <v>45890</v>
      </c>
      <c r="E1499" s="6">
        <v>45893</v>
      </c>
      <c r="F1499" s="6">
        <v>45902</v>
      </c>
      <c r="G1499" s="5" t="s">
        <v>2641</v>
      </c>
      <c r="H1499" s="5">
        <v>22</v>
      </c>
      <c r="I1499" s="5">
        <f>IFERROR(INDEX(Raw_Orders!H1499:H3927,MATCH(B1499,Raw_Orders!A1499:A3927,0)),0)</f>
        <v>22</v>
      </c>
      <c r="J1499" s="5" t="str">
        <f t="shared" si="92"/>
        <v>No</v>
      </c>
      <c r="K1499" s="5" t="str">
        <f t="shared" si="93"/>
        <v>Yes</v>
      </c>
      <c r="L1499" s="5" t="str">
        <f t="shared" si="95"/>
        <v>No</v>
      </c>
      <c r="M1499" s="5">
        <f t="shared" si="94"/>
        <v>0</v>
      </c>
    </row>
    <row r="1500" spans="1:13" x14ac:dyDescent="0.3">
      <c r="A1500" s="2" t="s">
        <v>4129</v>
      </c>
      <c r="B1500" s="2" t="s">
        <v>1649</v>
      </c>
      <c r="C1500" s="2" t="s">
        <v>2614</v>
      </c>
      <c r="D1500" s="3">
        <v>45888</v>
      </c>
      <c r="E1500" s="3">
        <v>45898</v>
      </c>
      <c r="F1500" s="3">
        <v>45902</v>
      </c>
      <c r="G1500" s="2" t="s">
        <v>2631</v>
      </c>
      <c r="H1500" s="2">
        <v>35</v>
      </c>
      <c r="I1500" s="2">
        <f>IFERROR(INDEX(Raw_Orders!H1500:H3928,MATCH(B1500,Raw_Orders!A1500:A3928,0)),0)</f>
        <v>35</v>
      </c>
      <c r="J1500" s="2" t="str">
        <f t="shared" si="92"/>
        <v>No</v>
      </c>
      <c r="K1500" s="2" t="str">
        <f t="shared" si="93"/>
        <v>Yes</v>
      </c>
      <c r="L1500" s="2" t="str">
        <f t="shared" si="95"/>
        <v>No</v>
      </c>
      <c r="M1500" s="2">
        <f t="shared" si="94"/>
        <v>0</v>
      </c>
    </row>
    <row r="1501" spans="1:13" x14ac:dyDescent="0.3">
      <c r="A1501" s="5" t="s">
        <v>4130</v>
      </c>
      <c r="B1501" s="5" t="s">
        <v>1650</v>
      </c>
      <c r="C1501" s="5" t="s">
        <v>2604</v>
      </c>
      <c r="D1501" s="6">
        <v>45888</v>
      </c>
      <c r="E1501" s="6">
        <v>45891</v>
      </c>
      <c r="F1501" s="6">
        <v>45892</v>
      </c>
      <c r="G1501" s="5" t="s">
        <v>2633</v>
      </c>
      <c r="H1501" s="5">
        <v>23</v>
      </c>
      <c r="I1501" s="5">
        <f>IFERROR(INDEX(Raw_Orders!H1501:H3929,MATCH(B1501,Raw_Orders!A1501:A3929,0)),0)</f>
        <v>23</v>
      </c>
      <c r="J1501" s="5" t="str">
        <f t="shared" si="92"/>
        <v>No</v>
      </c>
      <c r="K1501" s="5" t="str">
        <f t="shared" si="93"/>
        <v>Yes</v>
      </c>
      <c r="L1501" s="5" t="str">
        <f t="shared" si="95"/>
        <v>No</v>
      </c>
      <c r="M1501" s="5">
        <f t="shared" si="94"/>
        <v>0</v>
      </c>
    </row>
    <row r="1502" spans="1:13" x14ac:dyDescent="0.3">
      <c r="A1502" s="2" t="s">
        <v>4131</v>
      </c>
      <c r="B1502" s="2" t="s">
        <v>1651</v>
      </c>
      <c r="C1502" s="2" t="s">
        <v>2606</v>
      </c>
      <c r="D1502" s="3">
        <v>45890</v>
      </c>
      <c r="E1502" s="3">
        <v>45892</v>
      </c>
      <c r="F1502" s="3">
        <v>45897</v>
      </c>
      <c r="G1502" s="2" t="s">
        <v>2641</v>
      </c>
      <c r="H1502" s="2">
        <v>45</v>
      </c>
      <c r="I1502" s="2">
        <f>IFERROR(INDEX(Raw_Orders!H1502:H3930,MATCH(B1502,Raw_Orders!A1502:A3930,0)),0)</f>
        <v>45</v>
      </c>
      <c r="J1502" s="2" t="str">
        <f t="shared" si="92"/>
        <v>No</v>
      </c>
      <c r="K1502" s="2" t="str">
        <f t="shared" si="93"/>
        <v>Yes</v>
      </c>
      <c r="L1502" s="2" t="str">
        <f t="shared" si="95"/>
        <v>No</v>
      </c>
      <c r="M1502" s="2">
        <f t="shared" si="94"/>
        <v>0</v>
      </c>
    </row>
    <row r="1503" spans="1:13" x14ac:dyDescent="0.3">
      <c r="A1503" s="5" t="s">
        <v>4132</v>
      </c>
      <c r="B1503" s="5" t="s">
        <v>1652</v>
      </c>
      <c r="C1503" s="5" t="s">
        <v>2608</v>
      </c>
      <c r="D1503" s="6">
        <v>45889</v>
      </c>
      <c r="E1503" s="6">
        <v>45898</v>
      </c>
      <c r="F1503" s="6">
        <v>45903</v>
      </c>
      <c r="G1503" s="5" t="s">
        <v>2631</v>
      </c>
      <c r="H1503" s="5">
        <v>33</v>
      </c>
      <c r="I1503" s="5">
        <f>IFERROR(INDEX(Raw_Orders!H1503:H3931,MATCH(B1503,Raw_Orders!A1503:A3931,0)),0)</f>
        <v>33</v>
      </c>
      <c r="J1503" s="5" t="str">
        <f t="shared" si="92"/>
        <v>No</v>
      </c>
      <c r="K1503" s="5" t="str">
        <f t="shared" si="93"/>
        <v>Yes</v>
      </c>
      <c r="L1503" s="5" t="str">
        <f t="shared" si="95"/>
        <v>No</v>
      </c>
      <c r="M1503" s="5">
        <f t="shared" si="94"/>
        <v>0</v>
      </c>
    </row>
    <row r="1504" spans="1:13" x14ac:dyDescent="0.3">
      <c r="A1504" s="2" t="s">
        <v>4133</v>
      </c>
      <c r="B1504" s="2" t="s">
        <v>1653</v>
      </c>
      <c r="C1504" s="2" t="s">
        <v>2608</v>
      </c>
      <c r="D1504" s="3">
        <v>45890</v>
      </c>
      <c r="E1504" s="3">
        <v>45897</v>
      </c>
      <c r="F1504" s="3">
        <v>45905</v>
      </c>
      <c r="G1504" s="2" t="s">
        <v>2631</v>
      </c>
      <c r="H1504" s="2">
        <v>7</v>
      </c>
      <c r="I1504" s="2">
        <f>IFERROR(INDEX(Raw_Orders!H1504:H3932,MATCH(B1504,Raw_Orders!A1504:A3932,0)),0)</f>
        <v>7</v>
      </c>
      <c r="J1504" s="2" t="str">
        <f t="shared" si="92"/>
        <v>No</v>
      </c>
      <c r="K1504" s="2" t="str">
        <f t="shared" si="93"/>
        <v>Yes</v>
      </c>
      <c r="L1504" s="2" t="str">
        <f t="shared" si="95"/>
        <v>No</v>
      </c>
      <c r="M1504" s="2">
        <f t="shared" si="94"/>
        <v>0</v>
      </c>
    </row>
    <row r="1505" spans="1:13" x14ac:dyDescent="0.3">
      <c r="A1505" s="5" t="s">
        <v>4134</v>
      </c>
      <c r="B1505" s="5" t="s">
        <v>1654</v>
      </c>
      <c r="C1505" s="5" t="s">
        <v>2608</v>
      </c>
      <c r="D1505" s="6">
        <v>45888</v>
      </c>
      <c r="E1505" s="6">
        <v>45896</v>
      </c>
      <c r="F1505" s="6">
        <v>45901</v>
      </c>
      <c r="G1505" s="5" t="s">
        <v>2629</v>
      </c>
      <c r="H1505" s="5">
        <v>10</v>
      </c>
      <c r="I1505" s="5">
        <f>IFERROR(INDEX(Raw_Orders!H1505:H3933,MATCH(B1505,Raw_Orders!A1505:A3933,0)),0)</f>
        <v>10</v>
      </c>
      <c r="J1505" s="5" t="str">
        <f t="shared" si="92"/>
        <v>No</v>
      </c>
      <c r="K1505" s="5" t="str">
        <f t="shared" si="93"/>
        <v>Yes</v>
      </c>
      <c r="L1505" s="5" t="str">
        <f t="shared" si="95"/>
        <v>No</v>
      </c>
      <c r="M1505" s="5">
        <f t="shared" si="94"/>
        <v>0</v>
      </c>
    </row>
    <row r="1506" spans="1:13" x14ac:dyDescent="0.3">
      <c r="A1506" s="2" t="s">
        <v>4135</v>
      </c>
      <c r="B1506" s="2" t="s">
        <v>1655</v>
      </c>
      <c r="C1506" s="2" t="s">
        <v>2611</v>
      </c>
      <c r="D1506" s="3">
        <v>45891</v>
      </c>
      <c r="E1506" s="3">
        <v>45899</v>
      </c>
      <c r="F1506" s="3">
        <v>45899</v>
      </c>
      <c r="G1506" s="2" t="s">
        <v>2629</v>
      </c>
      <c r="H1506" s="2">
        <v>27</v>
      </c>
      <c r="I1506" s="2">
        <f>IFERROR(INDEX(Raw_Orders!H1506:H3934,MATCH(B1506,Raw_Orders!A1506:A3934,0)),0)</f>
        <v>27</v>
      </c>
      <c r="J1506" s="2" t="str">
        <f t="shared" si="92"/>
        <v>Yes</v>
      </c>
      <c r="K1506" s="2" t="str">
        <f t="shared" si="93"/>
        <v>Yes</v>
      </c>
      <c r="L1506" s="2" t="str">
        <f t="shared" si="95"/>
        <v>Yes</v>
      </c>
      <c r="M1506" s="2">
        <f t="shared" si="94"/>
        <v>1</v>
      </c>
    </row>
    <row r="1507" spans="1:13" x14ac:dyDescent="0.3">
      <c r="A1507" s="5" t="s">
        <v>4136</v>
      </c>
      <c r="B1507" s="5" t="s">
        <v>1656</v>
      </c>
      <c r="C1507" s="5" t="s">
        <v>2614</v>
      </c>
      <c r="D1507" s="6">
        <v>45891</v>
      </c>
      <c r="E1507" s="6">
        <v>45895</v>
      </c>
      <c r="F1507" s="6">
        <v>45905</v>
      </c>
      <c r="G1507" s="5" t="s">
        <v>2629</v>
      </c>
      <c r="H1507" s="5">
        <v>23</v>
      </c>
      <c r="I1507" s="5">
        <f>IFERROR(INDEX(Raw_Orders!H1507:H3935,MATCH(B1507,Raw_Orders!A1507:A3935,0)),0)</f>
        <v>23</v>
      </c>
      <c r="J1507" s="5" t="str">
        <f t="shared" si="92"/>
        <v>No</v>
      </c>
      <c r="K1507" s="5" t="str">
        <f t="shared" si="93"/>
        <v>Yes</v>
      </c>
      <c r="L1507" s="5" t="str">
        <f t="shared" si="95"/>
        <v>No</v>
      </c>
      <c r="M1507" s="5">
        <f t="shared" si="94"/>
        <v>0</v>
      </c>
    </row>
    <row r="1508" spans="1:13" x14ac:dyDescent="0.3">
      <c r="A1508" s="2" t="s">
        <v>4137</v>
      </c>
      <c r="B1508" s="2" t="s">
        <v>1657</v>
      </c>
      <c r="C1508" s="2" t="s">
        <v>2604</v>
      </c>
      <c r="D1508" s="3">
        <v>45890</v>
      </c>
      <c r="E1508" s="3">
        <v>45899</v>
      </c>
      <c r="F1508" s="3">
        <v>45893</v>
      </c>
      <c r="G1508" s="2" t="s">
        <v>2631</v>
      </c>
      <c r="H1508" s="2">
        <v>49</v>
      </c>
      <c r="I1508" s="2">
        <f>IFERROR(INDEX(Raw_Orders!H1508:H3936,MATCH(B1508,Raw_Orders!A1508:A3936,0)),0)</f>
        <v>49</v>
      </c>
      <c r="J1508" s="2" t="str">
        <f t="shared" si="92"/>
        <v>Yes</v>
      </c>
      <c r="K1508" s="2" t="str">
        <f t="shared" si="93"/>
        <v>Yes</v>
      </c>
      <c r="L1508" s="2" t="str">
        <f t="shared" si="95"/>
        <v>Yes</v>
      </c>
      <c r="M1508" s="2">
        <f t="shared" si="94"/>
        <v>1</v>
      </c>
    </row>
    <row r="1509" spans="1:13" x14ac:dyDescent="0.3">
      <c r="A1509" s="5" t="s">
        <v>4138</v>
      </c>
      <c r="B1509" s="5" t="s">
        <v>1658</v>
      </c>
      <c r="C1509" s="5" t="s">
        <v>2604</v>
      </c>
      <c r="D1509" s="6">
        <v>45889</v>
      </c>
      <c r="E1509" s="6">
        <v>45892</v>
      </c>
      <c r="F1509" s="6">
        <v>45894</v>
      </c>
      <c r="G1509" s="5" t="s">
        <v>2627</v>
      </c>
      <c r="H1509" s="5">
        <v>8</v>
      </c>
      <c r="I1509" s="5">
        <f>IFERROR(INDEX(Raw_Orders!H1509:H3937,MATCH(B1509,Raw_Orders!A1509:A3937,0)),0)</f>
        <v>8</v>
      </c>
      <c r="J1509" s="5" t="str">
        <f t="shared" si="92"/>
        <v>No</v>
      </c>
      <c r="K1509" s="5" t="str">
        <f t="shared" si="93"/>
        <v>Yes</v>
      </c>
      <c r="L1509" s="5" t="str">
        <f t="shared" si="95"/>
        <v>No</v>
      </c>
      <c r="M1509" s="5">
        <f t="shared" si="94"/>
        <v>0</v>
      </c>
    </row>
    <row r="1510" spans="1:13" x14ac:dyDescent="0.3">
      <c r="A1510" s="2" t="s">
        <v>4139</v>
      </c>
      <c r="B1510" s="2" t="s">
        <v>1659</v>
      </c>
      <c r="C1510" s="2" t="s">
        <v>2606</v>
      </c>
      <c r="D1510" s="3">
        <v>45889</v>
      </c>
      <c r="E1510" s="3">
        <v>45893</v>
      </c>
      <c r="F1510" s="3">
        <v>45895</v>
      </c>
      <c r="G1510" s="2" t="s">
        <v>2631</v>
      </c>
      <c r="H1510" s="2">
        <v>34</v>
      </c>
      <c r="I1510" s="2">
        <f>IFERROR(INDEX(Raw_Orders!H1510:H3938,MATCH(B1510,Raw_Orders!A1510:A3938,0)),0)</f>
        <v>34</v>
      </c>
      <c r="J1510" s="2" t="str">
        <f t="shared" si="92"/>
        <v>No</v>
      </c>
      <c r="K1510" s="2" t="str">
        <f t="shared" si="93"/>
        <v>Yes</v>
      </c>
      <c r="L1510" s="2" t="str">
        <f t="shared" si="95"/>
        <v>No</v>
      </c>
      <c r="M1510" s="2">
        <f t="shared" si="94"/>
        <v>0</v>
      </c>
    </row>
    <row r="1511" spans="1:13" x14ac:dyDescent="0.3">
      <c r="A1511" s="5" t="s">
        <v>4140</v>
      </c>
      <c r="B1511" s="5" t="s">
        <v>1660</v>
      </c>
      <c r="C1511" s="5" t="s">
        <v>2606</v>
      </c>
      <c r="D1511" s="6">
        <v>45891</v>
      </c>
      <c r="E1511" s="6">
        <v>45899</v>
      </c>
      <c r="F1511" s="6">
        <v>45896</v>
      </c>
      <c r="G1511" s="5" t="s">
        <v>2629</v>
      </c>
      <c r="H1511" s="5">
        <v>31</v>
      </c>
      <c r="I1511" s="5">
        <f>IFERROR(INDEX(Raw_Orders!H1511:H3939,MATCH(B1511,Raw_Orders!A1511:A3939,0)),0)</f>
        <v>34</v>
      </c>
      <c r="J1511" s="5" t="str">
        <f t="shared" si="92"/>
        <v>Yes</v>
      </c>
      <c r="K1511" s="5" t="str">
        <f t="shared" si="93"/>
        <v>N0</v>
      </c>
      <c r="L1511" s="5" t="str">
        <f t="shared" si="95"/>
        <v>No</v>
      </c>
      <c r="M1511" s="5">
        <f t="shared" si="94"/>
        <v>0</v>
      </c>
    </row>
    <row r="1512" spans="1:13" x14ac:dyDescent="0.3">
      <c r="A1512" s="2" t="s">
        <v>4141</v>
      </c>
      <c r="B1512" s="2" t="s">
        <v>1661</v>
      </c>
      <c r="C1512" s="2" t="s">
        <v>2608</v>
      </c>
      <c r="D1512" s="3">
        <v>45889</v>
      </c>
      <c r="E1512" s="3">
        <v>45898</v>
      </c>
      <c r="F1512" s="3">
        <v>45901</v>
      </c>
      <c r="G1512" s="2" t="s">
        <v>2627</v>
      </c>
      <c r="H1512" s="2">
        <v>28</v>
      </c>
      <c r="I1512" s="2">
        <f>IFERROR(INDEX(Raw_Orders!H1512:H3940,MATCH(B1512,Raw_Orders!A1512:A3940,0)),0)</f>
        <v>28</v>
      </c>
      <c r="J1512" s="2" t="str">
        <f t="shared" si="92"/>
        <v>No</v>
      </c>
      <c r="K1512" s="2" t="str">
        <f t="shared" si="93"/>
        <v>Yes</v>
      </c>
      <c r="L1512" s="2" t="str">
        <f t="shared" si="95"/>
        <v>No</v>
      </c>
      <c r="M1512" s="2">
        <f t="shared" si="94"/>
        <v>0</v>
      </c>
    </row>
    <row r="1513" spans="1:13" x14ac:dyDescent="0.3">
      <c r="A1513" s="5" t="s">
        <v>4142</v>
      </c>
      <c r="B1513" s="5" t="s">
        <v>1662</v>
      </c>
      <c r="C1513" s="5" t="s">
        <v>2608</v>
      </c>
      <c r="D1513" s="6">
        <v>45889</v>
      </c>
      <c r="E1513" s="6">
        <v>45897</v>
      </c>
      <c r="F1513" s="6">
        <v>45904</v>
      </c>
      <c r="G1513" s="5" t="s">
        <v>2629</v>
      </c>
      <c r="H1513" s="5">
        <v>5</v>
      </c>
      <c r="I1513" s="5">
        <f>IFERROR(INDEX(Raw_Orders!H1513:H3941,MATCH(B1513,Raw_Orders!A1513:A3941,0)),0)</f>
        <v>5</v>
      </c>
      <c r="J1513" s="5" t="str">
        <f t="shared" si="92"/>
        <v>No</v>
      </c>
      <c r="K1513" s="5" t="str">
        <f t="shared" si="93"/>
        <v>Yes</v>
      </c>
      <c r="L1513" s="5" t="str">
        <f t="shared" si="95"/>
        <v>No</v>
      </c>
      <c r="M1513" s="5">
        <f t="shared" si="94"/>
        <v>0</v>
      </c>
    </row>
    <row r="1514" spans="1:13" x14ac:dyDescent="0.3">
      <c r="A1514" s="2" t="s">
        <v>4143</v>
      </c>
      <c r="B1514" s="2" t="s">
        <v>1663</v>
      </c>
      <c r="C1514" s="2" t="s">
        <v>2611</v>
      </c>
      <c r="D1514" s="3">
        <v>45890</v>
      </c>
      <c r="E1514" s="3">
        <v>45899</v>
      </c>
      <c r="F1514" s="3">
        <v>45901</v>
      </c>
      <c r="G1514" s="2" t="s">
        <v>2633</v>
      </c>
      <c r="H1514" s="2">
        <v>15</v>
      </c>
      <c r="I1514" s="2">
        <f>IFERROR(INDEX(Raw_Orders!H1514:H3942,MATCH(B1514,Raw_Orders!A1514:A3942,0)),0)</f>
        <v>15</v>
      </c>
      <c r="J1514" s="2" t="str">
        <f t="shared" si="92"/>
        <v>No</v>
      </c>
      <c r="K1514" s="2" t="str">
        <f t="shared" si="93"/>
        <v>Yes</v>
      </c>
      <c r="L1514" s="2" t="str">
        <f t="shared" si="95"/>
        <v>No</v>
      </c>
      <c r="M1514" s="2">
        <f t="shared" si="94"/>
        <v>0</v>
      </c>
    </row>
    <row r="1515" spans="1:13" x14ac:dyDescent="0.3">
      <c r="A1515" s="5" t="s">
        <v>4144</v>
      </c>
      <c r="B1515" s="5" t="s">
        <v>1664</v>
      </c>
      <c r="C1515" s="5" t="s">
        <v>2611</v>
      </c>
      <c r="D1515" s="6">
        <v>45892</v>
      </c>
      <c r="E1515" s="6">
        <v>45895</v>
      </c>
      <c r="F1515" s="6">
        <v>45901</v>
      </c>
      <c r="G1515" s="5" t="s">
        <v>2633</v>
      </c>
      <c r="H1515" s="5">
        <v>24</v>
      </c>
      <c r="I1515" s="5">
        <f>IFERROR(INDEX(Raw_Orders!H1515:H3943,MATCH(B1515,Raw_Orders!A1515:A3943,0)),0)</f>
        <v>24</v>
      </c>
      <c r="J1515" s="5" t="str">
        <f t="shared" si="92"/>
        <v>No</v>
      </c>
      <c r="K1515" s="5" t="str">
        <f t="shared" si="93"/>
        <v>Yes</v>
      </c>
      <c r="L1515" s="5" t="str">
        <f t="shared" si="95"/>
        <v>No</v>
      </c>
      <c r="M1515" s="5">
        <f t="shared" si="94"/>
        <v>0</v>
      </c>
    </row>
    <row r="1516" spans="1:13" x14ac:dyDescent="0.3">
      <c r="A1516" s="2" t="s">
        <v>4145</v>
      </c>
      <c r="B1516" s="2" t="s">
        <v>1665</v>
      </c>
      <c r="C1516" s="2" t="s">
        <v>2614</v>
      </c>
      <c r="D1516" s="3">
        <v>45892</v>
      </c>
      <c r="E1516" s="3">
        <v>45900</v>
      </c>
      <c r="F1516" s="3">
        <v>45907</v>
      </c>
      <c r="G1516" s="2" t="s">
        <v>2633</v>
      </c>
      <c r="H1516" s="2">
        <v>17</v>
      </c>
      <c r="I1516" s="2">
        <f>IFERROR(INDEX(Raw_Orders!H1516:H3944,MATCH(B1516,Raw_Orders!A1516:A3944,0)),0)</f>
        <v>22</v>
      </c>
      <c r="J1516" s="2" t="str">
        <f t="shared" si="92"/>
        <v>No</v>
      </c>
      <c r="K1516" s="2" t="str">
        <f t="shared" si="93"/>
        <v>N0</v>
      </c>
      <c r="L1516" s="2" t="str">
        <f t="shared" si="95"/>
        <v>No</v>
      </c>
      <c r="M1516" s="2">
        <f t="shared" si="94"/>
        <v>0</v>
      </c>
    </row>
    <row r="1517" spans="1:13" x14ac:dyDescent="0.3">
      <c r="A1517" s="5" t="s">
        <v>4146</v>
      </c>
      <c r="B1517" s="5" t="s">
        <v>1666</v>
      </c>
      <c r="C1517" s="5" t="s">
        <v>2604</v>
      </c>
      <c r="D1517" s="6">
        <v>45890</v>
      </c>
      <c r="E1517" s="6">
        <v>45893</v>
      </c>
      <c r="F1517" s="6">
        <v>45895</v>
      </c>
      <c r="G1517" s="5" t="s">
        <v>2629</v>
      </c>
      <c r="H1517" s="5">
        <v>7</v>
      </c>
      <c r="I1517" s="5">
        <f>IFERROR(INDEX(Raw_Orders!H1517:H3945,MATCH(B1517,Raw_Orders!A1517:A3945,0)),0)</f>
        <v>7</v>
      </c>
      <c r="J1517" s="5" t="str">
        <f t="shared" si="92"/>
        <v>No</v>
      </c>
      <c r="K1517" s="5" t="str">
        <f t="shared" si="93"/>
        <v>Yes</v>
      </c>
      <c r="L1517" s="5" t="str">
        <f t="shared" si="95"/>
        <v>No</v>
      </c>
      <c r="M1517" s="5">
        <f t="shared" si="94"/>
        <v>0</v>
      </c>
    </row>
    <row r="1518" spans="1:13" x14ac:dyDescent="0.3">
      <c r="A1518" s="2" t="s">
        <v>4147</v>
      </c>
      <c r="B1518" s="2" t="s">
        <v>1667</v>
      </c>
      <c r="C1518" s="2" t="s">
        <v>2606</v>
      </c>
      <c r="D1518" s="3">
        <v>45890</v>
      </c>
      <c r="E1518" s="3">
        <v>45895</v>
      </c>
      <c r="F1518" s="3">
        <v>45898</v>
      </c>
      <c r="G1518" s="2" t="s">
        <v>2629</v>
      </c>
      <c r="H1518" s="2">
        <v>38</v>
      </c>
      <c r="I1518" s="2">
        <f>IFERROR(INDEX(Raw_Orders!H1518:H3946,MATCH(B1518,Raw_Orders!A1518:A3946,0)),0)</f>
        <v>38</v>
      </c>
      <c r="J1518" s="2" t="str">
        <f t="shared" si="92"/>
        <v>No</v>
      </c>
      <c r="K1518" s="2" t="str">
        <f t="shared" si="93"/>
        <v>Yes</v>
      </c>
      <c r="L1518" s="2" t="str">
        <f t="shared" si="95"/>
        <v>No</v>
      </c>
      <c r="M1518" s="2">
        <f t="shared" si="94"/>
        <v>0</v>
      </c>
    </row>
    <row r="1519" spans="1:13" x14ac:dyDescent="0.3">
      <c r="A1519" s="5" t="s">
        <v>4148</v>
      </c>
      <c r="B1519" s="5" t="s">
        <v>1668</v>
      </c>
      <c r="C1519" s="5" t="s">
        <v>2606</v>
      </c>
      <c r="D1519" s="6">
        <v>45890</v>
      </c>
      <c r="E1519" s="6">
        <v>45896</v>
      </c>
      <c r="F1519" s="6">
        <v>45897</v>
      </c>
      <c r="G1519" s="5" t="s">
        <v>2629</v>
      </c>
      <c r="H1519" s="5">
        <v>20</v>
      </c>
      <c r="I1519" s="5">
        <f>IFERROR(INDEX(Raw_Orders!H1519:H3947,MATCH(B1519,Raw_Orders!A1519:A3947,0)),0)</f>
        <v>20</v>
      </c>
      <c r="J1519" s="5" t="str">
        <f t="shared" si="92"/>
        <v>No</v>
      </c>
      <c r="K1519" s="5" t="str">
        <f t="shared" si="93"/>
        <v>Yes</v>
      </c>
      <c r="L1519" s="5" t="str">
        <f t="shared" si="95"/>
        <v>No</v>
      </c>
      <c r="M1519" s="5">
        <f t="shared" si="94"/>
        <v>0</v>
      </c>
    </row>
    <row r="1520" spans="1:13" x14ac:dyDescent="0.3">
      <c r="A1520" s="2" t="s">
        <v>4149</v>
      </c>
      <c r="B1520" s="2" t="s">
        <v>1669</v>
      </c>
      <c r="C1520" s="2" t="s">
        <v>2608</v>
      </c>
      <c r="D1520" s="3">
        <v>45892</v>
      </c>
      <c r="E1520" s="3">
        <v>45897</v>
      </c>
      <c r="F1520" s="3">
        <v>45905</v>
      </c>
      <c r="G1520" s="2" t="s">
        <v>2641</v>
      </c>
      <c r="H1520" s="2">
        <v>21</v>
      </c>
      <c r="I1520" s="2">
        <f>IFERROR(INDEX(Raw_Orders!H1520:H3948,MATCH(B1520,Raw_Orders!A1520:A3948,0)),0)</f>
        <v>21</v>
      </c>
      <c r="J1520" s="2" t="str">
        <f t="shared" si="92"/>
        <v>No</v>
      </c>
      <c r="K1520" s="2" t="str">
        <f t="shared" si="93"/>
        <v>Yes</v>
      </c>
      <c r="L1520" s="2" t="str">
        <f t="shared" si="95"/>
        <v>No</v>
      </c>
      <c r="M1520" s="2">
        <f t="shared" si="94"/>
        <v>0</v>
      </c>
    </row>
    <row r="1521" spans="1:13" x14ac:dyDescent="0.3">
      <c r="A1521" s="5" t="s">
        <v>4150</v>
      </c>
      <c r="B1521" s="5" t="s">
        <v>1670</v>
      </c>
      <c r="C1521" s="5" t="s">
        <v>2611</v>
      </c>
      <c r="D1521" s="6">
        <v>45891</v>
      </c>
      <c r="E1521" s="6">
        <v>45899</v>
      </c>
      <c r="F1521" s="6">
        <v>45898</v>
      </c>
      <c r="G1521" s="5" t="s">
        <v>2641</v>
      </c>
      <c r="H1521" s="5">
        <v>21</v>
      </c>
      <c r="I1521" s="5">
        <f>IFERROR(INDEX(Raw_Orders!H1521:H3949,MATCH(B1521,Raw_Orders!A1521:A3949,0)),0)</f>
        <v>21</v>
      </c>
      <c r="J1521" s="5" t="str">
        <f t="shared" si="92"/>
        <v>Yes</v>
      </c>
      <c r="K1521" s="5" t="str">
        <f t="shared" si="93"/>
        <v>Yes</v>
      </c>
      <c r="L1521" s="5" t="str">
        <f t="shared" si="95"/>
        <v>Yes</v>
      </c>
      <c r="M1521" s="5">
        <f t="shared" si="94"/>
        <v>1</v>
      </c>
    </row>
    <row r="1522" spans="1:13" x14ac:dyDescent="0.3">
      <c r="A1522" s="2" t="s">
        <v>4151</v>
      </c>
      <c r="B1522" s="2" t="s">
        <v>1671</v>
      </c>
      <c r="C1522" s="2" t="s">
        <v>2601</v>
      </c>
      <c r="D1522" s="3">
        <v>45893</v>
      </c>
      <c r="E1522" s="3">
        <v>45896</v>
      </c>
      <c r="F1522" s="3">
        <v>45898</v>
      </c>
      <c r="G1522" s="2" t="s">
        <v>2641</v>
      </c>
      <c r="H1522" s="2">
        <v>31</v>
      </c>
      <c r="I1522" s="2">
        <f>IFERROR(INDEX(Raw_Orders!H1522:H3950,MATCH(B1522,Raw_Orders!A1522:A3950,0)),0)</f>
        <v>31</v>
      </c>
      <c r="J1522" s="2" t="str">
        <f t="shared" si="92"/>
        <v>No</v>
      </c>
      <c r="K1522" s="2" t="str">
        <f t="shared" si="93"/>
        <v>Yes</v>
      </c>
      <c r="L1522" s="2" t="str">
        <f t="shared" si="95"/>
        <v>No</v>
      </c>
      <c r="M1522" s="2">
        <f t="shared" si="94"/>
        <v>0</v>
      </c>
    </row>
    <row r="1523" spans="1:13" x14ac:dyDescent="0.3">
      <c r="A1523" s="5" t="s">
        <v>4152</v>
      </c>
      <c r="B1523" s="5" t="s">
        <v>1672</v>
      </c>
      <c r="C1523" s="5" t="s">
        <v>2604</v>
      </c>
      <c r="D1523" s="6">
        <v>45893</v>
      </c>
      <c r="E1523" s="6">
        <v>45900</v>
      </c>
      <c r="F1523" s="6">
        <v>45897</v>
      </c>
      <c r="G1523" s="5" t="s">
        <v>2629</v>
      </c>
      <c r="H1523" s="5">
        <v>18</v>
      </c>
      <c r="I1523" s="5">
        <f>IFERROR(INDEX(Raw_Orders!H1523:H3951,MATCH(B1523,Raw_Orders!A1523:A3951,0)),0)</f>
        <v>18</v>
      </c>
      <c r="J1523" s="5" t="str">
        <f t="shared" si="92"/>
        <v>Yes</v>
      </c>
      <c r="K1523" s="5" t="str">
        <f t="shared" si="93"/>
        <v>Yes</v>
      </c>
      <c r="L1523" s="5" t="str">
        <f t="shared" si="95"/>
        <v>Yes</v>
      </c>
      <c r="M1523" s="5">
        <f t="shared" si="94"/>
        <v>1</v>
      </c>
    </row>
    <row r="1524" spans="1:13" x14ac:dyDescent="0.3">
      <c r="A1524" s="2" t="s">
        <v>4153</v>
      </c>
      <c r="B1524" s="2" t="s">
        <v>1673</v>
      </c>
      <c r="C1524" s="2" t="s">
        <v>2606</v>
      </c>
      <c r="D1524" s="3">
        <v>45893</v>
      </c>
      <c r="E1524" s="3">
        <v>45895</v>
      </c>
      <c r="F1524" s="3">
        <v>45899</v>
      </c>
      <c r="G1524" s="2" t="s">
        <v>2631</v>
      </c>
      <c r="H1524" s="2">
        <v>60</v>
      </c>
      <c r="I1524" s="2">
        <f>IFERROR(INDEX(Raw_Orders!H1524:H3952,MATCH(B1524,Raw_Orders!A1524:A3952,0)),0)</f>
        <v>60</v>
      </c>
      <c r="J1524" s="2" t="str">
        <f t="shared" si="92"/>
        <v>No</v>
      </c>
      <c r="K1524" s="2" t="str">
        <f t="shared" si="93"/>
        <v>Yes</v>
      </c>
      <c r="L1524" s="2" t="str">
        <f t="shared" si="95"/>
        <v>No</v>
      </c>
      <c r="M1524" s="2">
        <f t="shared" si="94"/>
        <v>0</v>
      </c>
    </row>
    <row r="1525" spans="1:13" x14ac:dyDescent="0.3">
      <c r="A1525" s="5" t="s">
        <v>4154</v>
      </c>
      <c r="B1525" s="5" t="s">
        <v>1674</v>
      </c>
      <c r="C1525" s="5" t="s">
        <v>2608</v>
      </c>
      <c r="D1525" s="6">
        <v>45891</v>
      </c>
      <c r="E1525" s="6">
        <v>45901</v>
      </c>
      <c r="F1525" s="6">
        <v>45905</v>
      </c>
      <c r="G1525" s="5" t="s">
        <v>2631</v>
      </c>
      <c r="H1525" s="5">
        <v>35</v>
      </c>
      <c r="I1525" s="5">
        <f>IFERROR(INDEX(Raw_Orders!H1525:H3953,MATCH(B1525,Raw_Orders!A1525:A3953,0)),0)</f>
        <v>35</v>
      </c>
      <c r="J1525" s="5" t="str">
        <f t="shared" si="92"/>
        <v>No</v>
      </c>
      <c r="K1525" s="5" t="str">
        <f t="shared" si="93"/>
        <v>Yes</v>
      </c>
      <c r="L1525" s="5" t="str">
        <f t="shared" si="95"/>
        <v>No</v>
      </c>
      <c r="M1525" s="5">
        <f t="shared" si="94"/>
        <v>0</v>
      </c>
    </row>
    <row r="1526" spans="1:13" x14ac:dyDescent="0.3">
      <c r="A1526" s="2" t="s">
        <v>4155</v>
      </c>
      <c r="B1526" s="2" t="s">
        <v>1675</v>
      </c>
      <c r="C1526" s="2" t="s">
        <v>2601</v>
      </c>
      <c r="D1526" s="3">
        <v>45894</v>
      </c>
      <c r="E1526" s="3">
        <v>45896</v>
      </c>
      <c r="F1526" s="3">
        <v>45903</v>
      </c>
      <c r="G1526" s="2" t="s">
        <v>2631</v>
      </c>
      <c r="H1526" s="2">
        <v>15</v>
      </c>
      <c r="I1526" s="2">
        <f>IFERROR(INDEX(Raw_Orders!H1526:H3954,MATCH(B1526,Raw_Orders!A1526:A3954,0)),0)</f>
        <v>15</v>
      </c>
      <c r="J1526" s="2" t="str">
        <f t="shared" si="92"/>
        <v>No</v>
      </c>
      <c r="K1526" s="2" t="str">
        <f t="shared" si="93"/>
        <v>Yes</v>
      </c>
      <c r="L1526" s="2" t="str">
        <f t="shared" si="95"/>
        <v>No</v>
      </c>
      <c r="M1526" s="2">
        <f t="shared" si="94"/>
        <v>0</v>
      </c>
    </row>
    <row r="1527" spans="1:13" x14ac:dyDescent="0.3">
      <c r="A1527" s="5" t="s">
        <v>4156</v>
      </c>
      <c r="B1527" s="5" t="s">
        <v>1676</v>
      </c>
      <c r="C1527" s="5" t="s">
        <v>2601</v>
      </c>
      <c r="D1527" s="6">
        <v>45892</v>
      </c>
      <c r="E1527" s="6">
        <v>45902</v>
      </c>
      <c r="F1527" s="6">
        <v>45896</v>
      </c>
      <c r="G1527" s="5" t="s">
        <v>2627</v>
      </c>
      <c r="H1527" s="5">
        <v>8</v>
      </c>
      <c r="I1527" s="5">
        <f>IFERROR(INDEX(Raw_Orders!H1527:H3955,MATCH(B1527,Raw_Orders!A1527:A3955,0)),0)</f>
        <v>8</v>
      </c>
      <c r="J1527" s="5" t="str">
        <f t="shared" si="92"/>
        <v>Yes</v>
      </c>
      <c r="K1527" s="5" t="str">
        <f t="shared" si="93"/>
        <v>Yes</v>
      </c>
      <c r="L1527" s="5" t="str">
        <f t="shared" si="95"/>
        <v>Yes</v>
      </c>
      <c r="M1527" s="5">
        <f t="shared" si="94"/>
        <v>1</v>
      </c>
    </row>
    <row r="1528" spans="1:13" x14ac:dyDescent="0.3">
      <c r="A1528" s="2" t="s">
        <v>4157</v>
      </c>
      <c r="B1528" s="2" t="s">
        <v>1677</v>
      </c>
      <c r="C1528" s="2" t="s">
        <v>2604</v>
      </c>
      <c r="D1528" s="3">
        <v>45894</v>
      </c>
      <c r="E1528" s="3">
        <v>45899</v>
      </c>
      <c r="F1528" s="3">
        <v>45897</v>
      </c>
      <c r="G1528" s="2" t="s">
        <v>2629</v>
      </c>
      <c r="H1528" s="2">
        <v>11</v>
      </c>
      <c r="I1528" s="2">
        <f>IFERROR(INDEX(Raw_Orders!H1528:H3956,MATCH(B1528,Raw_Orders!A1528:A3956,0)),0)</f>
        <v>11</v>
      </c>
      <c r="J1528" s="2" t="str">
        <f t="shared" si="92"/>
        <v>Yes</v>
      </c>
      <c r="K1528" s="2" t="str">
        <f t="shared" si="93"/>
        <v>Yes</v>
      </c>
      <c r="L1528" s="2" t="str">
        <f t="shared" si="95"/>
        <v>Yes</v>
      </c>
      <c r="M1528" s="2">
        <f t="shared" si="94"/>
        <v>1</v>
      </c>
    </row>
    <row r="1529" spans="1:13" x14ac:dyDescent="0.3">
      <c r="A1529" s="5" t="s">
        <v>4158</v>
      </c>
      <c r="B1529" s="5" t="s">
        <v>1678</v>
      </c>
      <c r="C1529" s="5" t="s">
        <v>2616</v>
      </c>
      <c r="D1529" s="6">
        <v>45892</v>
      </c>
      <c r="E1529" s="6">
        <v>45901</v>
      </c>
      <c r="F1529" s="6">
        <v>45908</v>
      </c>
      <c r="G1529" s="5" t="s">
        <v>2627</v>
      </c>
      <c r="H1529" s="5">
        <v>47</v>
      </c>
      <c r="I1529" s="5">
        <f>IFERROR(INDEX(Raw_Orders!H1529:H3957,MATCH(B1529,Raw_Orders!A1529:A3957,0)),0)</f>
        <v>47</v>
      </c>
      <c r="J1529" s="5" t="str">
        <f t="shared" si="92"/>
        <v>No</v>
      </c>
      <c r="K1529" s="5" t="str">
        <f t="shared" si="93"/>
        <v>Yes</v>
      </c>
      <c r="L1529" s="5" t="str">
        <f t="shared" si="95"/>
        <v>No</v>
      </c>
      <c r="M1529" s="5">
        <f t="shared" si="94"/>
        <v>0</v>
      </c>
    </row>
    <row r="1530" spans="1:13" x14ac:dyDescent="0.3">
      <c r="A1530" s="2" t="s">
        <v>4159</v>
      </c>
      <c r="B1530" s="2" t="s">
        <v>1679</v>
      </c>
      <c r="C1530" s="2" t="s">
        <v>2616</v>
      </c>
      <c r="D1530" s="3">
        <v>45892</v>
      </c>
      <c r="E1530" s="3">
        <v>45895</v>
      </c>
      <c r="F1530" s="3">
        <v>45911</v>
      </c>
      <c r="G1530" s="2" t="s">
        <v>2627</v>
      </c>
      <c r="H1530" s="2">
        <v>21</v>
      </c>
      <c r="I1530" s="2">
        <f>IFERROR(INDEX(Raw_Orders!H1530:H3958,MATCH(B1530,Raw_Orders!A1530:A3958,0)),0)</f>
        <v>21</v>
      </c>
      <c r="J1530" s="2" t="str">
        <f t="shared" si="92"/>
        <v>No</v>
      </c>
      <c r="K1530" s="2" t="str">
        <f t="shared" si="93"/>
        <v>Yes</v>
      </c>
      <c r="L1530" s="2" t="str">
        <f t="shared" si="95"/>
        <v>No</v>
      </c>
      <c r="M1530" s="2">
        <f t="shared" si="94"/>
        <v>0</v>
      </c>
    </row>
    <row r="1531" spans="1:13" x14ac:dyDescent="0.3">
      <c r="A1531" s="5" t="s">
        <v>4160</v>
      </c>
      <c r="B1531" s="5" t="s">
        <v>1680</v>
      </c>
      <c r="C1531" s="5" t="s">
        <v>2608</v>
      </c>
      <c r="D1531" s="6">
        <v>45893</v>
      </c>
      <c r="E1531" s="6">
        <v>45897</v>
      </c>
      <c r="F1531" s="6">
        <v>45906</v>
      </c>
      <c r="G1531" s="5" t="s">
        <v>2627</v>
      </c>
      <c r="H1531" s="5">
        <v>24</v>
      </c>
      <c r="I1531" s="5">
        <f>IFERROR(INDEX(Raw_Orders!H1531:H3959,MATCH(B1531,Raw_Orders!A1531:A3959,0)),0)</f>
        <v>24</v>
      </c>
      <c r="J1531" s="5" t="str">
        <f t="shared" si="92"/>
        <v>No</v>
      </c>
      <c r="K1531" s="5" t="str">
        <f t="shared" si="93"/>
        <v>Yes</v>
      </c>
      <c r="L1531" s="5" t="str">
        <f t="shared" si="95"/>
        <v>No</v>
      </c>
      <c r="M1531" s="5">
        <f t="shared" si="94"/>
        <v>0</v>
      </c>
    </row>
    <row r="1532" spans="1:13" x14ac:dyDescent="0.3">
      <c r="A1532" s="2" t="s">
        <v>4161</v>
      </c>
      <c r="B1532" s="2" t="s">
        <v>1681</v>
      </c>
      <c r="C1532" s="2" t="s">
        <v>2608</v>
      </c>
      <c r="D1532" s="3">
        <v>45893</v>
      </c>
      <c r="E1532" s="3">
        <v>45901</v>
      </c>
      <c r="F1532" s="3">
        <v>45905</v>
      </c>
      <c r="G1532" s="2" t="s">
        <v>2627</v>
      </c>
      <c r="H1532" s="2">
        <v>7</v>
      </c>
      <c r="I1532" s="2">
        <f>IFERROR(INDEX(Raw_Orders!H1532:H3960,MATCH(B1532,Raw_Orders!A1532:A3960,0)),0)</f>
        <v>7</v>
      </c>
      <c r="J1532" s="2" t="str">
        <f t="shared" si="92"/>
        <v>No</v>
      </c>
      <c r="K1532" s="2" t="str">
        <f t="shared" si="93"/>
        <v>Yes</v>
      </c>
      <c r="L1532" s="2" t="str">
        <f t="shared" si="95"/>
        <v>No</v>
      </c>
      <c r="M1532" s="2">
        <f t="shared" si="94"/>
        <v>0</v>
      </c>
    </row>
    <row r="1533" spans="1:13" x14ac:dyDescent="0.3">
      <c r="A1533" s="5" t="s">
        <v>4162</v>
      </c>
      <c r="B1533" s="5" t="s">
        <v>1682</v>
      </c>
      <c r="C1533" s="5" t="s">
        <v>2608</v>
      </c>
      <c r="D1533" s="6">
        <v>45892</v>
      </c>
      <c r="E1533" s="6">
        <v>45901</v>
      </c>
      <c r="F1533" s="6">
        <v>45907</v>
      </c>
      <c r="G1533" s="5" t="s">
        <v>2631</v>
      </c>
      <c r="H1533" s="5">
        <v>8</v>
      </c>
      <c r="I1533" s="5">
        <f>IFERROR(INDEX(Raw_Orders!H1533:H3961,MATCH(B1533,Raw_Orders!A1533:A3961,0)),0)</f>
        <v>8</v>
      </c>
      <c r="J1533" s="5" t="str">
        <f t="shared" si="92"/>
        <v>No</v>
      </c>
      <c r="K1533" s="5" t="str">
        <f t="shared" si="93"/>
        <v>Yes</v>
      </c>
      <c r="L1533" s="5" t="str">
        <f t="shared" si="95"/>
        <v>No</v>
      </c>
      <c r="M1533" s="5">
        <f t="shared" si="94"/>
        <v>0</v>
      </c>
    </row>
    <row r="1534" spans="1:13" x14ac:dyDescent="0.3">
      <c r="A1534" s="2" t="s">
        <v>4163</v>
      </c>
      <c r="B1534" s="2" t="s">
        <v>1683</v>
      </c>
      <c r="C1534" s="2" t="s">
        <v>2611</v>
      </c>
      <c r="D1534" s="3">
        <v>45894</v>
      </c>
      <c r="E1534" s="3">
        <v>45899</v>
      </c>
      <c r="F1534" s="3">
        <v>45900</v>
      </c>
      <c r="G1534" s="2" t="s">
        <v>2629</v>
      </c>
      <c r="H1534" s="2">
        <v>22</v>
      </c>
      <c r="I1534" s="2">
        <f>IFERROR(INDEX(Raw_Orders!H1534:H3962,MATCH(B1534,Raw_Orders!A1534:A3962,0)),0)</f>
        <v>30</v>
      </c>
      <c r="J1534" s="2" t="str">
        <f t="shared" si="92"/>
        <v>No</v>
      </c>
      <c r="K1534" s="2" t="str">
        <f t="shared" si="93"/>
        <v>N0</v>
      </c>
      <c r="L1534" s="2" t="str">
        <f t="shared" si="95"/>
        <v>No</v>
      </c>
      <c r="M1534" s="2">
        <f t="shared" si="94"/>
        <v>0</v>
      </c>
    </row>
    <row r="1535" spans="1:13" x14ac:dyDescent="0.3">
      <c r="A1535" s="5" t="s">
        <v>4164</v>
      </c>
      <c r="B1535" s="5" t="s">
        <v>1684</v>
      </c>
      <c r="C1535" s="5" t="s">
        <v>2616</v>
      </c>
      <c r="D1535" s="6">
        <v>45893</v>
      </c>
      <c r="E1535" s="6">
        <v>45898</v>
      </c>
      <c r="F1535" s="6">
        <v>45910</v>
      </c>
      <c r="G1535" s="5" t="s">
        <v>2627</v>
      </c>
      <c r="H1535" s="5">
        <v>8</v>
      </c>
      <c r="I1535" s="5">
        <f>IFERROR(INDEX(Raw_Orders!H1535:H3963,MATCH(B1535,Raw_Orders!A1535:A3963,0)),0)</f>
        <v>16</v>
      </c>
      <c r="J1535" s="5" t="str">
        <f t="shared" si="92"/>
        <v>No</v>
      </c>
      <c r="K1535" s="5" t="str">
        <f t="shared" si="93"/>
        <v>N0</v>
      </c>
      <c r="L1535" s="5" t="str">
        <f t="shared" si="95"/>
        <v>No</v>
      </c>
      <c r="M1535" s="5">
        <f t="shared" si="94"/>
        <v>0</v>
      </c>
    </row>
    <row r="1536" spans="1:13" x14ac:dyDescent="0.3">
      <c r="A1536" s="2" t="s">
        <v>4165</v>
      </c>
      <c r="B1536" s="2" t="s">
        <v>1685</v>
      </c>
      <c r="C1536" s="2" t="s">
        <v>2604</v>
      </c>
      <c r="D1536" s="3">
        <v>45893</v>
      </c>
      <c r="E1536" s="3">
        <v>45898</v>
      </c>
      <c r="F1536" s="3">
        <v>45897</v>
      </c>
      <c r="G1536" s="2" t="s">
        <v>2633</v>
      </c>
      <c r="H1536" s="2">
        <v>39</v>
      </c>
      <c r="I1536" s="2">
        <f>IFERROR(INDEX(Raw_Orders!H1536:H3964,MATCH(B1536,Raw_Orders!A1536:A3964,0)),0)</f>
        <v>42</v>
      </c>
      <c r="J1536" s="2" t="str">
        <f t="shared" si="92"/>
        <v>Yes</v>
      </c>
      <c r="K1536" s="2" t="str">
        <f t="shared" si="93"/>
        <v>N0</v>
      </c>
      <c r="L1536" s="2" t="str">
        <f t="shared" si="95"/>
        <v>No</v>
      </c>
      <c r="M1536" s="2">
        <f t="shared" si="94"/>
        <v>0</v>
      </c>
    </row>
    <row r="1537" spans="1:13" x14ac:dyDescent="0.3">
      <c r="A1537" s="5" t="s">
        <v>4166</v>
      </c>
      <c r="B1537" s="5" t="s">
        <v>1686</v>
      </c>
      <c r="C1537" s="5" t="s">
        <v>2606</v>
      </c>
      <c r="D1537" s="6">
        <v>45895</v>
      </c>
      <c r="E1537" s="6">
        <v>45898</v>
      </c>
      <c r="F1537" s="6">
        <v>45901</v>
      </c>
      <c r="G1537" s="5" t="s">
        <v>2631</v>
      </c>
      <c r="H1537" s="5">
        <v>38</v>
      </c>
      <c r="I1537" s="5">
        <f>IFERROR(INDEX(Raw_Orders!H1537:H3965,MATCH(B1537,Raw_Orders!A1537:A3965,0)),0)</f>
        <v>38</v>
      </c>
      <c r="J1537" s="5" t="str">
        <f t="shared" si="92"/>
        <v>No</v>
      </c>
      <c r="K1537" s="5" t="str">
        <f t="shared" si="93"/>
        <v>Yes</v>
      </c>
      <c r="L1537" s="5" t="str">
        <f t="shared" si="95"/>
        <v>No</v>
      </c>
      <c r="M1537" s="5">
        <f t="shared" si="94"/>
        <v>0</v>
      </c>
    </row>
    <row r="1538" spans="1:13" x14ac:dyDescent="0.3">
      <c r="A1538" s="2" t="s">
        <v>4167</v>
      </c>
      <c r="B1538" s="2" t="s">
        <v>1687</v>
      </c>
      <c r="C1538" s="2" t="s">
        <v>2606</v>
      </c>
      <c r="D1538" s="3">
        <v>45895</v>
      </c>
      <c r="E1538" s="3">
        <v>45899</v>
      </c>
      <c r="F1538" s="3">
        <v>45901</v>
      </c>
      <c r="G1538" s="2" t="s">
        <v>2641</v>
      </c>
      <c r="H1538" s="2">
        <v>33</v>
      </c>
      <c r="I1538" s="2">
        <f>IFERROR(INDEX(Raw_Orders!H1538:H3966,MATCH(B1538,Raw_Orders!A1538:A3966,0)),0)</f>
        <v>33</v>
      </c>
      <c r="J1538" s="2" t="str">
        <f t="shared" si="92"/>
        <v>No</v>
      </c>
      <c r="K1538" s="2" t="str">
        <f t="shared" si="93"/>
        <v>Yes</v>
      </c>
      <c r="L1538" s="2" t="str">
        <f t="shared" si="95"/>
        <v>No</v>
      </c>
      <c r="M1538" s="2">
        <f t="shared" si="94"/>
        <v>0</v>
      </c>
    </row>
    <row r="1539" spans="1:13" x14ac:dyDescent="0.3">
      <c r="A1539" s="5" t="s">
        <v>4168</v>
      </c>
      <c r="B1539" s="5" t="s">
        <v>1688</v>
      </c>
      <c r="C1539" s="5" t="s">
        <v>2608</v>
      </c>
      <c r="D1539" s="6">
        <v>45894</v>
      </c>
      <c r="E1539" s="6">
        <v>45900</v>
      </c>
      <c r="F1539" s="6">
        <v>45906</v>
      </c>
      <c r="G1539" s="5" t="s">
        <v>2641</v>
      </c>
      <c r="H1539" s="5">
        <v>5</v>
      </c>
      <c r="I1539" s="5">
        <f>IFERROR(INDEX(Raw_Orders!H1539:H3967,MATCH(B1539,Raw_Orders!A1539:A3967,0)),0)</f>
        <v>5</v>
      </c>
      <c r="J1539" s="5" t="str">
        <f t="shared" ref="J1539:J1602" si="96">IF(E1539&gt;=F1539,"Yes","No")</f>
        <v>No</v>
      </c>
      <c r="K1539" s="5" t="str">
        <f t="shared" ref="K1539:K1602" si="97">IF(H1539&gt;=I1539,"Yes","N0")</f>
        <v>Yes</v>
      </c>
      <c r="L1539" s="5" t="str">
        <f t="shared" si="95"/>
        <v>No</v>
      </c>
      <c r="M1539" s="5">
        <f t="shared" ref="M1539:M1602" si="98">IF(L1539="Yes",1,0)</f>
        <v>0</v>
      </c>
    </row>
    <row r="1540" spans="1:13" x14ac:dyDescent="0.3">
      <c r="A1540" s="2" t="s">
        <v>4169</v>
      </c>
      <c r="B1540" s="2" t="s">
        <v>1689</v>
      </c>
      <c r="C1540" s="2" t="s">
        <v>2608</v>
      </c>
      <c r="D1540" s="3">
        <v>45894</v>
      </c>
      <c r="E1540" s="3">
        <v>45897</v>
      </c>
      <c r="F1540" s="3">
        <v>45907</v>
      </c>
      <c r="G1540" s="2" t="s">
        <v>2627</v>
      </c>
      <c r="H1540" s="2">
        <v>12</v>
      </c>
      <c r="I1540" s="2">
        <f>IFERROR(INDEX(Raw_Orders!H1540:H3968,MATCH(B1540,Raw_Orders!A1540:A3968,0)),0)</f>
        <v>12</v>
      </c>
      <c r="J1540" s="2" t="str">
        <f t="shared" si="96"/>
        <v>No</v>
      </c>
      <c r="K1540" s="2" t="str">
        <f t="shared" si="97"/>
        <v>Yes</v>
      </c>
      <c r="L1540" s="2" t="str">
        <f t="shared" ref="L1540:L1603" si="99">IF(AND(J1540="Yes",K1540="Yes"),"Yes","No")</f>
        <v>No</v>
      </c>
      <c r="M1540" s="2">
        <f t="shared" si="98"/>
        <v>0</v>
      </c>
    </row>
    <row r="1541" spans="1:13" x14ac:dyDescent="0.3">
      <c r="A1541" s="5" t="s">
        <v>4170</v>
      </c>
      <c r="B1541" s="5" t="s">
        <v>1690</v>
      </c>
      <c r="C1541" s="5" t="s">
        <v>2598</v>
      </c>
      <c r="D1541" s="6">
        <v>45895</v>
      </c>
      <c r="E1541" s="6">
        <v>45899</v>
      </c>
      <c r="F1541" s="6">
        <v>45908</v>
      </c>
      <c r="G1541" s="5" t="s">
        <v>2629</v>
      </c>
      <c r="H1541" s="5">
        <v>14</v>
      </c>
      <c r="I1541" s="5">
        <f>IFERROR(INDEX(Raw_Orders!H1541:H3969,MATCH(B1541,Raw_Orders!A1541:A3969,0)),0)</f>
        <v>14</v>
      </c>
      <c r="J1541" s="5" t="str">
        <f t="shared" si="96"/>
        <v>No</v>
      </c>
      <c r="K1541" s="5" t="str">
        <f t="shared" si="97"/>
        <v>Yes</v>
      </c>
      <c r="L1541" s="5" t="str">
        <f t="shared" si="99"/>
        <v>No</v>
      </c>
      <c r="M1541" s="5">
        <f t="shared" si="98"/>
        <v>0</v>
      </c>
    </row>
    <row r="1542" spans="1:13" x14ac:dyDescent="0.3">
      <c r="A1542" s="2" t="s">
        <v>4171</v>
      </c>
      <c r="B1542" s="2" t="s">
        <v>1691</v>
      </c>
      <c r="C1542" s="2" t="s">
        <v>2614</v>
      </c>
      <c r="D1542" s="3">
        <v>45894</v>
      </c>
      <c r="E1542" s="3">
        <v>45900</v>
      </c>
      <c r="F1542" s="3">
        <v>45912</v>
      </c>
      <c r="G1542" s="2" t="s">
        <v>2633</v>
      </c>
      <c r="H1542" s="2">
        <v>9</v>
      </c>
      <c r="I1542" s="2">
        <f>IFERROR(INDEX(Raw_Orders!H1542:H3970,MATCH(B1542,Raw_Orders!A1542:A3970,0)),0)</f>
        <v>9</v>
      </c>
      <c r="J1542" s="2" t="str">
        <f t="shared" si="96"/>
        <v>No</v>
      </c>
      <c r="K1542" s="2" t="str">
        <f t="shared" si="97"/>
        <v>Yes</v>
      </c>
      <c r="L1542" s="2" t="str">
        <f t="shared" si="99"/>
        <v>No</v>
      </c>
      <c r="M1542" s="2">
        <f t="shared" si="98"/>
        <v>0</v>
      </c>
    </row>
    <row r="1543" spans="1:13" x14ac:dyDescent="0.3">
      <c r="A1543" s="5" t="s">
        <v>4172</v>
      </c>
      <c r="B1543" s="5" t="s">
        <v>1692</v>
      </c>
      <c r="C1543" s="5" t="s">
        <v>2601</v>
      </c>
      <c r="D1543" s="6">
        <v>45896</v>
      </c>
      <c r="E1543" s="6">
        <v>45898</v>
      </c>
      <c r="F1543" s="6">
        <v>45905</v>
      </c>
      <c r="G1543" s="5" t="s">
        <v>2627</v>
      </c>
      <c r="H1543" s="5">
        <v>14</v>
      </c>
      <c r="I1543" s="5">
        <f>IFERROR(INDEX(Raw_Orders!H1543:H3971,MATCH(B1543,Raw_Orders!A1543:A3971,0)),0)</f>
        <v>14</v>
      </c>
      <c r="J1543" s="5" t="str">
        <f t="shared" si="96"/>
        <v>No</v>
      </c>
      <c r="K1543" s="5" t="str">
        <f t="shared" si="97"/>
        <v>Yes</v>
      </c>
      <c r="L1543" s="5" t="str">
        <f t="shared" si="99"/>
        <v>No</v>
      </c>
      <c r="M1543" s="5">
        <f t="shared" si="98"/>
        <v>0</v>
      </c>
    </row>
    <row r="1544" spans="1:13" x14ac:dyDescent="0.3">
      <c r="A1544" s="2" t="s">
        <v>4173</v>
      </c>
      <c r="B1544" s="2" t="s">
        <v>1693</v>
      </c>
      <c r="C1544" s="2" t="s">
        <v>2604</v>
      </c>
      <c r="D1544" s="3">
        <v>45896</v>
      </c>
      <c r="E1544" s="3">
        <v>45904</v>
      </c>
      <c r="F1544" s="3">
        <v>45899</v>
      </c>
      <c r="G1544" s="2" t="s">
        <v>2633</v>
      </c>
      <c r="H1544" s="2">
        <v>5</v>
      </c>
      <c r="I1544" s="2">
        <f>IFERROR(INDEX(Raw_Orders!H1544:H3972,MATCH(B1544,Raw_Orders!A1544:A3972,0)),0)</f>
        <v>5</v>
      </c>
      <c r="J1544" s="2" t="str">
        <f t="shared" si="96"/>
        <v>Yes</v>
      </c>
      <c r="K1544" s="2" t="str">
        <f t="shared" si="97"/>
        <v>Yes</v>
      </c>
      <c r="L1544" s="2" t="str">
        <f t="shared" si="99"/>
        <v>Yes</v>
      </c>
      <c r="M1544" s="2">
        <f t="shared" si="98"/>
        <v>1</v>
      </c>
    </row>
    <row r="1545" spans="1:13" x14ac:dyDescent="0.3">
      <c r="A1545" s="5" t="s">
        <v>4174</v>
      </c>
      <c r="B1545" s="5" t="s">
        <v>1694</v>
      </c>
      <c r="C1545" s="5" t="s">
        <v>2616</v>
      </c>
      <c r="D1545" s="6">
        <v>45894</v>
      </c>
      <c r="E1545" s="6">
        <v>45899</v>
      </c>
      <c r="F1545" s="6">
        <v>45909</v>
      </c>
      <c r="G1545" s="5" t="s">
        <v>2641</v>
      </c>
      <c r="H1545" s="5">
        <v>54</v>
      </c>
      <c r="I1545" s="5">
        <f>IFERROR(INDEX(Raw_Orders!H1545:H3973,MATCH(B1545,Raw_Orders!A1545:A3973,0)),0)</f>
        <v>54</v>
      </c>
      <c r="J1545" s="5" t="str">
        <f t="shared" si="96"/>
        <v>No</v>
      </c>
      <c r="K1545" s="5" t="str">
        <f t="shared" si="97"/>
        <v>Yes</v>
      </c>
      <c r="L1545" s="5" t="str">
        <f t="shared" si="99"/>
        <v>No</v>
      </c>
      <c r="M1545" s="5">
        <f t="shared" si="98"/>
        <v>0</v>
      </c>
    </row>
    <row r="1546" spans="1:13" x14ac:dyDescent="0.3">
      <c r="A1546" s="2" t="s">
        <v>4175</v>
      </c>
      <c r="B1546" s="2" t="s">
        <v>1695</v>
      </c>
      <c r="C1546" s="2" t="s">
        <v>2616</v>
      </c>
      <c r="D1546" s="3">
        <v>45894</v>
      </c>
      <c r="E1546" s="3">
        <v>45897</v>
      </c>
      <c r="F1546" s="3">
        <v>45909</v>
      </c>
      <c r="G1546" s="2" t="s">
        <v>2641</v>
      </c>
      <c r="H1546" s="2">
        <v>16</v>
      </c>
      <c r="I1546" s="2">
        <f>IFERROR(INDEX(Raw_Orders!H1546:H3974,MATCH(B1546,Raw_Orders!A1546:A3974,0)),0)</f>
        <v>16</v>
      </c>
      <c r="J1546" s="2" t="str">
        <f t="shared" si="96"/>
        <v>No</v>
      </c>
      <c r="K1546" s="2" t="str">
        <f t="shared" si="97"/>
        <v>Yes</v>
      </c>
      <c r="L1546" s="2" t="str">
        <f t="shared" si="99"/>
        <v>No</v>
      </c>
      <c r="M1546" s="2">
        <f t="shared" si="98"/>
        <v>0</v>
      </c>
    </row>
    <row r="1547" spans="1:13" x14ac:dyDescent="0.3">
      <c r="A1547" s="5" t="s">
        <v>4176</v>
      </c>
      <c r="B1547" s="5" t="s">
        <v>1696</v>
      </c>
      <c r="C1547" s="5" t="s">
        <v>2606</v>
      </c>
      <c r="D1547" s="6">
        <v>45894</v>
      </c>
      <c r="E1547" s="6">
        <v>45897</v>
      </c>
      <c r="F1547" s="6">
        <v>45901</v>
      </c>
      <c r="G1547" s="5" t="s">
        <v>2631</v>
      </c>
      <c r="H1547" s="5">
        <v>49</v>
      </c>
      <c r="I1547" s="5">
        <f>IFERROR(INDEX(Raw_Orders!H1547:H3975,MATCH(B1547,Raw_Orders!A1547:A3975,0)),0)</f>
        <v>49</v>
      </c>
      <c r="J1547" s="5" t="str">
        <f t="shared" si="96"/>
        <v>No</v>
      </c>
      <c r="K1547" s="5" t="str">
        <f t="shared" si="97"/>
        <v>Yes</v>
      </c>
      <c r="L1547" s="5" t="str">
        <f t="shared" si="99"/>
        <v>No</v>
      </c>
      <c r="M1547" s="5">
        <f t="shared" si="98"/>
        <v>0</v>
      </c>
    </row>
    <row r="1548" spans="1:13" x14ac:dyDescent="0.3">
      <c r="A1548" s="2" t="s">
        <v>4177</v>
      </c>
      <c r="B1548" s="2" t="s">
        <v>1697</v>
      </c>
      <c r="C1548" s="2" t="s">
        <v>2608</v>
      </c>
      <c r="D1548" s="3">
        <v>45896</v>
      </c>
      <c r="E1548" s="3">
        <v>45897</v>
      </c>
      <c r="F1548" s="3">
        <v>45908</v>
      </c>
      <c r="G1548" s="2" t="s">
        <v>2631</v>
      </c>
      <c r="H1548" s="2">
        <v>3</v>
      </c>
      <c r="I1548" s="2">
        <f>IFERROR(INDEX(Raw_Orders!H1548:H3976,MATCH(B1548,Raw_Orders!A1548:A3976,0)),0)</f>
        <v>3</v>
      </c>
      <c r="J1548" s="2" t="str">
        <f t="shared" si="96"/>
        <v>No</v>
      </c>
      <c r="K1548" s="2" t="str">
        <f t="shared" si="97"/>
        <v>Yes</v>
      </c>
      <c r="L1548" s="2" t="str">
        <f t="shared" si="99"/>
        <v>No</v>
      </c>
      <c r="M1548" s="2">
        <f t="shared" si="98"/>
        <v>0</v>
      </c>
    </row>
    <row r="1549" spans="1:13" x14ac:dyDescent="0.3">
      <c r="A1549" s="5" t="s">
        <v>4178</v>
      </c>
      <c r="B1549" s="5" t="s">
        <v>1698</v>
      </c>
      <c r="C1549" s="5" t="s">
        <v>2608</v>
      </c>
      <c r="D1549" s="6">
        <v>45896</v>
      </c>
      <c r="E1549" s="6">
        <v>45899</v>
      </c>
      <c r="F1549" s="6">
        <v>45911</v>
      </c>
      <c r="G1549" s="5" t="s">
        <v>2627</v>
      </c>
      <c r="H1549" s="5">
        <v>13</v>
      </c>
      <c r="I1549" s="5">
        <f>IFERROR(INDEX(Raw_Orders!H1549:H3977,MATCH(B1549,Raw_Orders!A1549:A3977,0)),0)</f>
        <v>13</v>
      </c>
      <c r="J1549" s="5" t="str">
        <f t="shared" si="96"/>
        <v>No</v>
      </c>
      <c r="K1549" s="5" t="str">
        <f t="shared" si="97"/>
        <v>Yes</v>
      </c>
      <c r="L1549" s="5" t="str">
        <f t="shared" si="99"/>
        <v>No</v>
      </c>
      <c r="M1549" s="5">
        <f t="shared" si="98"/>
        <v>0</v>
      </c>
    </row>
    <row r="1550" spans="1:13" x14ac:dyDescent="0.3">
      <c r="A1550" s="2" t="s">
        <v>4179</v>
      </c>
      <c r="B1550" s="2" t="s">
        <v>1699</v>
      </c>
      <c r="C1550" s="2" t="s">
        <v>2611</v>
      </c>
      <c r="D1550" s="3">
        <v>45896</v>
      </c>
      <c r="E1550" s="3">
        <v>45905</v>
      </c>
      <c r="F1550" s="3">
        <v>45903</v>
      </c>
      <c r="G1550" s="2" t="s">
        <v>2631</v>
      </c>
      <c r="H1550" s="2">
        <v>25</v>
      </c>
      <c r="I1550" s="2">
        <f>IFERROR(INDEX(Raw_Orders!H1550:H3978,MATCH(B1550,Raw_Orders!A1550:A3978,0)),0)</f>
        <v>25</v>
      </c>
      <c r="J1550" s="2" t="str">
        <f t="shared" si="96"/>
        <v>Yes</v>
      </c>
      <c r="K1550" s="2" t="str">
        <f t="shared" si="97"/>
        <v>Yes</v>
      </c>
      <c r="L1550" s="2" t="str">
        <f t="shared" si="99"/>
        <v>Yes</v>
      </c>
      <c r="M1550" s="2">
        <f t="shared" si="98"/>
        <v>1</v>
      </c>
    </row>
    <row r="1551" spans="1:13" x14ac:dyDescent="0.3">
      <c r="A1551" s="5" t="s">
        <v>4180</v>
      </c>
      <c r="B1551" s="5" t="s">
        <v>1700</v>
      </c>
      <c r="C1551" s="5" t="s">
        <v>2614</v>
      </c>
      <c r="D1551" s="6">
        <v>45897</v>
      </c>
      <c r="E1551" s="6">
        <v>45901</v>
      </c>
      <c r="F1551" s="6">
        <v>45911</v>
      </c>
      <c r="G1551" s="5" t="s">
        <v>2633</v>
      </c>
      <c r="H1551" s="5">
        <v>24</v>
      </c>
      <c r="I1551" s="5">
        <f>IFERROR(INDEX(Raw_Orders!H1551:H3979,MATCH(B1551,Raw_Orders!A1551:A3979,0)),0)</f>
        <v>24</v>
      </c>
      <c r="J1551" s="5" t="str">
        <f t="shared" si="96"/>
        <v>No</v>
      </c>
      <c r="K1551" s="5" t="str">
        <f t="shared" si="97"/>
        <v>Yes</v>
      </c>
      <c r="L1551" s="5" t="str">
        <f t="shared" si="99"/>
        <v>No</v>
      </c>
      <c r="M1551" s="5">
        <f t="shared" si="98"/>
        <v>0</v>
      </c>
    </row>
    <row r="1552" spans="1:13" x14ac:dyDescent="0.3">
      <c r="A1552" s="2" t="s">
        <v>4181</v>
      </c>
      <c r="B1552" s="2" t="s">
        <v>1701</v>
      </c>
      <c r="C1552" s="2" t="s">
        <v>2616</v>
      </c>
      <c r="D1552" s="3">
        <v>45895</v>
      </c>
      <c r="E1552" s="3">
        <v>45900</v>
      </c>
      <c r="F1552" s="3">
        <v>45912</v>
      </c>
      <c r="G1552" s="2" t="s">
        <v>2629</v>
      </c>
      <c r="H1552" s="2">
        <v>15</v>
      </c>
      <c r="I1552" s="2">
        <f>IFERROR(INDEX(Raw_Orders!H1552:H3980,MATCH(B1552,Raw_Orders!A1552:A3980,0)),0)</f>
        <v>15</v>
      </c>
      <c r="J1552" s="2" t="str">
        <f t="shared" si="96"/>
        <v>No</v>
      </c>
      <c r="K1552" s="2" t="str">
        <f t="shared" si="97"/>
        <v>Yes</v>
      </c>
      <c r="L1552" s="2" t="str">
        <f t="shared" si="99"/>
        <v>No</v>
      </c>
      <c r="M1552" s="2">
        <f t="shared" si="98"/>
        <v>0</v>
      </c>
    </row>
    <row r="1553" spans="1:13" x14ac:dyDescent="0.3">
      <c r="A1553" s="5" t="s">
        <v>4182</v>
      </c>
      <c r="B1553" s="5" t="s">
        <v>1702</v>
      </c>
      <c r="C1553" s="5" t="s">
        <v>2604</v>
      </c>
      <c r="D1553" s="6">
        <v>45895</v>
      </c>
      <c r="E1553" s="6">
        <v>45905</v>
      </c>
      <c r="F1553" s="6">
        <v>45899</v>
      </c>
      <c r="G1553" s="5" t="s">
        <v>2633</v>
      </c>
      <c r="H1553" s="5">
        <v>18</v>
      </c>
      <c r="I1553" s="5">
        <f>IFERROR(INDEX(Raw_Orders!H1553:H3981,MATCH(B1553,Raw_Orders!A1553:A3981,0)),0)</f>
        <v>22</v>
      </c>
      <c r="J1553" s="5" t="str">
        <f t="shared" si="96"/>
        <v>Yes</v>
      </c>
      <c r="K1553" s="5" t="str">
        <f t="shared" si="97"/>
        <v>N0</v>
      </c>
      <c r="L1553" s="5" t="str">
        <f t="shared" si="99"/>
        <v>No</v>
      </c>
      <c r="M1553" s="5">
        <f t="shared" si="98"/>
        <v>0</v>
      </c>
    </row>
    <row r="1554" spans="1:13" x14ac:dyDescent="0.3">
      <c r="A1554" s="2" t="s">
        <v>4183</v>
      </c>
      <c r="B1554" s="2" t="s">
        <v>1703</v>
      </c>
      <c r="C1554" s="2" t="s">
        <v>2606</v>
      </c>
      <c r="D1554" s="3">
        <v>45896</v>
      </c>
      <c r="E1554" s="3">
        <v>45899</v>
      </c>
      <c r="F1554" s="3">
        <v>45902</v>
      </c>
      <c r="G1554" s="2" t="s">
        <v>2633</v>
      </c>
      <c r="H1554" s="2">
        <v>13</v>
      </c>
      <c r="I1554" s="2">
        <f>IFERROR(INDEX(Raw_Orders!H1554:H3982,MATCH(B1554,Raw_Orders!A1554:A3982,0)),0)</f>
        <v>18</v>
      </c>
      <c r="J1554" s="2" t="str">
        <f t="shared" si="96"/>
        <v>No</v>
      </c>
      <c r="K1554" s="2" t="str">
        <f t="shared" si="97"/>
        <v>N0</v>
      </c>
      <c r="L1554" s="2" t="str">
        <f t="shared" si="99"/>
        <v>No</v>
      </c>
      <c r="M1554" s="2">
        <f t="shared" si="98"/>
        <v>0</v>
      </c>
    </row>
    <row r="1555" spans="1:13" x14ac:dyDescent="0.3">
      <c r="A1555" s="5" t="s">
        <v>4184</v>
      </c>
      <c r="B1555" s="5" t="s">
        <v>1704</v>
      </c>
      <c r="C1555" s="5" t="s">
        <v>2608</v>
      </c>
      <c r="D1555" s="6">
        <v>45897</v>
      </c>
      <c r="E1555" s="6">
        <v>45904</v>
      </c>
      <c r="F1555" s="6">
        <v>45914</v>
      </c>
      <c r="G1555" s="5" t="s">
        <v>2641</v>
      </c>
      <c r="H1555" s="5">
        <v>7</v>
      </c>
      <c r="I1555" s="5">
        <f>IFERROR(INDEX(Raw_Orders!H1555:H3983,MATCH(B1555,Raw_Orders!A1555:A3983,0)),0)</f>
        <v>7</v>
      </c>
      <c r="J1555" s="5" t="str">
        <f t="shared" si="96"/>
        <v>No</v>
      </c>
      <c r="K1555" s="5" t="str">
        <f t="shared" si="97"/>
        <v>Yes</v>
      </c>
      <c r="L1555" s="5" t="str">
        <f t="shared" si="99"/>
        <v>No</v>
      </c>
      <c r="M1555" s="5">
        <f t="shared" si="98"/>
        <v>0</v>
      </c>
    </row>
    <row r="1556" spans="1:13" x14ac:dyDescent="0.3">
      <c r="A1556" s="2" t="s">
        <v>4185</v>
      </c>
      <c r="B1556" s="2" t="s">
        <v>1705</v>
      </c>
      <c r="C1556" s="2" t="s">
        <v>2598</v>
      </c>
      <c r="D1556" s="3">
        <v>45896</v>
      </c>
      <c r="E1556" s="3">
        <v>45905</v>
      </c>
      <c r="F1556" s="3">
        <v>45913</v>
      </c>
      <c r="G1556" s="2" t="s">
        <v>2641</v>
      </c>
      <c r="H1556" s="2">
        <v>49</v>
      </c>
      <c r="I1556" s="2">
        <f>IFERROR(INDEX(Raw_Orders!H1556:H3984,MATCH(B1556,Raw_Orders!A1556:A3984,0)),0)</f>
        <v>49</v>
      </c>
      <c r="J1556" s="2" t="str">
        <f t="shared" si="96"/>
        <v>No</v>
      </c>
      <c r="K1556" s="2" t="str">
        <f t="shared" si="97"/>
        <v>Yes</v>
      </c>
      <c r="L1556" s="2" t="str">
        <f t="shared" si="99"/>
        <v>No</v>
      </c>
      <c r="M1556" s="2">
        <f t="shared" si="98"/>
        <v>0</v>
      </c>
    </row>
    <row r="1557" spans="1:13" x14ac:dyDescent="0.3">
      <c r="A1557" s="5" t="s">
        <v>4186</v>
      </c>
      <c r="B1557" s="5" t="s">
        <v>1706</v>
      </c>
      <c r="C1557" s="5" t="s">
        <v>2611</v>
      </c>
      <c r="D1557" s="6">
        <v>45897</v>
      </c>
      <c r="E1557" s="6">
        <v>45902</v>
      </c>
      <c r="F1557" s="6">
        <v>45908</v>
      </c>
      <c r="G1557" s="5" t="s">
        <v>2641</v>
      </c>
      <c r="H1557" s="5">
        <v>23</v>
      </c>
      <c r="I1557" s="5">
        <f>IFERROR(INDEX(Raw_Orders!H1557:H3985,MATCH(B1557,Raw_Orders!A1557:A3985,0)),0)</f>
        <v>24</v>
      </c>
      <c r="J1557" s="5" t="str">
        <f t="shared" si="96"/>
        <v>No</v>
      </c>
      <c r="K1557" s="5" t="str">
        <f t="shared" si="97"/>
        <v>N0</v>
      </c>
      <c r="L1557" s="5" t="str">
        <f t="shared" si="99"/>
        <v>No</v>
      </c>
      <c r="M1557" s="5">
        <f t="shared" si="98"/>
        <v>0</v>
      </c>
    </row>
    <row r="1558" spans="1:13" x14ac:dyDescent="0.3">
      <c r="A1558" s="2" t="s">
        <v>4187</v>
      </c>
      <c r="B1558" s="2" t="s">
        <v>1707</v>
      </c>
      <c r="C1558" s="2" t="s">
        <v>2611</v>
      </c>
      <c r="D1558" s="3">
        <v>45898</v>
      </c>
      <c r="E1558" s="3">
        <v>45904</v>
      </c>
      <c r="F1558" s="3">
        <v>45906</v>
      </c>
      <c r="G1558" s="2" t="s">
        <v>2627</v>
      </c>
      <c r="H1558" s="2">
        <v>36</v>
      </c>
      <c r="I1558" s="2">
        <f>IFERROR(INDEX(Raw_Orders!H1558:H3986,MATCH(B1558,Raw_Orders!A1558:A3986,0)),0)</f>
        <v>36</v>
      </c>
      <c r="J1558" s="2" t="str">
        <f t="shared" si="96"/>
        <v>No</v>
      </c>
      <c r="K1558" s="2" t="str">
        <f t="shared" si="97"/>
        <v>Yes</v>
      </c>
      <c r="L1558" s="2" t="str">
        <f t="shared" si="99"/>
        <v>No</v>
      </c>
      <c r="M1558" s="2">
        <f t="shared" si="98"/>
        <v>0</v>
      </c>
    </row>
    <row r="1559" spans="1:13" x14ac:dyDescent="0.3">
      <c r="A1559" s="5" t="s">
        <v>4188</v>
      </c>
      <c r="B1559" s="5" t="s">
        <v>1708</v>
      </c>
      <c r="C1559" s="5" t="s">
        <v>2601</v>
      </c>
      <c r="D1559" s="6">
        <v>45898</v>
      </c>
      <c r="E1559" s="6">
        <v>45904</v>
      </c>
      <c r="F1559" s="6">
        <v>45903</v>
      </c>
      <c r="G1559" s="5" t="s">
        <v>2633</v>
      </c>
      <c r="H1559" s="5">
        <v>22</v>
      </c>
      <c r="I1559" s="5">
        <f>IFERROR(INDEX(Raw_Orders!H1559:H3987,MATCH(B1559,Raw_Orders!A1559:A3987,0)),0)</f>
        <v>22</v>
      </c>
      <c r="J1559" s="5" t="str">
        <f t="shared" si="96"/>
        <v>Yes</v>
      </c>
      <c r="K1559" s="5" t="str">
        <f t="shared" si="97"/>
        <v>Yes</v>
      </c>
      <c r="L1559" s="5" t="str">
        <f t="shared" si="99"/>
        <v>Yes</v>
      </c>
      <c r="M1559" s="5">
        <f t="shared" si="98"/>
        <v>1</v>
      </c>
    </row>
    <row r="1560" spans="1:13" x14ac:dyDescent="0.3">
      <c r="A1560" s="2" t="s">
        <v>4189</v>
      </c>
      <c r="B1560" s="2" t="s">
        <v>1709</v>
      </c>
      <c r="C1560" s="2" t="s">
        <v>2601</v>
      </c>
      <c r="D1560" s="3">
        <v>45897</v>
      </c>
      <c r="E1560" s="3">
        <v>45900</v>
      </c>
      <c r="F1560" s="3">
        <v>45902</v>
      </c>
      <c r="G1560" s="2" t="s">
        <v>2633</v>
      </c>
      <c r="H1560" s="2">
        <v>3</v>
      </c>
      <c r="I1560" s="2">
        <f>IFERROR(INDEX(Raw_Orders!H1560:H3988,MATCH(B1560,Raw_Orders!A1560:A3988,0)),0)</f>
        <v>9</v>
      </c>
      <c r="J1560" s="2" t="str">
        <f t="shared" si="96"/>
        <v>No</v>
      </c>
      <c r="K1560" s="2" t="str">
        <f t="shared" si="97"/>
        <v>N0</v>
      </c>
      <c r="L1560" s="2" t="str">
        <f t="shared" si="99"/>
        <v>No</v>
      </c>
      <c r="M1560" s="2">
        <f t="shared" si="98"/>
        <v>0</v>
      </c>
    </row>
    <row r="1561" spans="1:13" x14ac:dyDescent="0.3">
      <c r="A1561" s="5" t="s">
        <v>4190</v>
      </c>
      <c r="B1561" s="5" t="s">
        <v>1710</v>
      </c>
      <c r="C1561" s="5" t="s">
        <v>2608</v>
      </c>
      <c r="D1561" s="6">
        <v>45897</v>
      </c>
      <c r="E1561" s="6">
        <v>45904</v>
      </c>
      <c r="F1561" s="6">
        <v>45912</v>
      </c>
      <c r="G1561" s="5" t="s">
        <v>2631</v>
      </c>
      <c r="H1561" s="5">
        <v>5</v>
      </c>
      <c r="I1561" s="5">
        <f>IFERROR(INDEX(Raw_Orders!H1561:H3989,MATCH(B1561,Raw_Orders!A1561:A3989,0)),0)</f>
        <v>5</v>
      </c>
      <c r="J1561" s="5" t="str">
        <f t="shared" si="96"/>
        <v>No</v>
      </c>
      <c r="K1561" s="5" t="str">
        <f t="shared" si="97"/>
        <v>Yes</v>
      </c>
      <c r="L1561" s="5" t="str">
        <f t="shared" si="99"/>
        <v>No</v>
      </c>
      <c r="M1561" s="5">
        <f t="shared" si="98"/>
        <v>0</v>
      </c>
    </row>
    <row r="1562" spans="1:13" x14ac:dyDescent="0.3">
      <c r="A1562" s="2" t="s">
        <v>4191</v>
      </c>
      <c r="B1562" s="2" t="s">
        <v>1711</v>
      </c>
      <c r="C1562" s="2" t="s">
        <v>2608</v>
      </c>
      <c r="D1562" s="3">
        <v>45896</v>
      </c>
      <c r="E1562" s="3">
        <v>45903</v>
      </c>
      <c r="F1562" s="3">
        <v>45911</v>
      </c>
      <c r="G1562" s="2" t="s">
        <v>2629</v>
      </c>
      <c r="H1562" s="2">
        <v>8</v>
      </c>
      <c r="I1562" s="2">
        <f>IFERROR(INDEX(Raw_Orders!H1562:H3990,MATCH(B1562,Raw_Orders!A1562:A3990,0)),0)</f>
        <v>8</v>
      </c>
      <c r="J1562" s="2" t="str">
        <f t="shared" si="96"/>
        <v>No</v>
      </c>
      <c r="K1562" s="2" t="str">
        <f t="shared" si="97"/>
        <v>Yes</v>
      </c>
      <c r="L1562" s="2" t="str">
        <f t="shared" si="99"/>
        <v>No</v>
      </c>
      <c r="M1562" s="2">
        <f t="shared" si="98"/>
        <v>0</v>
      </c>
    </row>
    <row r="1563" spans="1:13" x14ac:dyDescent="0.3">
      <c r="A1563" s="5" t="s">
        <v>4192</v>
      </c>
      <c r="B1563" s="5" t="s">
        <v>1712</v>
      </c>
      <c r="C1563" s="5" t="s">
        <v>2598</v>
      </c>
      <c r="D1563" s="6">
        <v>45897</v>
      </c>
      <c r="E1563" s="6">
        <v>45902</v>
      </c>
      <c r="F1563" s="6">
        <v>45909</v>
      </c>
      <c r="G1563" s="5" t="s">
        <v>2631</v>
      </c>
      <c r="H1563" s="5">
        <v>33</v>
      </c>
      <c r="I1563" s="5">
        <f>IFERROR(INDEX(Raw_Orders!H1563:H3991,MATCH(B1563,Raw_Orders!A1563:A3991,0)),0)</f>
        <v>33</v>
      </c>
      <c r="J1563" s="5" t="str">
        <f t="shared" si="96"/>
        <v>No</v>
      </c>
      <c r="K1563" s="5" t="str">
        <f t="shared" si="97"/>
        <v>Yes</v>
      </c>
      <c r="L1563" s="5" t="str">
        <f t="shared" si="99"/>
        <v>No</v>
      </c>
      <c r="M1563" s="5">
        <f t="shared" si="98"/>
        <v>0</v>
      </c>
    </row>
    <row r="1564" spans="1:13" x14ac:dyDescent="0.3">
      <c r="A1564" s="2" t="s">
        <v>4193</v>
      </c>
      <c r="B1564" s="2" t="s">
        <v>1713</v>
      </c>
      <c r="C1564" s="2" t="s">
        <v>2611</v>
      </c>
      <c r="D1564" s="3">
        <v>45898</v>
      </c>
      <c r="E1564" s="3">
        <v>45900</v>
      </c>
      <c r="F1564" s="3">
        <v>45905</v>
      </c>
      <c r="G1564" s="2" t="s">
        <v>2631</v>
      </c>
      <c r="H1564" s="2">
        <v>38</v>
      </c>
      <c r="I1564" s="2">
        <f>IFERROR(INDEX(Raw_Orders!H1564:H3992,MATCH(B1564,Raw_Orders!A1564:A3992,0)),0)</f>
        <v>38</v>
      </c>
      <c r="J1564" s="2" t="str">
        <f t="shared" si="96"/>
        <v>No</v>
      </c>
      <c r="K1564" s="2" t="str">
        <f t="shared" si="97"/>
        <v>Yes</v>
      </c>
      <c r="L1564" s="2" t="str">
        <f t="shared" si="99"/>
        <v>No</v>
      </c>
      <c r="M1564" s="2">
        <f t="shared" si="98"/>
        <v>0</v>
      </c>
    </row>
    <row r="1565" spans="1:13" x14ac:dyDescent="0.3">
      <c r="A1565" s="5" t="s">
        <v>4194</v>
      </c>
      <c r="B1565" s="5" t="s">
        <v>1714</v>
      </c>
      <c r="C1565" s="5" t="s">
        <v>2601</v>
      </c>
      <c r="D1565" s="6">
        <v>45898</v>
      </c>
      <c r="E1565" s="6">
        <v>45906</v>
      </c>
      <c r="F1565" s="6">
        <v>45903</v>
      </c>
      <c r="G1565" s="5" t="s">
        <v>2633</v>
      </c>
      <c r="H1565" s="5">
        <v>6</v>
      </c>
      <c r="I1565" s="5">
        <f>IFERROR(INDEX(Raw_Orders!H1565:H3993,MATCH(B1565,Raw_Orders!A1565:A3993,0)),0)</f>
        <v>14</v>
      </c>
      <c r="J1565" s="5" t="str">
        <f t="shared" si="96"/>
        <v>Yes</v>
      </c>
      <c r="K1565" s="5" t="str">
        <f t="shared" si="97"/>
        <v>N0</v>
      </c>
      <c r="L1565" s="5" t="str">
        <f t="shared" si="99"/>
        <v>No</v>
      </c>
      <c r="M1565" s="5">
        <f t="shared" si="98"/>
        <v>0</v>
      </c>
    </row>
    <row r="1566" spans="1:13" x14ac:dyDescent="0.3">
      <c r="A1566" s="2" t="s">
        <v>4195</v>
      </c>
      <c r="B1566" s="2" t="s">
        <v>1715</v>
      </c>
      <c r="C1566" s="2" t="s">
        <v>2601</v>
      </c>
      <c r="D1566" s="3">
        <v>45897</v>
      </c>
      <c r="E1566" s="3">
        <v>45906</v>
      </c>
      <c r="F1566" s="3">
        <v>45904</v>
      </c>
      <c r="G1566" s="2" t="s">
        <v>2631</v>
      </c>
      <c r="H1566" s="2">
        <v>38</v>
      </c>
      <c r="I1566" s="2">
        <f>IFERROR(INDEX(Raw_Orders!H1566:H3994,MATCH(B1566,Raw_Orders!A1566:A3994,0)),0)</f>
        <v>38</v>
      </c>
      <c r="J1566" s="2" t="str">
        <f t="shared" si="96"/>
        <v>Yes</v>
      </c>
      <c r="K1566" s="2" t="str">
        <f t="shared" si="97"/>
        <v>Yes</v>
      </c>
      <c r="L1566" s="2" t="str">
        <f t="shared" si="99"/>
        <v>Yes</v>
      </c>
      <c r="M1566" s="2">
        <f t="shared" si="98"/>
        <v>1</v>
      </c>
    </row>
    <row r="1567" spans="1:13" x14ac:dyDescent="0.3">
      <c r="A1567" s="5" t="s">
        <v>4196</v>
      </c>
      <c r="B1567" s="5" t="s">
        <v>1716</v>
      </c>
      <c r="C1567" s="5" t="s">
        <v>2601</v>
      </c>
      <c r="D1567" s="6">
        <v>45899</v>
      </c>
      <c r="E1567" s="6">
        <v>45905</v>
      </c>
      <c r="F1567" s="6">
        <v>45908</v>
      </c>
      <c r="G1567" s="5" t="s">
        <v>2627</v>
      </c>
      <c r="H1567" s="5">
        <v>14</v>
      </c>
      <c r="I1567" s="5">
        <f>IFERROR(INDEX(Raw_Orders!H1567:H3995,MATCH(B1567,Raw_Orders!A1567:A3995,0)),0)</f>
        <v>14</v>
      </c>
      <c r="J1567" s="5" t="str">
        <f t="shared" si="96"/>
        <v>No</v>
      </c>
      <c r="K1567" s="5" t="str">
        <f t="shared" si="97"/>
        <v>Yes</v>
      </c>
      <c r="L1567" s="5" t="str">
        <f t="shared" si="99"/>
        <v>No</v>
      </c>
      <c r="M1567" s="5">
        <f t="shared" si="98"/>
        <v>0</v>
      </c>
    </row>
    <row r="1568" spans="1:13" x14ac:dyDescent="0.3">
      <c r="A1568" s="2" t="s">
        <v>4197</v>
      </c>
      <c r="B1568" s="2" t="s">
        <v>1717</v>
      </c>
      <c r="C1568" s="2" t="s">
        <v>2604</v>
      </c>
      <c r="D1568" s="3">
        <v>45897</v>
      </c>
      <c r="E1568" s="3">
        <v>45907</v>
      </c>
      <c r="F1568" s="3">
        <v>45900</v>
      </c>
      <c r="G1568" s="2" t="s">
        <v>2641</v>
      </c>
      <c r="H1568" s="2">
        <v>29</v>
      </c>
      <c r="I1568" s="2">
        <f>IFERROR(INDEX(Raw_Orders!H1568:H3996,MATCH(B1568,Raw_Orders!A1568:A3996,0)),0)</f>
        <v>29</v>
      </c>
      <c r="J1568" s="2" t="str">
        <f t="shared" si="96"/>
        <v>Yes</v>
      </c>
      <c r="K1568" s="2" t="str">
        <f t="shared" si="97"/>
        <v>Yes</v>
      </c>
      <c r="L1568" s="2" t="str">
        <f t="shared" si="99"/>
        <v>Yes</v>
      </c>
      <c r="M1568" s="2">
        <f t="shared" si="98"/>
        <v>1</v>
      </c>
    </row>
    <row r="1569" spans="1:13" x14ac:dyDescent="0.3">
      <c r="A1569" s="5" t="s">
        <v>4198</v>
      </c>
      <c r="B1569" s="5" t="s">
        <v>1718</v>
      </c>
      <c r="C1569" s="5" t="s">
        <v>2606</v>
      </c>
      <c r="D1569" s="6">
        <v>45898</v>
      </c>
      <c r="E1569" s="6">
        <v>45903</v>
      </c>
      <c r="F1569" s="6">
        <v>45903</v>
      </c>
      <c r="G1569" s="5" t="s">
        <v>2631</v>
      </c>
      <c r="H1569" s="5">
        <v>25</v>
      </c>
      <c r="I1569" s="5">
        <f>IFERROR(INDEX(Raw_Orders!H1569:H3997,MATCH(B1569,Raw_Orders!A1569:A3997,0)),0)</f>
        <v>30</v>
      </c>
      <c r="J1569" s="5" t="str">
        <f t="shared" si="96"/>
        <v>Yes</v>
      </c>
      <c r="K1569" s="5" t="str">
        <f t="shared" si="97"/>
        <v>N0</v>
      </c>
      <c r="L1569" s="5" t="str">
        <f t="shared" si="99"/>
        <v>No</v>
      </c>
      <c r="M1569" s="5">
        <f t="shared" si="98"/>
        <v>0</v>
      </c>
    </row>
    <row r="1570" spans="1:13" x14ac:dyDescent="0.3">
      <c r="A1570" s="2" t="s">
        <v>4199</v>
      </c>
      <c r="B1570" s="2" t="s">
        <v>1719</v>
      </c>
      <c r="C1570" s="2" t="s">
        <v>2606</v>
      </c>
      <c r="D1570" s="3">
        <v>45899</v>
      </c>
      <c r="E1570" s="3">
        <v>45906</v>
      </c>
      <c r="F1570" s="3">
        <v>45904</v>
      </c>
      <c r="G1570" s="2" t="s">
        <v>2629</v>
      </c>
      <c r="H1570" s="2">
        <v>44</v>
      </c>
      <c r="I1570" s="2">
        <f>IFERROR(INDEX(Raw_Orders!H1570:H3998,MATCH(B1570,Raw_Orders!A1570:A3998,0)),0)</f>
        <v>44</v>
      </c>
      <c r="J1570" s="2" t="str">
        <f t="shared" si="96"/>
        <v>Yes</v>
      </c>
      <c r="K1570" s="2" t="str">
        <f t="shared" si="97"/>
        <v>Yes</v>
      </c>
      <c r="L1570" s="2" t="str">
        <f t="shared" si="99"/>
        <v>Yes</v>
      </c>
      <c r="M1570" s="2">
        <f t="shared" si="98"/>
        <v>1</v>
      </c>
    </row>
    <row r="1571" spans="1:13" x14ac:dyDescent="0.3">
      <c r="A1571" s="5" t="s">
        <v>4200</v>
      </c>
      <c r="B1571" s="5" t="s">
        <v>1720</v>
      </c>
      <c r="C1571" s="5" t="s">
        <v>2608</v>
      </c>
      <c r="D1571" s="6">
        <v>45897</v>
      </c>
      <c r="E1571" s="6">
        <v>45905</v>
      </c>
      <c r="F1571" s="6">
        <v>45912</v>
      </c>
      <c r="G1571" s="5" t="s">
        <v>2633</v>
      </c>
      <c r="H1571" s="5">
        <v>18</v>
      </c>
      <c r="I1571" s="5">
        <f>IFERROR(INDEX(Raw_Orders!H1571:H3999,MATCH(B1571,Raw_Orders!A1571:A3999,0)),0)</f>
        <v>25</v>
      </c>
      <c r="J1571" s="5" t="str">
        <f t="shared" si="96"/>
        <v>No</v>
      </c>
      <c r="K1571" s="5" t="str">
        <f t="shared" si="97"/>
        <v>N0</v>
      </c>
      <c r="L1571" s="5" t="str">
        <f t="shared" si="99"/>
        <v>No</v>
      </c>
      <c r="M1571" s="5">
        <f t="shared" si="98"/>
        <v>0</v>
      </c>
    </row>
    <row r="1572" spans="1:13" x14ac:dyDescent="0.3">
      <c r="A1572" s="2" t="s">
        <v>4201</v>
      </c>
      <c r="B1572" s="2" t="s">
        <v>1721</v>
      </c>
      <c r="C1572" s="2" t="s">
        <v>2611</v>
      </c>
      <c r="D1572" s="3">
        <v>45899</v>
      </c>
      <c r="E1572" s="3">
        <v>45905</v>
      </c>
      <c r="F1572" s="3">
        <v>45910</v>
      </c>
      <c r="G1572" s="2" t="s">
        <v>2641</v>
      </c>
      <c r="H1572" s="2">
        <v>34</v>
      </c>
      <c r="I1572" s="2">
        <f>IFERROR(INDEX(Raw_Orders!H1572:H4000,MATCH(B1572,Raw_Orders!A1572:A4000,0)),0)</f>
        <v>34</v>
      </c>
      <c r="J1572" s="2" t="str">
        <f t="shared" si="96"/>
        <v>No</v>
      </c>
      <c r="K1572" s="2" t="str">
        <f t="shared" si="97"/>
        <v>Yes</v>
      </c>
      <c r="L1572" s="2" t="str">
        <f t="shared" si="99"/>
        <v>No</v>
      </c>
      <c r="M1572" s="2">
        <f t="shared" si="98"/>
        <v>0</v>
      </c>
    </row>
    <row r="1573" spans="1:13" x14ac:dyDescent="0.3">
      <c r="A1573" s="5" t="s">
        <v>4202</v>
      </c>
      <c r="B1573" s="5" t="s">
        <v>1722</v>
      </c>
      <c r="C1573" s="5" t="s">
        <v>2598</v>
      </c>
      <c r="D1573" s="6">
        <v>45898</v>
      </c>
      <c r="E1573" s="6">
        <v>45907</v>
      </c>
      <c r="F1573" s="6">
        <v>45911</v>
      </c>
      <c r="G1573" s="5" t="s">
        <v>2629</v>
      </c>
      <c r="H1573" s="5">
        <v>14</v>
      </c>
      <c r="I1573" s="5">
        <f>IFERROR(INDEX(Raw_Orders!H1573:H4001,MATCH(B1573,Raw_Orders!A1573:A4001,0)),0)</f>
        <v>14</v>
      </c>
      <c r="J1573" s="5" t="str">
        <f t="shared" si="96"/>
        <v>No</v>
      </c>
      <c r="K1573" s="5" t="str">
        <f t="shared" si="97"/>
        <v>Yes</v>
      </c>
      <c r="L1573" s="5" t="str">
        <f t="shared" si="99"/>
        <v>No</v>
      </c>
      <c r="M1573" s="5">
        <f t="shared" si="98"/>
        <v>0</v>
      </c>
    </row>
    <row r="1574" spans="1:13" x14ac:dyDescent="0.3">
      <c r="A1574" s="2" t="s">
        <v>4203</v>
      </c>
      <c r="B1574" s="2" t="s">
        <v>1723</v>
      </c>
      <c r="C1574" s="2" t="s">
        <v>2601</v>
      </c>
      <c r="D1574" s="3">
        <v>45899</v>
      </c>
      <c r="E1574" s="3">
        <v>45907</v>
      </c>
      <c r="F1574" s="3">
        <v>45904</v>
      </c>
      <c r="G1574" s="2" t="s">
        <v>2627</v>
      </c>
      <c r="H1574" s="2">
        <v>25</v>
      </c>
      <c r="I1574" s="2">
        <f>IFERROR(INDEX(Raw_Orders!H1574:H4002,MATCH(B1574,Raw_Orders!A1574:A4002,0)),0)</f>
        <v>25</v>
      </c>
      <c r="J1574" s="2" t="str">
        <f t="shared" si="96"/>
        <v>Yes</v>
      </c>
      <c r="K1574" s="2" t="str">
        <f t="shared" si="97"/>
        <v>Yes</v>
      </c>
      <c r="L1574" s="2" t="str">
        <f t="shared" si="99"/>
        <v>Yes</v>
      </c>
      <c r="M1574" s="2">
        <f t="shared" si="98"/>
        <v>1</v>
      </c>
    </row>
    <row r="1575" spans="1:13" x14ac:dyDescent="0.3">
      <c r="A1575" s="5" t="s">
        <v>4204</v>
      </c>
      <c r="B1575" s="5" t="s">
        <v>1724</v>
      </c>
      <c r="C1575" s="5" t="s">
        <v>2616</v>
      </c>
      <c r="D1575" s="6">
        <v>45899</v>
      </c>
      <c r="E1575" s="6">
        <v>45908</v>
      </c>
      <c r="F1575" s="6">
        <v>45914</v>
      </c>
      <c r="G1575" s="5" t="s">
        <v>2633</v>
      </c>
      <c r="H1575" s="5">
        <v>47</v>
      </c>
      <c r="I1575" s="5">
        <f>IFERROR(INDEX(Raw_Orders!H1575:H4003,MATCH(B1575,Raw_Orders!A1575:A4003,0)),0)</f>
        <v>47</v>
      </c>
      <c r="J1575" s="5" t="str">
        <f t="shared" si="96"/>
        <v>No</v>
      </c>
      <c r="K1575" s="5" t="str">
        <f t="shared" si="97"/>
        <v>Yes</v>
      </c>
      <c r="L1575" s="5" t="str">
        <f t="shared" si="99"/>
        <v>No</v>
      </c>
      <c r="M1575" s="5">
        <f t="shared" si="98"/>
        <v>0</v>
      </c>
    </row>
    <row r="1576" spans="1:13" x14ac:dyDescent="0.3">
      <c r="A1576" s="2" t="s">
        <v>4205</v>
      </c>
      <c r="B1576" s="2" t="s">
        <v>1725</v>
      </c>
      <c r="C1576" s="2" t="s">
        <v>2606</v>
      </c>
      <c r="D1576" s="3">
        <v>45900</v>
      </c>
      <c r="E1576" s="3">
        <v>45905</v>
      </c>
      <c r="F1576" s="3">
        <v>45906</v>
      </c>
      <c r="G1576" s="2" t="s">
        <v>2627</v>
      </c>
      <c r="H1576" s="2">
        <v>35</v>
      </c>
      <c r="I1576" s="2">
        <f>IFERROR(INDEX(Raw_Orders!H1576:H4004,MATCH(B1576,Raw_Orders!A1576:A4004,0)),0)</f>
        <v>37</v>
      </c>
      <c r="J1576" s="2" t="str">
        <f t="shared" si="96"/>
        <v>No</v>
      </c>
      <c r="K1576" s="2" t="str">
        <f t="shared" si="97"/>
        <v>N0</v>
      </c>
      <c r="L1576" s="2" t="str">
        <f t="shared" si="99"/>
        <v>No</v>
      </c>
      <c r="M1576" s="2">
        <f t="shared" si="98"/>
        <v>0</v>
      </c>
    </row>
    <row r="1577" spans="1:13" x14ac:dyDescent="0.3">
      <c r="A1577" s="5" t="s">
        <v>4206</v>
      </c>
      <c r="B1577" s="5" t="s">
        <v>1726</v>
      </c>
      <c r="C1577" s="5" t="s">
        <v>2606</v>
      </c>
      <c r="D1577" s="6">
        <v>45900</v>
      </c>
      <c r="E1577" s="6">
        <v>45904</v>
      </c>
      <c r="F1577" s="6">
        <v>45905</v>
      </c>
      <c r="G1577" s="5" t="s">
        <v>2631</v>
      </c>
      <c r="H1577" s="5">
        <v>19</v>
      </c>
      <c r="I1577" s="5">
        <f>IFERROR(INDEX(Raw_Orders!H1577:H4005,MATCH(B1577,Raw_Orders!A1577:A4005,0)),0)</f>
        <v>19</v>
      </c>
      <c r="J1577" s="5" t="str">
        <f t="shared" si="96"/>
        <v>No</v>
      </c>
      <c r="K1577" s="5" t="str">
        <f t="shared" si="97"/>
        <v>Yes</v>
      </c>
      <c r="L1577" s="5" t="str">
        <f t="shared" si="99"/>
        <v>No</v>
      </c>
      <c r="M1577" s="5">
        <f t="shared" si="98"/>
        <v>0</v>
      </c>
    </row>
    <row r="1578" spans="1:13" x14ac:dyDescent="0.3">
      <c r="A1578" s="2" t="s">
        <v>4207</v>
      </c>
      <c r="B1578" s="2" t="s">
        <v>1727</v>
      </c>
      <c r="C1578" s="2" t="s">
        <v>2608</v>
      </c>
      <c r="D1578" s="3">
        <v>45900</v>
      </c>
      <c r="E1578" s="3">
        <v>45904</v>
      </c>
      <c r="F1578" s="3">
        <v>45913</v>
      </c>
      <c r="G1578" s="2" t="s">
        <v>2629</v>
      </c>
      <c r="H1578" s="2">
        <v>5</v>
      </c>
      <c r="I1578" s="2">
        <f>IFERROR(INDEX(Raw_Orders!H1578:H4006,MATCH(B1578,Raw_Orders!A1578:A4006,0)),0)</f>
        <v>5</v>
      </c>
      <c r="J1578" s="2" t="str">
        <f t="shared" si="96"/>
        <v>No</v>
      </c>
      <c r="K1578" s="2" t="str">
        <f t="shared" si="97"/>
        <v>Yes</v>
      </c>
      <c r="L1578" s="2" t="str">
        <f t="shared" si="99"/>
        <v>No</v>
      </c>
      <c r="M1578" s="2">
        <f t="shared" si="98"/>
        <v>0</v>
      </c>
    </row>
    <row r="1579" spans="1:13" x14ac:dyDescent="0.3">
      <c r="A1579" s="5" t="s">
        <v>4208</v>
      </c>
      <c r="B1579" s="5" t="s">
        <v>1728</v>
      </c>
      <c r="C1579" s="5" t="s">
        <v>2608</v>
      </c>
      <c r="D1579" s="6">
        <v>45899</v>
      </c>
      <c r="E1579" s="6">
        <v>45902</v>
      </c>
      <c r="F1579" s="6">
        <v>45912</v>
      </c>
      <c r="G1579" s="5" t="s">
        <v>2641</v>
      </c>
      <c r="H1579" s="5">
        <v>2</v>
      </c>
      <c r="I1579" s="5">
        <f>IFERROR(INDEX(Raw_Orders!H1579:H4007,MATCH(B1579,Raw_Orders!A1579:A4007,0)),0)</f>
        <v>9</v>
      </c>
      <c r="J1579" s="5" t="str">
        <f t="shared" si="96"/>
        <v>No</v>
      </c>
      <c r="K1579" s="5" t="str">
        <f t="shared" si="97"/>
        <v>N0</v>
      </c>
      <c r="L1579" s="5" t="str">
        <f t="shared" si="99"/>
        <v>No</v>
      </c>
      <c r="M1579" s="5">
        <f t="shared" si="98"/>
        <v>0</v>
      </c>
    </row>
    <row r="1580" spans="1:13" x14ac:dyDescent="0.3">
      <c r="A1580" s="2" t="s">
        <v>4209</v>
      </c>
      <c r="B1580" s="2" t="s">
        <v>1729</v>
      </c>
      <c r="C1580" s="2" t="s">
        <v>2601</v>
      </c>
      <c r="D1580" s="3">
        <v>45900</v>
      </c>
      <c r="E1580" s="3">
        <v>45904</v>
      </c>
      <c r="F1580" s="3">
        <v>45907</v>
      </c>
      <c r="G1580" s="2" t="s">
        <v>2629</v>
      </c>
      <c r="H1580" s="2">
        <v>21</v>
      </c>
      <c r="I1580" s="2">
        <f>IFERROR(INDEX(Raw_Orders!H1580:H4008,MATCH(B1580,Raw_Orders!A1580:A4008,0)),0)</f>
        <v>21</v>
      </c>
      <c r="J1580" s="2" t="str">
        <f t="shared" si="96"/>
        <v>No</v>
      </c>
      <c r="K1580" s="2" t="str">
        <f t="shared" si="97"/>
        <v>Yes</v>
      </c>
      <c r="L1580" s="2" t="str">
        <f t="shared" si="99"/>
        <v>No</v>
      </c>
      <c r="M1580" s="2">
        <f t="shared" si="98"/>
        <v>0</v>
      </c>
    </row>
    <row r="1581" spans="1:13" x14ac:dyDescent="0.3">
      <c r="A1581" s="5" t="s">
        <v>4210</v>
      </c>
      <c r="B1581" s="5" t="s">
        <v>1730</v>
      </c>
      <c r="C1581" s="5" t="s">
        <v>2601</v>
      </c>
      <c r="D1581" s="6">
        <v>45900</v>
      </c>
      <c r="E1581" s="6">
        <v>45907</v>
      </c>
      <c r="F1581" s="6">
        <v>45905</v>
      </c>
      <c r="G1581" s="5" t="s">
        <v>2641</v>
      </c>
      <c r="H1581" s="5">
        <v>11</v>
      </c>
      <c r="I1581" s="5">
        <f>IFERROR(INDEX(Raw_Orders!H1581:H4009,MATCH(B1581,Raw_Orders!A1581:A4009,0)),0)</f>
        <v>11</v>
      </c>
      <c r="J1581" s="5" t="str">
        <f t="shared" si="96"/>
        <v>Yes</v>
      </c>
      <c r="K1581" s="5" t="str">
        <f t="shared" si="97"/>
        <v>Yes</v>
      </c>
      <c r="L1581" s="5" t="str">
        <f t="shared" si="99"/>
        <v>Yes</v>
      </c>
      <c r="M1581" s="5">
        <f t="shared" si="98"/>
        <v>1</v>
      </c>
    </row>
    <row r="1582" spans="1:13" x14ac:dyDescent="0.3">
      <c r="A1582" s="2" t="s">
        <v>4211</v>
      </c>
      <c r="B1582" s="2" t="s">
        <v>1731</v>
      </c>
      <c r="C1582" s="2" t="s">
        <v>2606</v>
      </c>
      <c r="D1582" s="3">
        <v>45899</v>
      </c>
      <c r="E1582" s="3">
        <v>45906</v>
      </c>
      <c r="F1582" s="3">
        <v>45907</v>
      </c>
      <c r="G1582" s="2" t="s">
        <v>2633</v>
      </c>
      <c r="H1582" s="2">
        <v>37</v>
      </c>
      <c r="I1582" s="2">
        <f>IFERROR(INDEX(Raw_Orders!H1582:H4010,MATCH(B1582,Raw_Orders!A1582:A4010,0)),0)</f>
        <v>37</v>
      </c>
      <c r="J1582" s="2" t="str">
        <f t="shared" si="96"/>
        <v>No</v>
      </c>
      <c r="K1582" s="2" t="str">
        <f t="shared" si="97"/>
        <v>Yes</v>
      </c>
      <c r="L1582" s="2" t="str">
        <f t="shared" si="99"/>
        <v>No</v>
      </c>
      <c r="M1582" s="2">
        <f t="shared" si="98"/>
        <v>0</v>
      </c>
    </row>
    <row r="1583" spans="1:13" x14ac:dyDescent="0.3">
      <c r="A1583" s="5" t="s">
        <v>4212</v>
      </c>
      <c r="B1583" s="5" t="s">
        <v>1732</v>
      </c>
      <c r="C1583" s="5" t="s">
        <v>2606</v>
      </c>
      <c r="D1583" s="6">
        <v>45900</v>
      </c>
      <c r="E1583" s="6">
        <v>45903</v>
      </c>
      <c r="F1583" s="6">
        <v>45906</v>
      </c>
      <c r="G1583" s="5" t="s">
        <v>2629</v>
      </c>
      <c r="H1583" s="5">
        <v>46</v>
      </c>
      <c r="I1583" s="5">
        <f>IFERROR(INDEX(Raw_Orders!H1583:H4011,MATCH(B1583,Raw_Orders!A1583:A4011,0)),0)</f>
        <v>46</v>
      </c>
      <c r="J1583" s="5" t="str">
        <f t="shared" si="96"/>
        <v>No</v>
      </c>
      <c r="K1583" s="5" t="str">
        <f t="shared" si="97"/>
        <v>Yes</v>
      </c>
      <c r="L1583" s="5" t="str">
        <f t="shared" si="99"/>
        <v>No</v>
      </c>
      <c r="M1583" s="5">
        <f t="shared" si="98"/>
        <v>0</v>
      </c>
    </row>
    <row r="1584" spans="1:13" x14ac:dyDescent="0.3">
      <c r="A1584" s="2" t="s">
        <v>4213</v>
      </c>
      <c r="B1584" s="2" t="s">
        <v>1733</v>
      </c>
      <c r="C1584" s="2" t="s">
        <v>2606</v>
      </c>
      <c r="D1584" s="3">
        <v>45899</v>
      </c>
      <c r="E1584" s="3">
        <v>45902</v>
      </c>
      <c r="F1584" s="3">
        <v>45905</v>
      </c>
      <c r="G1584" s="2" t="s">
        <v>2633</v>
      </c>
      <c r="H1584" s="2">
        <v>30</v>
      </c>
      <c r="I1584" s="2">
        <f>IFERROR(INDEX(Raw_Orders!H1584:H4012,MATCH(B1584,Raw_Orders!A1584:A4012,0)),0)</f>
        <v>30</v>
      </c>
      <c r="J1584" s="2" t="str">
        <f t="shared" si="96"/>
        <v>No</v>
      </c>
      <c r="K1584" s="2" t="str">
        <f t="shared" si="97"/>
        <v>Yes</v>
      </c>
      <c r="L1584" s="2" t="str">
        <f t="shared" si="99"/>
        <v>No</v>
      </c>
      <c r="M1584" s="2">
        <f t="shared" si="98"/>
        <v>0</v>
      </c>
    </row>
    <row r="1585" spans="1:13" x14ac:dyDescent="0.3">
      <c r="A1585" s="5" t="s">
        <v>4214</v>
      </c>
      <c r="B1585" s="5" t="s">
        <v>1734</v>
      </c>
      <c r="C1585" s="5" t="s">
        <v>2608</v>
      </c>
      <c r="D1585" s="6">
        <v>45899</v>
      </c>
      <c r="E1585" s="6">
        <v>45903</v>
      </c>
      <c r="F1585" s="6">
        <v>45912</v>
      </c>
      <c r="G1585" s="5" t="s">
        <v>2629</v>
      </c>
      <c r="H1585" s="5">
        <v>22</v>
      </c>
      <c r="I1585" s="5">
        <f>IFERROR(INDEX(Raw_Orders!H1585:H4013,MATCH(B1585,Raw_Orders!A1585:A4013,0)),0)</f>
        <v>22</v>
      </c>
      <c r="J1585" s="5" t="str">
        <f t="shared" si="96"/>
        <v>No</v>
      </c>
      <c r="K1585" s="5" t="str">
        <f t="shared" si="97"/>
        <v>Yes</v>
      </c>
      <c r="L1585" s="5" t="str">
        <f t="shared" si="99"/>
        <v>No</v>
      </c>
      <c r="M1585" s="5">
        <f t="shared" si="98"/>
        <v>0</v>
      </c>
    </row>
    <row r="1586" spans="1:13" x14ac:dyDescent="0.3">
      <c r="A1586" s="2" t="s">
        <v>4215</v>
      </c>
      <c r="B1586" s="2" t="s">
        <v>1735</v>
      </c>
      <c r="C1586" s="2" t="s">
        <v>2608</v>
      </c>
      <c r="D1586" s="3">
        <v>45899</v>
      </c>
      <c r="E1586" s="3">
        <v>45908</v>
      </c>
      <c r="F1586" s="3">
        <v>45912</v>
      </c>
      <c r="G1586" s="2" t="s">
        <v>2627</v>
      </c>
      <c r="H1586" s="2">
        <v>7</v>
      </c>
      <c r="I1586" s="2">
        <f>IFERROR(INDEX(Raw_Orders!H1586:H4014,MATCH(B1586,Raw_Orders!A1586:A4014,0)),0)</f>
        <v>7</v>
      </c>
      <c r="J1586" s="2" t="str">
        <f t="shared" si="96"/>
        <v>No</v>
      </c>
      <c r="K1586" s="2" t="str">
        <f t="shared" si="97"/>
        <v>Yes</v>
      </c>
      <c r="L1586" s="2" t="str">
        <f t="shared" si="99"/>
        <v>No</v>
      </c>
      <c r="M1586" s="2">
        <f t="shared" si="98"/>
        <v>0</v>
      </c>
    </row>
    <row r="1587" spans="1:13" x14ac:dyDescent="0.3">
      <c r="A1587" s="5" t="s">
        <v>4216</v>
      </c>
      <c r="B1587" s="5" t="s">
        <v>1736</v>
      </c>
      <c r="C1587" s="5" t="s">
        <v>2608</v>
      </c>
      <c r="D1587" s="6">
        <v>45899</v>
      </c>
      <c r="E1587" s="6">
        <v>45906</v>
      </c>
      <c r="F1587" s="6">
        <v>45914</v>
      </c>
      <c r="G1587" s="5" t="s">
        <v>2633</v>
      </c>
      <c r="H1587" s="5">
        <v>12</v>
      </c>
      <c r="I1587" s="5">
        <f>IFERROR(INDEX(Raw_Orders!H1587:H4015,MATCH(B1587,Raw_Orders!A1587:A4015,0)),0)</f>
        <v>12</v>
      </c>
      <c r="J1587" s="5" t="str">
        <f t="shared" si="96"/>
        <v>No</v>
      </c>
      <c r="K1587" s="5" t="str">
        <f t="shared" si="97"/>
        <v>Yes</v>
      </c>
      <c r="L1587" s="5" t="str">
        <f t="shared" si="99"/>
        <v>No</v>
      </c>
      <c r="M1587" s="5">
        <f t="shared" si="98"/>
        <v>0</v>
      </c>
    </row>
    <row r="1588" spans="1:13" x14ac:dyDescent="0.3">
      <c r="A1588" s="2" t="s">
        <v>4217</v>
      </c>
      <c r="B1588" s="2" t="s">
        <v>1737</v>
      </c>
      <c r="C1588" s="2" t="s">
        <v>2611</v>
      </c>
      <c r="D1588" s="3">
        <v>45901</v>
      </c>
      <c r="E1588" s="3">
        <v>45906</v>
      </c>
      <c r="F1588" s="3">
        <v>45912</v>
      </c>
      <c r="G1588" s="2" t="s">
        <v>2633</v>
      </c>
      <c r="H1588" s="2">
        <v>11</v>
      </c>
      <c r="I1588" s="2">
        <f>IFERROR(INDEX(Raw_Orders!H1588:H4016,MATCH(B1588,Raw_Orders!A1588:A4016,0)),0)</f>
        <v>13</v>
      </c>
      <c r="J1588" s="2" t="str">
        <f t="shared" si="96"/>
        <v>No</v>
      </c>
      <c r="K1588" s="2" t="str">
        <f t="shared" si="97"/>
        <v>N0</v>
      </c>
      <c r="L1588" s="2" t="str">
        <f t="shared" si="99"/>
        <v>No</v>
      </c>
      <c r="M1588" s="2">
        <f t="shared" si="98"/>
        <v>0</v>
      </c>
    </row>
    <row r="1589" spans="1:13" x14ac:dyDescent="0.3">
      <c r="A1589" s="5" t="s">
        <v>4218</v>
      </c>
      <c r="B1589" s="5" t="s">
        <v>1738</v>
      </c>
      <c r="C1589" s="5" t="s">
        <v>2598</v>
      </c>
      <c r="D1589" s="6">
        <v>45902</v>
      </c>
      <c r="E1589" s="6">
        <v>45907</v>
      </c>
      <c r="F1589" s="6">
        <v>45914</v>
      </c>
      <c r="G1589" s="5" t="s">
        <v>2641</v>
      </c>
      <c r="H1589" s="5">
        <v>26</v>
      </c>
      <c r="I1589" s="5">
        <f>IFERROR(INDEX(Raw_Orders!H1589:H4017,MATCH(B1589,Raw_Orders!A1589:A4017,0)),0)</f>
        <v>26</v>
      </c>
      <c r="J1589" s="5" t="str">
        <f t="shared" si="96"/>
        <v>No</v>
      </c>
      <c r="K1589" s="5" t="str">
        <f t="shared" si="97"/>
        <v>Yes</v>
      </c>
      <c r="L1589" s="5" t="str">
        <f t="shared" si="99"/>
        <v>No</v>
      </c>
      <c r="M1589" s="5">
        <f t="shared" si="98"/>
        <v>0</v>
      </c>
    </row>
    <row r="1590" spans="1:13" x14ac:dyDescent="0.3">
      <c r="A1590" s="2" t="s">
        <v>4219</v>
      </c>
      <c r="B1590" s="2" t="s">
        <v>1739</v>
      </c>
      <c r="C1590" s="2" t="s">
        <v>2601</v>
      </c>
      <c r="D1590" s="3">
        <v>45902</v>
      </c>
      <c r="E1590" s="3">
        <v>45904</v>
      </c>
      <c r="F1590" s="3">
        <v>45907</v>
      </c>
      <c r="G1590" s="2" t="s">
        <v>2641</v>
      </c>
      <c r="H1590" s="2">
        <v>17</v>
      </c>
      <c r="I1590" s="2">
        <f>IFERROR(INDEX(Raw_Orders!H1590:H4018,MATCH(B1590,Raw_Orders!A1590:A4018,0)),0)</f>
        <v>17</v>
      </c>
      <c r="J1590" s="2" t="str">
        <f t="shared" si="96"/>
        <v>No</v>
      </c>
      <c r="K1590" s="2" t="str">
        <f t="shared" si="97"/>
        <v>Yes</v>
      </c>
      <c r="L1590" s="2" t="str">
        <f t="shared" si="99"/>
        <v>No</v>
      </c>
      <c r="M1590" s="2">
        <f t="shared" si="98"/>
        <v>0</v>
      </c>
    </row>
    <row r="1591" spans="1:13" x14ac:dyDescent="0.3">
      <c r="A1591" s="5" t="s">
        <v>4220</v>
      </c>
      <c r="B1591" s="5" t="s">
        <v>1740</v>
      </c>
      <c r="C1591" s="5" t="s">
        <v>2614</v>
      </c>
      <c r="D1591" s="6">
        <v>45900</v>
      </c>
      <c r="E1591" s="6">
        <v>45903</v>
      </c>
      <c r="F1591" s="6">
        <v>45913</v>
      </c>
      <c r="G1591" s="5" t="s">
        <v>2627</v>
      </c>
      <c r="H1591" s="5">
        <v>29</v>
      </c>
      <c r="I1591" s="5">
        <f>IFERROR(INDEX(Raw_Orders!H1591:H4019,MATCH(B1591,Raw_Orders!A1591:A4019,0)),0)</f>
        <v>29</v>
      </c>
      <c r="J1591" s="5" t="str">
        <f t="shared" si="96"/>
        <v>No</v>
      </c>
      <c r="K1591" s="5" t="str">
        <f t="shared" si="97"/>
        <v>Yes</v>
      </c>
      <c r="L1591" s="5" t="str">
        <f t="shared" si="99"/>
        <v>No</v>
      </c>
      <c r="M1591" s="5">
        <f t="shared" si="98"/>
        <v>0</v>
      </c>
    </row>
    <row r="1592" spans="1:13" x14ac:dyDescent="0.3">
      <c r="A1592" s="2" t="s">
        <v>4221</v>
      </c>
      <c r="B1592" s="2" t="s">
        <v>1741</v>
      </c>
      <c r="C1592" s="2" t="s">
        <v>2601</v>
      </c>
      <c r="D1592" s="3">
        <v>45902</v>
      </c>
      <c r="E1592" s="3">
        <v>45909</v>
      </c>
      <c r="F1592" s="3">
        <v>45907</v>
      </c>
      <c r="G1592" s="2" t="s">
        <v>2629</v>
      </c>
      <c r="H1592" s="2">
        <v>10</v>
      </c>
      <c r="I1592" s="2">
        <f>IFERROR(INDEX(Raw_Orders!H1592:H4020,MATCH(B1592,Raw_Orders!A1592:A4020,0)),0)</f>
        <v>10</v>
      </c>
      <c r="J1592" s="2" t="str">
        <f t="shared" si="96"/>
        <v>Yes</v>
      </c>
      <c r="K1592" s="2" t="str">
        <f t="shared" si="97"/>
        <v>Yes</v>
      </c>
      <c r="L1592" s="2" t="str">
        <f t="shared" si="99"/>
        <v>Yes</v>
      </c>
      <c r="M1592" s="2">
        <f t="shared" si="98"/>
        <v>1</v>
      </c>
    </row>
    <row r="1593" spans="1:13" x14ac:dyDescent="0.3">
      <c r="A1593" s="5" t="s">
        <v>4222</v>
      </c>
      <c r="B1593" s="5" t="s">
        <v>1742</v>
      </c>
      <c r="C1593" s="5" t="s">
        <v>2616</v>
      </c>
      <c r="D1593" s="6">
        <v>45902</v>
      </c>
      <c r="E1593" s="6">
        <v>45907</v>
      </c>
      <c r="F1593" s="6">
        <v>45917</v>
      </c>
      <c r="G1593" s="5" t="s">
        <v>2627</v>
      </c>
      <c r="H1593" s="5">
        <v>13</v>
      </c>
      <c r="I1593" s="5">
        <f>IFERROR(INDEX(Raw_Orders!H1593:H4021,MATCH(B1593,Raw_Orders!A1593:A4021,0)),0)</f>
        <v>13</v>
      </c>
      <c r="J1593" s="5" t="str">
        <f t="shared" si="96"/>
        <v>No</v>
      </c>
      <c r="K1593" s="5" t="str">
        <f t="shared" si="97"/>
        <v>Yes</v>
      </c>
      <c r="L1593" s="5" t="str">
        <f t="shared" si="99"/>
        <v>No</v>
      </c>
      <c r="M1593" s="5">
        <f t="shared" si="98"/>
        <v>0</v>
      </c>
    </row>
    <row r="1594" spans="1:13" x14ac:dyDescent="0.3">
      <c r="A1594" s="2" t="s">
        <v>4223</v>
      </c>
      <c r="B1594" s="2" t="s">
        <v>1743</v>
      </c>
      <c r="C1594" s="2" t="s">
        <v>2604</v>
      </c>
      <c r="D1594" s="3">
        <v>45900</v>
      </c>
      <c r="E1594" s="3">
        <v>45907</v>
      </c>
      <c r="F1594" s="3">
        <v>45905</v>
      </c>
      <c r="G1594" s="2" t="s">
        <v>2641</v>
      </c>
      <c r="H1594" s="2">
        <v>46</v>
      </c>
      <c r="I1594" s="2">
        <f>IFERROR(INDEX(Raw_Orders!H1594:H4022,MATCH(B1594,Raw_Orders!A1594:A4022,0)),0)</f>
        <v>46</v>
      </c>
      <c r="J1594" s="2" t="str">
        <f t="shared" si="96"/>
        <v>Yes</v>
      </c>
      <c r="K1594" s="2" t="str">
        <f t="shared" si="97"/>
        <v>Yes</v>
      </c>
      <c r="L1594" s="2" t="str">
        <f t="shared" si="99"/>
        <v>Yes</v>
      </c>
      <c r="M1594" s="2">
        <f t="shared" si="98"/>
        <v>1</v>
      </c>
    </row>
    <row r="1595" spans="1:13" x14ac:dyDescent="0.3">
      <c r="A1595" s="5" t="s">
        <v>4224</v>
      </c>
      <c r="B1595" s="5" t="s">
        <v>1744</v>
      </c>
      <c r="C1595" s="5" t="s">
        <v>2616</v>
      </c>
      <c r="D1595" s="6">
        <v>45900</v>
      </c>
      <c r="E1595" s="6">
        <v>45910</v>
      </c>
      <c r="F1595" s="6">
        <v>45914</v>
      </c>
      <c r="G1595" s="5" t="s">
        <v>2631</v>
      </c>
      <c r="H1595" s="5">
        <v>28</v>
      </c>
      <c r="I1595" s="5">
        <f>IFERROR(INDEX(Raw_Orders!H1595:H4023,MATCH(B1595,Raw_Orders!A1595:A4023,0)),0)</f>
        <v>28</v>
      </c>
      <c r="J1595" s="5" t="str">
        <f t="shared" si="96"/>
        <v>No</v>
      </c>
      <c r="K1595" s="5" t="str">
        <f t="shared" si="97"/>
        <v>Yes</v>
      </c>
      <c r="L1595" s="5" t="str">
        <f t="shared" si="99"/>
        <v>No</v>
      </c>
      <c r="M1595" s="5">
        <f t="shared" si="98"/>
        <v>0</v>
      </c>
    </row>
    <row r="1596" spans="1:13" x14ac:dyDescent="0.3">
      <c r="A1596" s="2" t="s">
        <v>4225</v>
      </c>
      <c r="B1596" s="2" t="s">
        <v>1745</v>
      </c>
      <c r="C1596" s="2" t="s">
        <v>2606</v>
      </c>
      <c r="D1596" s="3">
        <v>45900</v>
      </c>
      <c r="E1596" s="3">
        <v>45908</v>
      </c>
      <c r="F1596" s="3">
        <v>45906</v>
      </c>
      <c r="G1596" s="2" t="s">
        <v>2629</v>
      </c>
      <c r="H1596" s="2">
        <v>24</v>
      </c>
      <c r="I1596" s="2">
        <f>IFERROR(INDEX(Raw_Orders!H1596:H4024,MATCH(B1596,Raw_Orders!A1596:A4024,0)),0)</f>
        <v>24</v>
      </c>
      <c r="J1596" s="2" t="str">
        <f t="shared" si="96"/>
        <v>Yes</v>
      </c>
      <c r="K1596" s="2" t="str">
        <f t="shared" si="97"/>
        <v>Yes</v>
      </c>
      <c r="L1596" s="2" t="str">
        <f t="shared" si="99"/>
        <v>Yes</v>
      </c>
      <c r="M1596" s="2">
        <f t="shared" si="98"/>
        <v>1</v>
      </c>
    </row>
    <row r="1597" spans="1:13" x14ac:dyDescent="0.3">
      <c r="A1597" s="5" t="s">
        <v>4226</v>
      </c>
      <c r="B1597" s="5" t="s">
        <v>1746</v>
      </c>
      <c r="C1597" s="5" t="s">
        <v>2608</v>
      </c>
      <c r="D1597" s="6">
        <v>45901</v>
      </c>
      <c r="E1597" s="6">
        <v>45903</v>
      </c>
      <c r="F1597" s="6">
        <v>45914</v>
      </c>
      <c r="G1597" s="5" t="s">
        <v>2627</v>
      </c>
      <c r="H1597" s="5">
        <v>7</v>
      </c>
      <c r="I1597" s="5">
        <f>IFERROR(INDEX(Raw_Orders!H1597:H4025,MATCH(B1597,Raw_Orders!A1597:A4025,0)),0)</f>
        <v>7</v>
      </c>
      <c r="J1597" s="5" t="str">
        <f t="shared" si="96"/>
        <v>No</v>
      </c>
      <c r="K1597" s="5" t="str">
        <f t="shared" si="97"/>
        <v>Yes</v>
      </c>
      <c r="L1597" s="5" t="str">
        <f t="shared" si="99"/>
        <v>No</v>
      </c>
      <c r="M1597" s="5">
        <f t="shared" si="98"/>
        <v>0</v>
      </c>
    </row>
    <row r="1598" spans="1:13" x14ac:dyDescent="0.3">
      <c r="A1598" s="2" t="s">
        <v>4227</v>
      </c>
      <c r="B1598" s="2" t="s">
        <v>1747</v>
      </c>
      <c r="C1598" s="2" t="s">
        <v>2611</v>
      </c>
      <c r="D1598" s="3">
        <v>45903</v>
      </c>
      <c r="E1598" s="3">
        <v>45909</v>
      </c>
      <c r="F1598" s="3">
        <v>45911</v>
      </c>
      <c r="G1598" s="2" t="s">
        <v>2633</v>
      </c>
      <c r="H1598" s="2">
        <v>17</v>
      </c>
      <c r="I1598" s="2">
        <f>IFERROR(INDEX(Raw_Orders!H1598:H4026,MATCH(B1598,Raw_Orders!A1598:A4026,0)),0)</f>
        <v>17</v>
      </c>
      <c r="J1598" s="2" t="str">
        <f t="shared" si="96"/>
        <v>No</v>
      </c>
      <c r="K1598" s="2" t="str">
        <f t="shared" si="97"/>
        <v>Yes</v>
      </c>
      <c r="L1598" s="2" t="str">
        <f t="shared" si="99"/>
        <v>No</v>
      </c>
      <c r="M1598" s="2">
        <f t="shared" si="98"/>
        <v>0</v>
      </c>
    </row>
    <row r="1599" spans="1:13" x14ac:dyDescent="0.3">
      <c r="A1599" s="5" t="s">
        <v>4228</v>
      </c>
      <c r="B1599" s="5" t="s">
        <v>1748</v>
      </c>
      <c r="C1599" s="5" t="s">
        <v>2614</v>
      </c>
      <c r="D1599" s="6">
        <v>45902</v>
      </c>
      <c r="E1599" s="6">
        <v>45905</v>
      </c>
      <c r="F1599" s="6">
        <v>45918</v>
      </c>
      <c r="G1599" s="5" t="s">
        <v>2631</v>
      </c>
      <c r="H1599" s="5">
        <v>13</v>
      </c>
      <c r="I1599" s="5">
        <f>IFERROR(INDEX(Raw_Orders!H1599:H4027,MATCH(B1599,Raw_Orders!A1599:A4027,0)),0)</f>
        <v>13</v>
      </c>
      <c r="J1599" s="5" t="str">
        <f t="shared" si="96"/>
        <v>No</v>
      </c>
      <c r="K1599" s="5" t="str">
        <f t="shared" si="97"/>
        <v>Yes</v>
      </c>
      <c r="L1599" s="5" t="str">
        <f t="shared" si="99"/>
        <v>No</v>
      </c>
      <c r="M1599" s="5">
        <f t="shared" si="98"/>
        <v>0</v>
      </c>
    </row>
    <row r="1600" spans="1:13" x14ac:dyDescent="0.3">
      <c r="A1600" s="2" t="s">
        <v>4229</v>
      </c>
      <c r="B1600" s="2" t="s">
        <v>1749</v>
      </c>
      <c r="C1600" s="2" t="s">
        <v>2616</v>
      </c>
      <c r="D1600" s="3">
        <v>45903</v>
      </c>
      <c r="E1600" s="3">
        <v>45908</v>
      </c>
      <c r="F1600" s="3">
        <v>45918</v>
      </c>
      <c r="G1600" s="2" t="s">
        <v>2641</v>
      </c>
      <c r="H1600" s="2">
        <v>21</v>
      </c>
      <c r="I1600" s="2">
        <f>IFERROR(INDEX(Raw_Orders!H1600:H4028,MATCH(B1600,Raw_Orders!A1600:A4028,0)),0)</f>
        <v>21</v>
      </c>
      <c r="J1600" s="2" t="str">
        <f t="shared" si="96"/>
        <v>No</v>
      </c>
      <c r="K1600" s="2" t="str">
        <f t="shared" si="97"/>
        <v>Yes</v>
      </c>
      <c r="L1600" s="2" t="str">
        <f t="shared" si="99"/>
        <v>No</v>
      </c>
      <c r="M1600" s="2">
        <f t="shared" si="98"/>
        <v>0</v>
      </c>
    </row>
    <row r="1601" spans="1:13" x14ac:dyDescent="0.3">
      <c r="A1601" s="5" t="s">
        <v>4230</v>
      </c>
      <c r="B1601" s="5" t="s">
        <v>1750</v>
      </c>
      <c r="C1601" s="5" t="s">
        <v>2608</v>
      </c>
      <c r="D1601" s="6">
        <v>45901</v>
      </c>
      <c r="E1601" s="6">
        <v>45911</v>
      </c>
      <c r="F1601" s="6">
        <v>45915</v>
      </c>
      <c r="G1601" s="5" t="s">
        <v>2631</v>
      </c>
      <c r="H1601" s="5">
        <v>27</v>
      </c>
      <c r="I1601" s="5">
        <f>IFERROR(INDEX(Raw_Orders!H1601:H4029,MATCH(B1601,Raw_Orders!A1601:A4029,0)),0)</f>
        <v>29</v>
      </c>
      <c r="J1601" s="5" t="str">
        <f t="shared" si="96"/>
        <v>No</v>
      </c>
      <c r="K1601" s="5" t="str">
        <f t="shared" si="97"/>
        <v>N0</v>
      </c>
      <c r="L1601" s="5" t="str">
        <f t="shared" si="99"/>
        <v>No</v>
      </c>
      <c r="M1601" s="5">
        <f t="shared" si="98"/>
        <v>0</v>
      </c>
    </row>
    <row r="1602" spans="1:13" x14ac:dyDescent="0.3">
      <c r="A1602" s="2" t="s">
        <v>4231</v>
      </c>
      <c r="B1602" s="2" t="s">
        <v>1751</v>
      </c>
      <c r="C1602" s="2" t="s">
        <v>2611</v>
      </c>
      <c r="D1602" s="3">
        <v>45903</v>
      </c>
      <c r="E1602" s="3">
        <v>45912</v>
      </c>
      <c r="F1602" s="3">
        <v>45912</v>
      </c>
      <c r="G1602" s="2" t="s">
        <v>2641</v>
      </c>
      <c r="H1602" s="2">
        <v>26</v>
      </c>
      <c r="I1602" s="2">
        <f>IFERROR(INDEX(Raw_Orders!H1602:H4030,MATCH(B1602,Raw_Orders!A1602:A4030,0)),0)</f>
        <v>26</v>
      </c>
      <c r="J1602" s="2" t="str">
        <f t="shared" si="96"/>
        <v>Yes</v>
      </c>
      <c r="K1602" s="2" t="str">
        <f t="shared" si="97"/>
        <v>Yes</v>
      </c>
      <c r="L1602" s="2" t="str">
        <f t="shared" si="99"/>
        <v>Yes</v>
      </c>
      <c r="M1602" s="2">
        <f t="shared" si="98"/>
        <v>1</v>
      </c>
    </row>
    <row r="1603" spans="1:13" x14ac:dyDescent="0.3">
      <c r="A1603" s="5" t="s">
        <v>4232</v>
      </c>
      <c r="B1603" s="5" t="s">
        <v>1752</v>
      </c>
      <c r="C1603" s="5" t="s">
        <v>2614</v>
      </c>
      <c r="D1603" s="6">
        <v>45903</v>
      </c>
      <c r="E1603" s="6">
        <v>45911</v>
      </c>
      <c r="F1603" s="6">
        <v>45921</v>
      </c>
      <c r="G1603" s="5" t="s">
        <v>2629</v>
      </c>
      <c r="H1603" s="5">
        <v>19</v>
      </c>
      <c r="I1603" s="5">
        <f>IFERROR(INDEX(Raw_Orders!H1603:H4031,MATCH(B1603,Raw_Orders!A1603:A4031,0)),0)</f>
        <v>19</v>
      </c>
      <c r="J1603" s="5" t="str">
        <f t="shared" ref="J1603:J1666" si="100">IF(E1603&gt;=F1603,"Yes","No")</f>
        <v>No</v>
      </c>
      <c r="K1603" s="5" t="str">
        <f t="shared" ref="K1603:K1666" si="101">IF(H1603&gt;=I1603,"Yes","N0")</f>
        <v>Yes</v>
      </c>
      <c r="L1603" s="5" t="str">
        <f t="shared" si="99"/>
        <v>No</v>
      </c>
      <c r="M1603" s="5">
        <f t="shared" ref="M1603:M1666" si="102">IF(L1603="Yes",1,0)</f>
        <v>0</v>
      </c>
    </row>
    <row r="1604" spans="1:13" x14ac:dyDescent="0.3">
      <c r="A1604" s="2" t="s">
        <v>4233</v>
      </c>
      <c r="B1604" s="2" t="s">
        <v>1753</v>
      </c>
      <c r="C1604" s="2" t="s">
        <v>2601</v>
      </c>
      <c r="D1604" s="3">
        <v>45902</v>
      </c>
      <c r="E1604" s="3">
        <v>45911</v>
      </c>
      <c r="F1604" s="3">
        <v>45908</v>
      </c>
      <c r="G1604" s="2" t="s">
        <v>2627</v>
      </c>
      <c r="H1604" s="2">
        <v>39</v>
      </c>
      <c r="I1604" s="2">
        <f>IFERROR(INDEX(Raw_Orders!H1604:H4032,MATCH(B1604,Raw_Orders!A1604:A4032,0)),0)</f>
        <v>39</v>
      </c>
      <c r="J1604" s="2" t="str">
        <f t="shared" si="100"/>
        <v>Yes</v>
      </c>
      <c r="K1604" s="2" t="str">
        <f t="shared" si="101"/>
        <v>Yes</v>
      </c>
      <c r="L1604" s="2" t="str">
        <f t="shared" ref="L1604:L1667" si="103">IF(AND(J1604="Yes",K1604="Yes"),"Yes","No")</f>
        <v>Yes</v>
      </c>
      <c r="M1604" s="2">
        <f t="shared" si="102"/>
        <v>1</v>
      </c>
    </row>
    <row r="1605" spans="1:13" x14ac:dyDescent="0.3">
      <c r="A1605" s="5" t="s">
        <v>4234</v>
      </c>
      <c r="B1605" s="5" t="s">
        <v>1754</v>
      </c>
      <c r="C1605" s="5" t="s">
        <v>2604</v>
      </c>
      <c r="D1605" s="6">
        <v>45902</v>
      </c>
      <c r="E1605" s="6">
        <v>45911</v>
      </c>
      <c r="F1605" s="6">
        <v>45906</v>
      </c>
      <c r="G1605" s="5" t="s">
        <v>2633</v>
      </c>
      <c r="H1605" s="5">
        <v>15</v>
      </c>
      <c r="I1605" s="5">
        <f>IFERROR(INDEX(Raw_Orders!H1605:H4033,MATCH(B1605,Raw_Orders!A1605:A4033,0)),0)</f>
        <v>15</v>
      </c>
      <c r="J1605" s="5" t="str">
        <f t="shared" si="100"/>
        <v>Yes</v>
      </c>
      <c r="K1605" s="5" t="str">
        <f t="shared" si="101"/>
        <v>Yes</v>
      </c>
      <c r="L1605" s="5" t="str">
        <f t="shared" si="103"/>
        <v>Yes</v>
      </c>
      <c r="M1605" s="5">
        <f t="shared" si="102"/>
        <v>1</v>
      </c>
    </row>
    <row r="1606" spans="1:13" x14ac:dyDescent="0.3">
      <c r="A1606" s="2" t="s">
        <v>4235</v>
      </c>
      <c r="B1606" s="2" t="s">
        <v>1755</v>
      </c>
      <c r="C1606" s="2" t="s">
        <v>2606</v>
      </c>
      <c r="D1606" s="3">
        <v>45904</v>
      </c>
      <c r="E1606" s="3">
        <v>45909</v>
      </c>
      <c r="F1606" s="3">
        <v>45910</v>
      </c>
      <c r="G1606" s="2" t="s">
        <v>2641</v>
      </c>
      <c r="H1606" s="2">
        <v>37</v>
      </c>
      <c r="I1606" s="2">
        <f>IFERROR(INDEX(Raw_Orders!H1606:H4034,MATCH(B1606,Raw_Orders!A1606:A4034,0)),0)</f>
        <v>37</v>
      </c>
      <c r="J1606" s="2" t="str">
        <f t="shared" si="100"/>
        <v>No</v>
      </c>
      <c r="K1606" s="2" t="str">
        <f t="shared" si="101"/>
        <v>Yes</v>
      </c>
      <c r="L1606" s="2" t="str">
        <f t="shared" si="103"/>
        <v>No</v>
      </c>
      <c r="M1606" s="2">
        <f t="shared" si="102"/>
        <v>0</v>
      </c>
    </row>
    <row r="1607" spans="1:13" x14ac:dyDescent="0.3">
      <c r="A1607" s="5" t="s">
        <v>4236</v>
      </c>
      <c r="B1607" s="5" t="s">
        <v>1756</v>
      </c>
      <c r="C1607" s="5" t="s">
        <v>2608</v>
      </c>
      <c r="D1607" s="6">
        <v>45902</v>
      </c>
      <c r="E1607" s="6">
        <v>45911</v>
      </c>
      <c r="F1607" s="6">
        <v>45919</v>
      </c>
      <c r="G1607" s="5" t="s">
        <v>2641</v>
      </c>
      <c r="H1607" s="5">
        <v>5</v>
      </c>
      <c r="I1607" s="5">
        <f>IFERROR(INDEX(Raw_Orders!H1607:H4035,MATCH(B1607,Raw_Orders!A1607:A4035,0)),0)</f>
        <v>5</v>
      </c>
      <c r="J1607" s="5" t="str">
        <f t="shared" si="100"/>
        <v>No</v>
      </c>
      <c r="K1607" s="5" t="str">
        <f t="shared" si="101"/>
        <v>Yes</v>
      </c>
      <c r="L1607" s="5" t="str">
        <f t="shared" si="103"/>
        <v>No</v>
      </c>
      <c r="M1607" s="5">
        <f t="shared" si="102"/>
        <v>0</v>
      </c>
    </row>
    <row r="1608" spans="1:13" x14ac:dyDescent="0.3">
      <c r="A1608" s="2" t="s">
        <v>4237</v>
      </c>
      <c r="B1608" s="2" t="s">
        <v>1757</v>
      </c>
      <c r="C1608" s="2" t="s">
        <v>2608</v>
      </c>
      <c r="D1608" s="3">
        <v>45904</v>
      </c>
      <c r="E1608" s="3">
        <v>45906</v>
      </c>
      <c r="F1608" s="3">
        <v>45917</v>
      </c>
      <c r="G1608" s="2" t="s">
        <v>2627</v>
      </c>
      <c r="H1608" s="2">
        <v>3</v>
      </c>
      <c r="I1608" s="2">
        <f>IFERROR(INDEX(Raw_Orders!H1608:H4036,MATCH(B1608,Raw_Orders!A1608:A4036,0)),0)</f>
        <v>4</v>
      </c>
      <c r="J1608" s="2" t="str">
        <f t="shared" si="100"/>
        <v>No</v>
      </c>
      <c r="K1608" s="2" t="str">
        <f t="shared" si="101"/>
        <v>N0</v>
      </c>
      <c r="L1608" s="2" t="str">
        <f t="shared" si="103"/>
        <v>No</v>
      </c>
      <c r="M1608" s="2">
        <f t="shared" si="102"/>
        <v>0</v>
      </c>
    </row>
    <row r="1609" spans="1:13" x14ac:dyDescent="0.3">
      <c r="A1609" s="5" t="s">
        <v>4238</v>
      </c>
      <c r="B1609" s="5" t="s">
        <v>1758</v>
      </c>
      <c r="C1609" s="5" t="s">
        <v>2611</v>
      </c>
      <c r="D1609" s="6">
        <v>45905</v>
      </c>
      <c r="E1609" s="6">
        <v>45907</v>
      </c>
      <c r="F1609" s="6">
        <v>45912</v>
      </c>
      <c r="G1609" s="5" t="s">
        <v>2629</v>
      </c>
      <c r="H1609" s="5">
        <v>26</v>
      </c>
      <c r="I1609" s="5">
        <f>IFERROR(INDEX(Raw_Orders!H1609:H4037,MATCH(B1609,Raw_Orders!A1609:A4037,0)),0)</f>
        <v>26</v>
      </c>
      <c r="J1609" s="5" t="str">
        <f t="shared" si="100"/>
        <v>No</v>
      </c>
      <c r="K1609" s="5" t="str">
        <f t="shared" si="101"/>
        <v>Yes</v>
      </c>
      <c r="L1609" s="5" t="str">
        <f t="shared" si="103"/>
        <v>No</v>
      </c>
      <c r="M1609" s="5">
        <f t="shared" si="102"/>
        <v>0</v>
      </c>
    </row>
    <row r="1610" spans="1:13" x14ac:dyDescent="0.3">
      <c r="A1610" s="2" t="s">
        <v>4239</v>
      </c>
      <c r="B1610" s="2" t="s">
        <v>1759</v>
      </c>
      <c r="C1610" s="2" t="s">
        <v>2601</v>
      </c>
      <c r="D1610" s="3">
        <v>45903</v>
      </c>
      <c r="E1610" s="3">
        <v>45910</v>
      </c>
      <c r="F1610" s="3">
        <v>45908</v>
      </c>
      <c r="G1610" s="2" t="s">
        <v>2633</v>
      </c>
      <c r="H1610" s="2">
        <v>22</v>
      </c>
      <c r="I1610" s="2">
        <f>IFERROR(INDEX(Raw_Orders!H1610:H4038,MATCH(B1610,Raw_Orders!A1610:A4038,0)),0)</f>
        <v>22</v>
      </c>
      <c r="J1610" s="2" t="str">
        <f t="shared" si="100"/>
        <v>Yes</v>
      </c>
      <c r="K1610" s="2" t="str">
        <f t="shared" si="101"/>
        <v>Yes</v>
      </c>
      <c r="L1610" s="2" t="str">
        <f t="shared" si="103"/>
        <v>Yes</v>
      </c>
      <c r="M1610" s="2">
        <f t="shared" si="102"/>
        <v>1</v>
      </c>
    </row>
    <row r="1611" spans="1:13" x14ac:dyDescent="0.3">
      <c r="A1611" s="5" t="s">
        <v>4240</v>
      </c>
      <c r="B1611" s="5" t="s">
        <v>1760</v>
      </c>
      <c r="C1611" s="5" t="s">
        <v>2614</v>
      </c>
      <c r="D1611" s="6">
        <v>45905</v>
      </c>
      <c r="E1611" s="6">
        <v>45910</v>
      </c>
      <c r="F1611" s="6">
        <v>45919</v>
      </c>
      <c r="G1611" s="5" t="s">
        <v>2641</v>
      </c>
      <c r="H1611" s="5">
        <v>2</v>
      </c>
      <c r="I1611" s="5">
        <f>IFERROR(INDEX(Raw_Orders!H1611:H4039,MATCH(B1611,Raw_Orders!A1611:A4039,0)),0)</f>
        <v>8</v>
      </c>
      <c r="J1611" s="5" t="str">
        <f t="shared" si="100"/>
        <v>No</v>
      </c>
      <c r="K1611" s="5" t="str">
        <f t="shared" si="101"/>
        <v>N0</v>
      </c>
      <c r="L1611" s="5" t="str">
        <f t="shared" si="103"/>
        <v>No</v>
      </c>
      <c r="M1611" s="5">
        <f t="shared" si="102"/>
        <v>0</v>
      </c>
    </row>
    <row r="1612" spans="1:13" x14ac:dyDescent="0.3">
      <c r="A1612" s="2" t="s">
        <v>4241</v>
      </c>
      <c r="B1612" s="2" t="s">
        <v>1761</v>
      </c>
      <c r="C1612" s="2" t="s">
        <v>2604</v>
      </c>
      <c r="D1612" s="3">
        <v>45903</v>
      </c>
      <c r="E1612" s="3">
        <v>45907</v>
      </c>
      <c r="F1612" s="3">
        <v>45907</v>
      </c>
      <c r="G1612" s="2" t="s">
        <v>2633</v>
      </c>
      <c r="H1612" s="2">
        <v>17</v>
      </c>
      <c r="I1612" s="2">
        <f>IFERROR(INDEX(Raw_Orders!H1612:H4040,MATCH(B1612,Raw_Orders!A1612:A4040,0)),0)</f>
        <v>17</v>
      </c>
      <c r="J1612" s="2" t="str">
        <f t="shared" si="100"/>
        <v>Yes</v>
      </c>
      <c r="K1612" s="2" t="str">
        <f t="shared" si="101"/>
        <v>Yes</v>
      </c>
      <c r="L1612" s="2" t="str">
        <f t="shared" si="103"/>
        <v>Yes</v>
      </c>
      <c r="M1612" s="2">
        <f t="shared" si="102"/>
        <v>1</v>
      </c>
    </row>
    <row r="1613" spans="1:13" x14ac:dyDescent="0.3">
      <c r="A1613" s="5" t="s">
        <v>4242</v>
      </c>
      <c r="B1613" s="5" t="s">
        <v>1762</v>
      </c>
      <c r="C1613" s="5" t="s">
        <v>2616</v>
      </c>
      <c r="D1613" s="6">
        <v>45904</v>
      </c>
      <c r="E1613" s="6">
        <v>45912</v>
      </c>
      <c r="F1613" s="6">
        <v>45923</v>
      </c>
      <c r="G1613" s="5" t="s">
        <v>2633</v>
      </c>
      <c r="H1613" s="5">
        <v>36</v>
      </c>
      <c r="I1613" s="5">
        <f>IFERROR(INDEX(Raw_Orders!H1613:H4041,MATCH(B1613,Raw_Orders!A1613:A4041,0)),0)</f>
        <v>43</v>
      </c>
      <c r="J1613" s="5" t="str">
        <f t="shared" si="100"/>
        <v>No</v>
      </c>
      <c r="K1613" s="5" t="str">
        <f t="shared" si="101"/>
        <v>N0</v>
      </c>
      <c r="L1613" s="5" t="str">
        <f t="shared" si="103"/>
        <v>No</v>
      </c>
      <c r="M1613" s="5">
        <f t="shared" si="102"/>
        <v>0</v>
      </c>
    </row>
    <row r="1614" spans="1:13" x14ac:dyDescent="0.3">
      <c r="A1614" s="2" t="s">
        <v>4243</v>
      </c>
      <c r="B1614" s="2" t="s">
        <v>1763</v>
      </c>
      <c r="C1614" s="2" t="s">
        <v>2616</v>
      </c>
      <c r="D1614" s="3">
        <v>45905</v>
      </c>
      <c r="E1614" s="3">
        <v>45908</v>
      </c>
      <c r="F1614" s="3">
        <v>45920</v>
      </c>
      <c r="G1614" s="2" t="s">
        <v>2627</v>
      </c>
      <c r="H1614" s="2">
        <v>28</v>
      </c>
      <c r="I1614" s="2">
        <f>IFERROR(INDEX(Raw_Orders!H1614:H4042,MATCH(B1614,Raw_Orders!A1614:A4042,0)),0)</f>
        <v>28</v>
      </c>
      <c r="J1614" s="2" t="str">
        <f t="shared" si="100"/>
        <v>No</v>
      </c>
      <c r="K1614" s="2" t="str">
        <f t="shared" si="101"/>
        <v>Yes</v>
      </c>
      <c r="L1614" s="2" t="str">
        <f t="shared" si="103"/>
        <v>No</v>
      </c>
      <c r="M1614" s="2">
        <f t="shared" si="102"/>
        <v>0</v>
      </c>
    </row>
    <row r="1615" spans="1:13" x14ac:dyDescent="0.3">
      <c r="A1615" s="5" t="s">
        <v>4244</v>
      </c>
      <c r="B1615" s="5" t="s">
        <v>1764</v>
      </c>
      <c r="C1615" s="5" t="s">
        <v>2606</v>
      </c>
      <c r="D1615" s="6">
        <v>45903</v>
      </c>
      <c r="E1615" s="6">
        <v>45909</v>
      </c>
      <c r="F1615" s="6">
        <v>45909</v>
      </c>
      <c r="G1615" s="5" t="s">
        <v>2641</v>
      </c>
      <c r="H1615" s="5">
        <v>59</v>
      </c>
      <c r="I1615" s="5">
        <f>IFERROR(INDEX(Raw_Orders!H1615:H4043,MATCH(B1615,Raw_Orders!A1615:A4043,0)),0)</f>
        <v>59</v>
      </c>
      <c r="J1615" s="5" t="str">
        <f t="shared" si="100"/>
        <v>Yes</v>
      </c>
      <c r="K1615" s="5" t="str">
        <f t="shared" si="101"/>
        <v>Yes</v>
      </c>
      <c r="L1615" s="5" t="str">
        <f t="shared" si="103"/>
        <v>Yes</v>
      </c>
      <c r="M1615" s="5">
        <f t="shared" si="102"/>
        <v>1</v>
      </c>
    </row>
    <row r="1616" spans="1:13" x14ac:dyDescent="0.3">
      <c r="A1616" s="2" t="s">
        <v>4245</v>
      </c>
      <c r="B1616" s="2" t="s">
        <v>1765</v>
      </c>
      <c r="C1616" s="2" t="s">
        <v>2606</v>
      </c>
      <c r="D1616" s="3">
        <v>45905</v>
      </c>
      <c r="E1616" s="3">
        <v>45909</v>
      </c>
      <c r="F1616" s="3">
        <v>45911</v>
      </c>
      <c r="G1616" s="2" t="s">
        <v>2631</v>
      </c>
      <c r="H1616" s="2">
        <v>69</v>
      </c>
      <c r="I1616" s="2">
        <f>IFERROR(INDEX(Raw_Orders!H1616:H4044,MATCH(B1616,Raw_Orders!A1616:A4044,0)),0)</f>
        <v>69</v>
      </c>
      <c r="J1616" s="2" t="str">
        <f t="shared" si="100"/>
        <v>No</v>
      </c>
      <c r="K1616" s="2" t="str">
        <f t="shared" si="101"/>
        <v>Yes</v>
      </c>
      <c r="L1616" s="2" t="str">
        <f t="shared" si="103"/>
        <v>No</v>
      </c>
      <c r="M1616" s="2">
        <f t="shared" si="102"/>
        <v>0</v>
      </c>
    </row>
    <row r="1617" spans="1:13" x14ac:dyDescent="0.3">
      <c r="A1617" s="5" t="s">
        <v>4246</v>
      </c>
      <c r="B1617" s="5" t="s">
        <v>1766</v>
      </c>
      <c r="C1617" s="5" t="s">
        <v>2606</v>
      </c>
      <c r="D1617" s="6">
        <v>45903</v>
      </c>
      <c r="E1617" s="6">
        <v>45907</v>
      </c>
      <c r="F1617" s="6">
        <v>45911</v>
      </c>
      <c r="G1617" s="5" t="s">
        <v>2627</v>
      </c>
      <c r="H1617" s="5">
        <v>30</v>
      </c>
      <c r="I1617" s="5">
        <f>IFERROR(INDEX(Raw_Orders!H1617:H4045,MATCH(B1617,Raw_Orders!A1617:A4045,0)),0)</f>
        <v>30</v>
      </c>
      <c r="J1617" s="5" t="str">
        <f t="shared" si="100"/>
        <v>No</v>
      </c>
      <c r="K1617" s="5" t="str">
        <f t="shared" si="101"/>
        <v>Yes</v>
      </c>
      <c r="L1617" s="5" t="str">
        <f t="shared" si="103"/>
        <v>No</v>
      </c>
      <c r="M1617" s="5">
        <f t="shared" si="102"/>
        <v>0</v>
      </c>
    </row>
    <row r="1618" spans="1:13" x14ac:dyDescent="0.3">
      <c r="A1618" s="2" t="s">
        <v>4247</v>
      </c>
      <c r="B1618" s="2" t="s">
        <v>1767</v>
      </c>
      <c r="C1618" s="2" t="s">
        <v>2608</v>
      </c>
      <c r="D1618" s="3">
        <v>45903</v>
      </c>
      <c r="E1618" s="3">
        <v>45908</v>
      </c>
      <c r="F1618" s="3">
        <v>45915</v>
      </c>
      <c r="G1618" s="2" t="s">
        <v>2627</v>
      </c>
      <c r="H1618" s="2">
        <v>2</v>
      </c>
      <c r="I1618" s="2">
        <f>IFERROR(INDEX(Raw_Orders!H1618:H4046,MATCH(B1618,Raw_Orders!A1618:A4046,0)),0)</f>
        <v>2</v>
      </c>
      <c r="J1618" s="2" t="str">
        <f t="shared" si="100"/>
        <v>No</v>
      </c>
      <c r="K1618" s="2" t="str">
        <f t="shared" si="101"/>
        <v>Yes</v>
      </c>
      <c r="L1618" s="2" t="str">
        <f t="shared" si="103"/>
        <v>No</v>
      </c>
      <c r="M1618" s="2">
        <f t="shared" si="102"/>
        <v>0</v>
      </c>
    </row>
    <row r="1619" spans="1:13" x14ac:dyDescent="0.3">
      <c r="A1619" s="5" t="s">
        <v>4248</v>
      </c>
      <c r="B1619" s="5" t="s">
        <v>1768</v>
      </c>
      <c r="C1619" s="5" t="s">
        <v>2608</v>
      </c>
      <c r="D1619" s="6">
        <v>45905</v>
      </c>
      <c r="E1619" s="6">
        <v>45912</v>
      </c>
      <c r="F1619" s="6">
        <v>45917</v>
      </c>
      <c r="G1619" s="5" t="s">
        <v>2629</v>
      </c>
      <c r="H1619" s="5">
        <v>11</v>
      </c>
      <c r="I1619" s="5">
        <f>IFERROR(INDEX(Raw_Orders!H1619:H4047,MATCH(B1619,Raw_Orders!A1619:A4047,0)),0)</f>
        <v>11</v>
      </c>
      <c r="J1619" s="5" t="str">
        <f t="shared" si="100"/>
        <v>No</v>
      </c>
      <c r="K1619" s="5" t="str">
        <f t="shared" si="101"/>
        <v>Yes</v>
      </c>
      <c r="L1619" s="5" t="str">
        <f t="shared" si="103"/>
        <v>No</v>
      </c>
      <c r="M1619" s="5">
        <f t="shared" si="102"/>
        <v>0</v>
      </c>
    </row>
    <row r="1620" spans="1:13" x14ac:dyDescent="0.3">
      <c r="A1620" s="2" t="s">
        <v>4249</v>
      </c>
      <c r="B1620" s="2" t="s">
        <v>1769</v>
      </c>
      <c r="C1620" s="2" t="s">
        <v>2598</v>
      </c>
      <c r="D1620" s="3">
        <v>45906</v>
      </c>
      <c r="E1620" s="3">
        <v>45914</v>
      </c>
      <c r="F1620" s="3">
        <v>45921</v>
      </c>
      <c r="G1620" s="2" t="s">
        <v>2629</v>
      </c>
      <c r="H1620" s="2">
        <v>39</v>
      </c>
      <c r="I1620" s="2">
        <f>IFERROR(INDEX(Raw_Orders!H1620:H4048,MATCH(B1620,Raw_Orders!A1620:A4048,0)),0)</f>
        <v>46</v>
      </c>
      <c r="J1620" s="2" t="str">
        <f t="shared" si="100"/>
        <v>No</v>
      </c>
      <c r="K1620" s="2" t="str">
        <f t="shared" si="101"/>
        <v>N0</v>
      </c>
      <c r="L1620" s="2" t="str">
        <f t="shared" si="103"/>
        <v>No</v>
      </c>
      <c r="M1620" s="2">
        <f t="shared" si="102"/>
        <v>0</v>
      </c>
    </row>
    <row r="1621" spans="1:13" x14ac:dyDescent="0.3">
      <c r="A1621" s="5" t="s">
        <v>4250</v>
      </c>
      <c r="B1621" s="5" t="s">
        <v>1770</v>
      </c>
      <c r="C1621" s="5" t="s">
        <v>2611</v>
      </c>
      <c r="D1621" s="6">
        <v>45906</v>
      </c>
      <c r="E1621" s="6">
        <v>45913</v>
      </c>
      <c r="F1621" s="6">
        <v>45913</v>
      </c>
      <c r="G1621" s="5" t="s">
        <v>2629</v>
      </c>
      <c r="H1621" s="5">
        <v>21</v>
      </c>
      <c r="I1621" s="5">
        <f>IFERROR(INDEX(Raw_Orders!H1621:H4049,MATCH(B1621,Raw_Orders!A1621:A4049,0)),0)</f>
        <v>21</v>
      </c>
      <c r="J1621" s="5" t="str">
        <f t="shared" si="100"/>
        <v>Yes</v>
      </c>
      <c r="K1621" s="5" t="str">
        <f t="shared" si="101"/>
        <v>Yes</v>
      </c>
      <c r="L1621" s="5" t="str">
        <f t="shared" si="103"/>
        <v>Yes</v>
      </c>
      <c r="M1621" s="5">
        <f t="shared" si="102"/>
        <v>1</v>
      </c>
    </row>
    <row r="1622" spans="1:13" x14ac:dyDescent="0.3">
      <c r="A1622" s="2" t="s">
        <v>4251</v>
      </c>
      <c r="B1622" s="2" t="s">
        <v>1771</v>
      </c>
      <c r="C1622" s="2" t="s">
        <v>2616</v>
      </c>
      <c r="D1622" s="3">
        <v>45905</v>
      </c>
      <c r="E1622" s="3">
        <v>45913</v>
      </c>
      <c r="F1622" s="3">
        <v>45919</v>
      </c>
      <c r="G1622" s="2" t="s">
        <v>2641</v>
      </c>
      <c r="H1622" s="2">
        <v>10</v>
      </c>
      <c r="I1622" s="2">
        <f>IFERROR(INDEX(Raw_Orders!H1622:H4050,MATCH(B1622,Raw_Orders!A1622:A4050,0)),0)</f>
        <v>10</v>
      </c>
      <c r="J1622" s="2" t="str">
        <f t="shared" si="100"/>
        <v>No</v>
      </c>
      <c r="K1622" s="2" t="str">
        <f t="shared" si="101"/>
        <v>Yes</v>
      </c>
      <c r="L1622" s="2" t="str">
        <f t="shared" si="103"/>
        <v>No</v>
      </c>
      <c r="M1622" s="2">
        <f t="shared" si="102"/>
        <v>0</v>
      </c>
    </row>
    <row r="1623" spans="1:13" x14ac:dyDescent="0.3">
      <c r="A1623" s="5" t="s">
        <v>4252</v>
      </c>
      <c r="B1623" s="5" t="s">
        <v>1772</v>
      </c>
      <c r="C1623" s="5" t="s">
        <v>2616</v>
      </c>
      <c r="D1623" s="6">
        <v>45906</v>
      </c>
      <c r="E1623" s="6">
        <v>45913</v>
      </c>
      <c r="F1623" s="6">
        <v>45922</v>
      </c>
      <c r="G1623" s="5" t="s">
        <v>2631</v>
      </c>
      <c r="H1623" s="5">
        <v>25</v>
      </c>
      <c r="I1623" s="5">
        <f>IFERROR(INDEX(Raw_Orders!H1623:H4051,MATCH(B1623,Raw_Orders!A1623:A4051,0)),0)</f>
        <v>25</v>
      </c>
      <c r="J1623" s="5" t="str">
        <f t="shared" si="100"/>
        <v>No</v>
      </c>
      <c r="K1623" s="5" t="str">
        <f t="shared" si="101"/>
        <v>Yes</v>
      </c>
      <c r="L1623" s="5" t="str">
        <f t="shared" si="103"/>
        <v>No</v>
      </c>
      <c r="M1623" s="5">
        <f t="shared" si="102"/>
        <v>0</v>
      </c>
    </row>
    <row r="1624" spans="1:13" x14ac:dyDescent="0.3">
      <c r="A1624" s="2" t="s">
        <v>4253</v>
      </c>
      <c r="B1624" s="2" t="s">
        <v>1773</v>
      </c>
      <c r="C1624" s="2" t="s">
        <v>2606</v>
      </c>
      <c r="D1624" s="3">
        <v>45905</v>
      </c>
      <c r="E1624" s="3">
        <v>45909</v>
      </c>
      <c r="F1624" s="3">
        <v>45912</v>
      </c>
      <c r="G1624" s="2" t="s">
        <v>2627</v>
      </c>
      <c r="H1624" s="2">
        <v>39</v>
      </c>
      <c r="I1624" s="2">
        <f>IFERROR(INDEX(Raw_Orders!H1624:H4052,MATCH(B1624,Raw_Orders!A1624:A4052,0)),0)</f>
        <v>39</v>
      </c>
      <c r="J1624" s="2" t="str">
        <f t="shared" si="100"/>
        <v>No</v>
      </c>
      <c r="K1624" s="2" t="str">
        <f t="shared" si="101"/>
        <v>Yes</v>
      </c>
      <c r="L1624" s="2" t="str">
        <f t="shared" si="103"/>
        <v>No</v>
      </c>
      <c r="M1624" s="2">
        <f t="shared" si="102"/>
        <v>0</v>
      </c>
    </row>
    <row r="1625" spans="1:13" x14ac:dyDescent="0.3">
      <c r="A1625" s="5" t="s">
        <v>4254</v>
      </c>
      <c r="B1625" s="5" t="s">
        <v>1774</v>
      </c>
      <c r="C1625" s="5" t="s">
        <v>2606</v>
      </c>
      <c r="D1625" s="6">
        <v>45904</v>
      </c>
      <c r="E1625" s="6">
        <v>45913</v>
      </c>
      <c r="F1625" s="6">
        <v>45914</v>
      </c>
      <c r="G1625" s="5" t="s">
        <v>2641</v>
      </c>
      <c r="H1625" s="5">
        <v>37</v>
      </c>
      <c r="I1625" s="5">
        <f>IFERROR(INDEX(Raw_Orders!H1625:H4053,MATCH(B1625,Raw_Orders!A1625:A4053,0)),0)</f>
        <v>37</v>
      </c>
      <c r="J1625" s="5" t="str">
        <f t="shared" si="100"/>
        <v>No</v>
      </c>
      <c r="K1625" s="5" t="str">
        <f t="shared" si="101"/>
        <v>Yes</v>
      </c>
      <c r="L1625" s="5" t="str">
        <f t="shared" si="103"/>
        <v>No</v>
      </c>
      <c r="M1625" s="5">
        <f t="shared" si="102"/>
        <v>0</v>
      </c>
    </row>
    <row r="1626" spans="1:13" x14ac:dyDescent="0.3">
      <c r="A1626" s="2" t="s">
        <v>4255</v>
      </c>
      <c r="B1626" s="2" t="s">
        <v>1775</v>
      </c>
      <c r="C1626" s="2" t="s">
        <v>2611</v>
      </c>
      <c r="D1626" s="3">
        <v>45906</v>
      </c>
      <c r="E1626" s="3">
        <v>45909</v>
      </c>
      <c r="F1626" s="3">
        <v>45917</v>
      </c>
      <c r="G1626" s="2" t="s">
        <v>2631</v>
      </c>
      <c r="H1626" s="2">
        <v>31</v>
      </c>
      <c r="I1626" s="2">
        <f>IFERROR(INDEX(Raw_Orders!H1626:H4054,MATCH(B1626,Raw_Orders!A1626:A4054,0)),0)</f>
        <v>31</v>
      </c>
      <c r="J1626" s="2" t="str">
        <f t="shared" si="100"/>
        <v>No</v>
      </c>
      <c r="K1626" s="2" t="str">
        <f t="shared" si="101"/>
        <v>Yes</v>
      </c>
      <c r="L1626" s="2" t="str">
        <f t="shared" si="103"/>
        <v>No</v>
      </c>
      <c r="M1626" s="2">
        <f t="shared" si="102"/>
        <v>0</v>
      </c>
    </row>
    <row r="1627" spans="1:13" x14ac:dyDescent="0.3">
      <c r="A1627" s="5" t="s">
        <v>4256</v>
      </c>
      <c r="B1627" s="5" t="s">
        <v>1776</v>
      </c>
      <c r="C1627" s="5" t="s">
        <v>2616</v>
      </c>
      <c r="D1627" s="6">
        <v>45905</v>
      </c>
      <c r="E1627" s="6">
        <v>45908</v>
      </c>
      <c r="F1627" s="6">
        <v>45924</v>
      </c>
      <c r="G1627" s="5" t="s">
        <v>2631</v>
      </c>
      <c r="H1627" s="5">
        <v>78</v>
      </c>
      <c r="I1627" s="5">
        <f>IFERROR(INDEX(Raw_Orders!H1627:H4055,MATCH(B1627,Raw_Orders!A1627:A4055,0)),0)</f>
        <v>80</v>
      </c>
      <c r="J1627" s="5" t="str">
        <f t="shared" si="100"/>
        <v>No</v>
      </c>
      <c r="K1627" s="5" t="str">
        <f t="shared" si="101"/>
        <v>N0</v>
      </c>
      <c r="L1627" s="5" t="str">
        <f t="shared" si="103"/>
        <v>No</v>
      </c>
      <c r="M1627" s="5">
        <f t="shared" si="102"/>
        <v>0</v>
      </c>
    </row>
    <row r="1628" spans="1:13" x14ac:dyDescent="0.3">
      <c r="A1628" s="2" t="s">
        <v>4257</v>
      </c>
      <c r="B1628" s="2" t="s">
        <v>1777</v>
      </c>
      <c r="C1628" s="2" t="s">
        <v>2606</v>
      </c>
      <c r="D1628" s="3">
        <v>45905</v>
      </c>
      <c r="E1628" s="3">
        <v>45910</v>
      </c>
      <c r="F1628" s="3">
        <v>45910</v>
      </c>
      <c r="G1628" s="2" t="s">
        <v>2629</v>
      </c>
      <c r="H1628" s="2">
        <v>36</v>
      </c>
      <c r="I1628" s="2">
        <f>IFERROR(INDEX(Raw_Orders!H1628:H4056,MATCH(B1628,Raw_Orders!A1628:A4056,0)),0)</f>
        <v>36</v>
      </c>
      <c r="J1628" s="2" t="str">
        <f t="shared" si="100"/>
        <v>Yes</v>
      </c>
      <c r="K1628" s="2" t="str">
        <f t="shared" si="101"/>
        <v>Yes</v>
      </c>
      <c r="L1628" s="2" t="str">
        <f t="shared" si="103"/>
        <v>Yes</v>
      </c>
      <c r="M1628" s="2">
        <f t="shared" si="102"/>
        <v>1</v>
      </c>
    </row>
    <row r="1629" spans="1:13" x14ac:dyDescent="0.3">
      <c r="A1629" s="5" t="s">
        <v>4258</v>
      </c>
      <c r="B1629" s="5" t="s">
        <v>1778</v>
      </c>
      <c r="C1629" s="5" t="s">
        <v>2611</v>
      </c>
      <c r="D1629" s="6">
        <v>45906</v>
      </c>
      <c r="E1629" s="6">
        <v>45910</v>
      </c>
      <c r="F1629" s="6">
        <v>45913</v>
      </c>
      <c r="G1629" s="5" t="s">
        <v>2641</v>
      </c>
      <c r="H1629" s="5">
        <v>12</v>
      </c>
      <c r="I1629" s="5">
        <f>IFERROR(INDEX(Raw_Orders!H1629:H4057,MATCH(B1629,Raw_Orders!A1629:A4057,0)),0)</f>
        <v>12</v>
      </c>
      <c r="J1629" s="5" t="str">
        <f t="shared" si="100"/>
        <v>No</v>
      </c>
      <c r="K1629" s="5" t="str">
        <f t="shared" si="101"/>
        <v>Yes</v>
      </c>
      <c r="L1629" s="5" t="str">
        <f t="shared" si="103"/>
        <v>No</v>
      </c>
      <c r="M1629" s="5">
        <f t="shared" si="102"/>
        <v>0</v>
      </c>
    </row>
    <row r="1630" spans="1:13" x14ac:dyDescent="0.3">
      <c r="A1630" s="2" t="s">
        <v>4259</v>
      </c>
      <c r="B1630" s="2" t="s">
        <v>1779</v>
      </c>
      <c r="C1630" s="2" t="s">
        <v>2614</v>
      </c>
      <c r="D1630" s="3">
        <v>45906</v>
      </c>
      <c r="E1630" s="3">
        <v>45916</v>
      </c>
      <c r="F1630" s="3">
        <v>45924</v>
      </c>
      <c r="G1630" s="2" t="s">
        <v>2641</v>
      </c>
      <c r="H1630" s="2">
        <v>16</v>
      </c>
      <c r="I1630" s="2">
        <f>IFERROR(INDEX(Raw_Orders!H1630:H4058,MATCH(B1630,Raw_Orders!A1630:A4058,0)),0)</f>
        <v>16</v>
      </c>
      <c r="J1630" s="2" t="str">
        <f t="shared" si="100"/>
        <v>No</v>
      </c>
      <c r="K1630" s="2" t="str">
        <f t="shared" si="101"/>
        <v>Yes</v>
      </c>
      <c r="L1630" s="2" t="str">
        <f t="shared" si="103"/>
        <v>No</v>
      </c>
      <c r="M1630" s="2">
        <f t="shared" si="102"/>
        <v>0</v>
      </c>
    </row>
    <row r="1631" spans="1:13" x14ac:dyDescent="0.3">
      <c r="A1631" s="5" t="s">
        <v>4260</v>
      </c>
      <c r="B1631" s="5" t="s">
        <v>1780</v>
      </c>
      <c r="C1631" s="5" t="s">
        <v>2614</v>
      </c>
      <c r="D1631" s="6">
        <v>45907</v>
      </c>
      <c r="E1631" s="6">
        <v>45910</v>
      </c>
      <c r="F1631" s="6">
        <v>45921</v>
      </c>
      <c r="G1631" s="5" t="s">
        <v>2627</v>
      </c>
      <c r="H1631" s="5">
        <v>28</v>
      </c>
      <c r="I1631" s="5">
        <f>IFERROR(INDEX(Raw_Orders!H1631:H4059,MATCH(B1631,Raw_Orders!A1631:A4059,0)),0)</f>
        <v>31</v>
      </c>
      <c r="J1631" s="5" t="str">
        <f t="shared" si="100"/>
        <v>No</v>
      </c>
      <c r="K1631" s="5" t="str">
        <f t="shared" si="101"/>
        <v>N0</v>
      </c>
      <c r="L1631" s="5" t="str">
        <f t="shared" si="103"/>
        <v>No</v>
      </c>
      <c r="M1631" s="5">
        <f t="shared" si="102"/>
        <v>0</v>
      </c>
    </row>
    <row r="1632" spans="1:13" x14ac:dyDescent="0.3">
      <c r="A1632" s="2" t="s">
        <v>4261</v>
      </c>
      <c r="B1632" s="2" t="s">
        <v>1781</v>
      </c>
      <c r="C1632" s="2" t="s">
        <v>2604</v>
      </c>
      <c r="D1632" s="3">
        <v>45906</v>
      </c>
      <c r="E1632" s="3">
        <v>45913</v>
      </c>
      <c r="F1632" s="3">
        <v>45914</v>
      </c>
      <c r="G1632" s="2" t="s">
        <v>2629</v>
      </c>
      <c r="H1632" s="2">
        <v>14</v>
      </c>
      <c r="I1632" s="2">
        <f>IFERROR(INDEX(Raw_Orders!H1632:H4060,MATCH(B1632,Raw_Orders!A1632:A4060,0)),0)</f>
        <v>14</v>
      </c>
      <c r="J1632" s="2" t="str">
        <f t="shared" si="100"/>
        <v>No</v>
      </c>
      <c r="K1632" s="2" t="str">
        <f t="shared" si="101"/>
        <v>Yes</v>
      </c>
      <c r="L1632" s="2" t="str">
        <f t="shared" si="103"/>
        <v>No</v>
      </c>
      <c r="M1632" s="2">
        <f t="shared" si="102"/>
        <v>0</v>
      </c>
    </row>
    <row r="1633" spans="1:13" x14ac:dyDescent="0.3">
      <c r="A1633" s="5" t="s">
        <v>4262</v>
      </c>
      <c r="B1633" s="5" t="s">
        <v>1782</v>
      </c>
      <c r="C1633" s="5" t="s">
        <v>2606</v>
      </c>
      <c r="D1633" s="6">
        <v>45908</v>
      </c>
      <c r="E1633" s="6">
        <v>45909</v>
      </c>
      <c r="F1633" s="6">
        <v>45918</v>
      </c>
      <c r="G1633" s="5" t="s">
        <v>2641</v>
      </c>
      <c r="H1633" s="5">
        <v>64</v>
      </c>
      <c r="I1633" s="5">
        <f>IFERROR(INDEX(Raw_Orders!H1633:H4061,MATCH(B1633,Raw_Orders!A1633:A4061,0)),0)</f>
        <v>64</v>
      </c>
      <c r="J1633" s="5" t="str">
        <f t="shared" si="100"/>
        <v>No</v>
      </c>
      <c r="K1633" s="5" t="str">
        <f t="shared" si="101"/>
        <v>Yes</v>
      </c>
      <c r="L1633" s="5" t="str">
        <f t="shared" si="103"/>
        <v>No</v>
      </c>
      <c r="M1633" s="5">
        <f t="shared" si="102"/>
        <v>0</v>
      </c>
    </row>
    <row r="1634" spans="1:13" x14ac:dyDescent="0.3">
      <c r="A1634" s="2" t="s">
        <v>4263</v>
      </c>
      <c r="B1634" s="2" t="s">
        <v>1783</v>
      </c>
      <c r="C1634" s="2" t="s">
        <v>2608</v>
      </c>
      <c r="D1634" s="3">
        <v>45906</v>
      </c>
      <c r="E1634" s="3">
        <v>45916</v>
      </c>
      <c r="F1634" s="3">
        <v>45919</v>
      </c>
      <c r="G1634" s="2" t="s">
        <v>2641</v>
      </c>
      <c r="H1634" s="2">
        <v>25</v>
      </c>
      <c r="I1634" s="2">
        <f>IFERROR(INDEX(Raw_Orders!H1634:H4062,MATCH(B1634,Raw_Orders!A1634:A4062,0)),0)</f>
        <v>25</v>
      </c>
      <c r="J1634" s="2" t="str">
        <f t="shared" si="100"/>
        <v>No</v>
      </c>
      <c r="K1634" s="2" t="str">
        <f t="shared" si="101"/>
        <v>Yes</v>
      </c>
      <c r="L1634" s="2" t="str">
        <f t="shared" si="103"/>
        <v>No</v>
      </c>
      <c r="M1634" s="2">
        <f t="shared" si="102"/>
        <v>0</v>
      </c>
    </row>
    <row r="1635" spans="1:13" x14ac:dyDescent="0.3">
      <c r="A1635" s="5" t="s">
        <v>4264</v>
      </c>
      <c r="B1635" s="5" t="s">
        <v>1784</v>
      </c>
      <c r="C1635" s="5" t="s">
        <v>2608</v>
      </c>
      <c r="D1635" s="6">
        <v>45906</v>
      </c>
      <c r="E1635" s="6">
        <v>45910</v>
      </c>
      <c r="F1635" s="6">
        <v>45921</v>
      </c>
      <c r="G1635" s="5" t="s">
        <v>2627</v>
      </c>
      <c r="H1635" s="5">
        <v>3</v>
      </c>
      <c r="I1635" s="5">
        <f>IFERROR(INDEX(Raw_Orders!H1635:H4063,MATCH(B1635,Raw_Orders!A1635:A4063,0)),0)</f>
        <v>3</v>
      </c>
      <c r="J1635" s="5" t="str">
        <f t="shared" si="100"/>
        <v>No</v>
      </c>
      <c r="K1635" s="5" t="str">
        <f t="shared" si="101"/>
        <v>Yes</v>
      </c>
      <c r="L1635" s="5" t="str">
        <f t="shared" si="103"/>
        <v>No</v>
      </c>
      <c r="M1635" s="5">
        <f t="shared" si="102"/>
        <v>0</v>
      </c>
    </row>
    <row r="1636" spans="1:13" x14ac:dyDescent="0.3">
      <c r="A1636" s="2" t="s">
        <v>4265</v>
      </c>
      <c r="B1636" s="2" t="s">
        <v>1785</v>
      </c>
      <c r="C1636" s="2" t="s">
        <v>2608</v>
      </c>
      <c r="D1636" s="3">
        <v>45906</v>
      </c>
      <c r="E1636" s="3">
        <v>45910</v>
      </c>
      <c r="F1636" s="3">
        <v>45919</v>
      </c>
      <c r="G1636" s="2" t="s">
        <v>2641</v>
      </c>
      <c r="H1636" s="2">
        <v>8</v>
      </c>
      <c r="I1636" s="2">
        <f>IFERROR(INDEX(Raw_Orders!H1636:H4064,MATCH(B1636,Raw_Orders!A1636:A4064,0)),0)</f>
        <v>8</v>
      </c>
      <c r="J1636" s="2" t="str">
        <f t="shared" si="100"/>
        <v>No</v>
      </c>
      <c r="K1636" s="2" t="str">
        <f t="shared" si="101"/>
        <v>Yes</v>
      </c>
      <c r="L1636" s="2" t="str">
        <f t="shared" si="103"/>
        <v>No</v>
      </c>
      <c r="M1636" s="2">
        <f t="shared" si="102"/>
        <v>0</v>
      </c>
    </row>
    <row r="1637" spans="1:13" x14ac:dyDescent="0.3">
      <c r="A1637" s="5" t="s">
        <v>4266</v>
      </c>
      <c r="B1637" s="5" t="s">
        <v>1786</v>
      </c>
      <c r="C1637" s="5" t="s">
        <v>2598</v>
      </c>
      <c r="D1637" s="6">
        <v>45909</v>
      </c>
      <c r="E1637" s="6">
        <v>45914</v>
      </c>
      <c r="F1637" s="6">
        <v>45921</v>
      </c>
      <c r="G1637" s="5" t="s">
        <v>2633</v>
      </c>
      <c r="H1637" s="5">
        <v>23</v>
      </c>
      <c r="I1637" s="5">
        <f>IFERROR(INDEX(Raw_Orders!H1637:H4065,MATCH(B1637,Raw_Orders!A1637:A4065,0)),0)</f>
        <v>23</v>
      </c>
      <c r="J1637" s="5" t="str">
        <f t="shared" si="100"/>
        <v>No</v>
      </c>
      <c r="K1637" s="5" t="str">
        <f t="shared" si="101"/>
        <v>Yes</v>
      </c>
      <c r="L1637" s="5" t="str">
        <f t="shared" si="103"/>
        <v>No</v>
      </c>
      <c r="M1637" s="5">
        <f t="shared" si="102"/>
        <v>0</v>
      </c>
    </row>
    <row r="1638" spans="1:13" x14ac:dyDescent="0.3">
      <c r="A1638" s="2" t="s">
        <v>4267</v>
      </c>
      <c r="B1638" s="2" t="s">
        <v>1787</v>
      </c>
      <c r="C1638" s="2" t="s">
        <v>2601</v>
      </c>
      <c r="D1638" s="3">
        <v>45908</v>
      </c>
      <c r="E1638" s="3">
        <v>45917</v>
      </c>
      <c r="F1638" s="3">
        <v>45914</v>
      </c>
      <c r="G1638" s="2" t="s">
        <v>2641</v>
      </c>
      <c r="H1638" s="2">
        <v>11</v>
      </c>
      <c r="I1638" s="2">
        <f>IFERROR(INDEX(Raw_Orders!H1638:H4066,MATCH(B1638,Raw_Orders!A1638:A4066,0)),0)</f>
        <v>11</v>
      </c>
      <c r="J1638" s="2" t="str">
        <f t="shared" si="100"/>
        <v>Yes</v>
      </c>
      <c r="K1638" s="2" t="str">
        <f t="shared" si="101"/>
        <v>Yes</v>
      </c>
      <c r="L1638" s="2" t="str">
        <f t="shared" si="103"/>
        <v>Yes</v>
      </c>
      <c r="M1638" s="2">
        <f t="shared" si="102"/>
        <v>1</v>
      </c>
    </row>
    <row r="1639" spans="1:13" x14ac:dyDescent="0.3">
      <c r="A1639" s="5" t="s">
        <v>4268</v>
      </c>
      <c r="B1639" s="5" t="s">
        <v>1788</v>
      </c>
      <c r="C1639" s="5" t="s">
        <v>2616</v>
      </c>
      <c r="D1639" s="6">
        <v>45908</v>
      </c>
      <c r="E1639" s="6">
        <v>45912</v>
      </c>
      <c r="F1639" s="6">
        <v>45923</v>
      </c>
      <c r="G1639" s="5" t="s">
        <v>2627</v>
      </c>
      <c r="H1639" s="5">
        <v>59</v>
      </c>
      <c r="I1639" s="5">
        <f>IFERROR(INDEX(Raw_Orders!H1639:H4067,MATCH(B1639,Raw_Orders!A1639:A4067,0)),0)</f>
        <v>59</v>
      </c>
      <c r="J1639" s="5" t="str">
        <f t="shared" si="100"/>
        <v>No</v>
      </c>
      <c r="K1639" s="5" t="str">
        <f t="shared" si="101"/>
        <v>Yes</v>
      </c>
      <c r="L1639" s="5" t="str">
        <f t="shared" si="103"/>
        <v>No</v>
      </c>
      <c r="M1639" s="5">
        <f t="shared" si="102"/>
        <v>0</v>
      </c>
    </row>
    <row r="1640" spans="1:13" x14ac:dyDescent="0.3">
      <c r="A1640" s="2" t="s">
        <v>4269</v>
      </c>
      <c r="B1640" s="2" t="s">
        <v>1789</v>
      </c>
      <c r="C1640" s="2" t="s">
        <v>2616</v>
      </c>
      <c r="D1640" s="3">
        <v>45909</v>
      </c>
      <c r="E1640" s="3">
        <v>45911</v>
      </c>
      <c r="F1640" s="3">
        <v>45923</v>
      </c>
      <c r="G1640" s="2" t="s">
        <v>2631</v>
      </c>
      <c r="H1640" s="2">
        <v>17</v>
      </c>
      <c r="I1640" s="2">
        <f>IFERROR(INDEX(Raw_Orders!H1640:H4068,MATCH(B1640,Raw_Orders!A1640:A4068,0)),0)</f>
        <v>17</v>
      </c>
      <c r="J1640" s="2" t="str">
        <f t="shared" si="100"/>
        <v>No</v>
      </c>
      <c r="K1640" s="2" t="str">
        <f t="shared" si="101"/>
        <v>Yes</v>
      </c>
      <c r="L1640" s="2" t="str">
        <f t="shared" si="103"/>
        <v>No</v>
      </c>
      <c r="M1640" s="2">
        <f t="shared" si="102"/>
        <v>0</v>
      </c>
    </row>
    <row r="1641" spans="1:13" x14ac:dyDescent="0.3">
      <c r="A1641" s="5" t="s">
        <v>4270</v>
      </c>
      <c r="B1641" s="5" t="s">
        <v>1790</v>
      </c>
      <c r="C1641" s="5" t="s">
        <v>2606</v>
      </c>
      <c r="D1641" s="6">
        <v>45909</v>
      </c>
      <c r="E1641" s="6">
        <v>45915</v>
      </c>
      <c r="F1641" s="6">
        <v>45914</v>
      </c>
      <c r="G1641" s="5" t="s">
        <v>2629</v>
      </c>
      <c r="H1641" s="5">
        <v>25</v>
      </c>
      <c r="I1641" s="5">
        <f>IFERROR(INDEX(Raw_Orders!H1641:H4069,MATCH(B1641,Raw_Orders!A1641:A4069,0)),0)</f>
        <v>25</v>
      </c>
      <c r="J1641" s="5" t="str">
        <f t="shared" si="100"/>
        <v>Yes</v>
      </c>
      <c r="K1641" s="5" t="str">
        <f t="shared" si="101"/>
        <v>Yes</v>
      </c>
      <c r="L1641" s="5" t="str">
        <f t="shared" si="103"/>
        <v>Yes</v>
      </c>
      <c r="M1641" s="5">
        <f t="shared" si="102"/>
        <v>1</v>
      </c>
    </row>
    <row r="1642" spans="1:13" x14ac:dyDescent="0.3">
      <c r="A1642" s="2" t="s">
        <v>4271</v>
      </c>
      <c r="B1642" s="2" t="s">
        <v>1791</v>
      </c>
      <c r="C1642" s="2" t="s">
        <v>2606</v>
      </c>
      <c r="D1642" s="3">
        <v>45908</v>
      </c>
      <c r="E1642" s="3">
        <v>45916</v>
      </c>
      <c r="F1642" s="3">
        <v>45918</v>
      </c>
      <c r="G1642" s="2" t="s">
        <v>2627</v>
      </c>
      <c r="H1642" s="2">
        <v>34</v>
      </c>
      <c r="I1642" s="2">
        <f>IFERROR(INDEX(Raw_Orders!H1642:H4070,MATCH(B1642,Raw_Orders!A1642:A4070,0)),0)</f>
        <v>39</v>
      </c>
      <c r="J1642" s="2" t="str">
        <f t="shared" si="100"/>
        <v>No</v>
      </c>
      <c r="K1642" s="2" t="str">
        <f t="shared" si="101"/>
        <v>N0</v>
      </c>
      <c r="L1642" s="2" t="str">
        <f t="shared" si="103"/>
        <v>No</v>
      </c>
      <c r="M1642" s="2">
        <f t="shared" si="102"/>
        <v>0</v>
      </c>
    </row>
    <row r="1643" spans="1:13" x14ac:dyDescent="0.3">
      <c r="A1643" s="5" t="s">
        <v>4272</v>
      </c>
      <c r="B1643" s="5" t="s">
        <v>1792</v>
      </c>
      <c r="C1643" s="5" t="s">
        <v>2606</v>
      </c>
      <c r="D1643" s="6">
        <v>45908</v>
      </c>
      <c r="E1643" s="6">
        <v>45917</v>
      </c>
      <c r="F1643" s="6">
        <v>45913</v>
      </c>
      <c r="G1643" s="5" t="s">
        <v>2629</v>
      </c>
      <c r="H1643" s="5">
        <v>18</v>
      </c>
      <c r="I1643" s="5">
        <f>IFERROR(INDEX(Raw_Orders!H1643:H4071,MATCH(B1643,Raw_Orders!A1643:A4071,0)),0)</f>
        <v>18</v>
      </c>
      <c r="J1643" s="5" t="str">
        <f t="shared" si="100"/>
        <v>Yes</v>
      </c>
      <c r="K1643" s="5" t="str">
        <f t="shared" si="101"/>
        <v>Yes</v>
      </c>
      <c r="L1643" s="5" t="str">
        <f t="shared" si="103"/>
        <v>Yes</v>
      </c>
      <c r="M1643" s="5">
        <f t="shared" si="102"/>
        <v>1</v>
      </c>
    </row>
    <row r="1644" spans="1:13" x14ac:dyDescent="0.3">
      <c r="A1644" s="2" t="s">
        <v>4273</v>
      </c>
      <c r="B1644" s="2" t="s">
        <v>1793</v>
      </c>
      <c r="C1644" s="2" t="s">
        <v>2611</v>
      </c>
      <c r="D1644" s="3">
        <v>45909</v>
      </c>
      <c r="E1644" s="3">
        <v>45916</v>
      </c>
      <c r="F1644" s="3">
        <v>45917</v>
      </c>
      <c r="G1644" s="2" t="s">
        <v>2631</v>
      </c>
      <c r="H1644" s="2">
        <v>10</v>
      </c>
      <c r="I1644" s="2">
        <f>IFERROR(INDEX(Raw_Orders!H1644:H4072,MATCH(B1644,Raw_Orders!A1644:A4072,0)),0)</f>
        <v>10</v>
      </c>
      <c r="J1644" s="2" t="str">
        <f t="shared" si="100"/>
        <v>No</v>
      </c>
      <c r="K1644" s="2" t="str">
        <f t="shared" si="101"/>
        <v>Yes</v>
      </c>
      <c r="L1644" s="2" t="str">
        <f t="shared" si="103"/>
        <v>No</v>
      </c>
      <c r="M1644" s="2">
        <f t="shared" si="102"/>
        <v>0</v>
      </c>
    </row>
    <row r="1645" spans="1:13" x14ac:dyDescent="0.3">
      <c r="A1645" s="5" t="s">
        <v>4274</v>
      </c>
      <c r="B1645" s="5" t="s">
        <v>1794</v>
      </c>
      <c r="C1645" s="5" t="s">
        <v>2598</v>
      </c>
      <c r="D1645" s="6">
        <v>45908</v>
      </c>
      <c r="E1645" s="6">
        <v>45911</v>
      </c>
      <c r="F1645" s="6">
        <v>45922</v>
      </c>
      <c r="G1645" s="5" t="s">
        <v>2633</v>
      </c>
      <c r="H1645" s="5">
        <v>63</v>
      </c>
      <c r="I1645" s="5">
        <f>IFERROR(INDEX(Raw_Orders!H1645:H4073,MATCH(B1645,Raw_Orders!A1645:A4073,0)),0)</f>
        <v>63</v>
      </c>
      <c r="J1645" s="5" t="str">
        <f t="shared" si="100"/>
        <v>No</v>
      </c>
      <c r="K1645" s="5" t="str">
        <f t="shared" si="101"/>
        <v>Yes</v>
      </c>
      <c r="L1645" s="5" t="str">
        <f t="shared" si="103"/>
        <v>No</v>
      </c>
      <c r="M1645" s="5">
        <f t="shared" si="102"/>
        <v>0</v>
      </c>
    </row>
    <row r="1646" spans="1:13" x14ac:dyDescent="0.3">
      <c r="A1646" s="2" t="s">
        <v>4275</v>
      </c>
      <c r="B1646" s="2" t="s">
        <v>1795</v>
      </c>
      <c r="C1646" s="2" t="s">
        <v>2601</v>
      </c>
      <c r="D1646" s="3">
        <v>45908</v>
      </c>
      <c r="E1646" s="3">
        <v>45918</v>
      </c>
      <c r="F1646" s="3">
        <v>45915</v>
      </c>
      <c r="G1646" s="2" t="s">
        <v>2627</v>
      </c>
      <c r="H1646" s="2">
        <v>11</v>
      </c>
      <c r="I1646" s="2">
        <f>IFERROR(INDEX(Raw_Orders!H1646:H4074,MATCH(B1646,Raw_Orders!A1646:A4074,0)),0)</f>
        <v>11</v>
      </c>
      <c r="J1646" s="2" t="str">
        <f t="shared" si="100"/>
        <v>Yes</v>
      </c>
      <c r="K1646" s="2" t="str">
        <f t="shared" si="101"/>
        <v>Yes</v>
      </c>
      <c r="L1646" s="2" t="str">
        <f t="shared" si="103"/>
        <v>Yes</v>
      </c>
      <c r="M1646" s="2">
        <f t="shared" si="102"/>
        <v>1</v>
      </c>
    </row>
    <row r="1647" spans="1:13" x14ac:dyDescent="0.3">
      <c r="A1647" s="5" t="s">
        <v>4276</v>
      </c>
      <c r="B1647" s="5" t="s">
        <v>1796</v>
      </c>
      <c r="C1647" s="5" t="s">
        <v>2604</v>
      </c>
      <c r="D1647" s="6">
        <v>45908</v>
      </c>
      <c r="E1647" s="6">
        <v>45913</v>
      </c>
      <c r="F1647" s="6">
        <v>45914</v>
      </c>
      <c r="G1647" s="5" t="s">
        <v>2641</v>
      </c>
      <c r="H1647" s="5">
        <v>19</v>
      </c>
      <c r="I1647" s="5">
        <f>IFERROR(INDEX(Raw_Orders!H1647:H4075,MATCH(B1647,Raw_Orders!A1647:A4075,0)),0)</f>
        <v>26</v>
      </c>
      <c r="J1647" s="5" t="str">
        <f t="shared" si="100"/>
        <v>No</v>
      </c>
      <c r="K1647" s="5" t="str">
        <f t="shared" si="101"/>
        <v>N0</v>
      </c>
      <c r="L1647" s="5" t="str">
        <f t="shared" si="103"/>
        <v>No</v>
      </c>
      <c r="M1647" s="5">
        <f t="shared" si="102"/>
        <v>0</v>
      </c>
    </row>
    <row r="1648" spans="1:13" x14ac:dyDescent="0.3">
      <c r="A1648" s="2" t="s">
        <v>4277</v>
      </c>
      <c r="B1648" s="2" t="s">
        <v>1797</v>
      </c>
      <c r="C1648" s="2" t="s">
        <v>2606</v>
      </c>
      <c r="D1648" s="3">
        <v>45909</v>
      </c>
      <c r="E1648" s="3">
        <v>45912</v>
      </c>
      <c r="F1648" s="3">
        <v>45915</v>
      </c>
      <c r="G1648" s="2" t="s">
        <v>2641</v>
      </c>
      <c r="H1648" s="2">
        <v>55</v>
      </c>
      <c r="I1648" s="2">
        <f>IFERROR(INDEX(Raw_Orders!H1648:H4076,MATCH(B1648,Raw_Orders!A1648:A4076,0)),0)</f>
        <v>55</v>
      </c>
      <c r="J1648" s="2" t="str">
        <f t="shared" si="100"/>
        <v>No</v>
      </c>
      <c r="K1648" s="2" t="str">
        <f t="shared" si="101"/>
        <v>Yes</v>
      </c>
      <c r="L1648" s="2" t="str">
        <f t="shared" si="103"/>
        <v>No</v>
      </c>
      <c r="M1648" s="2">
        <f t="shared" si="102"/>
        <v>0</v>
      </c>
    </row>
    <row r="1649" spans="1:13" x14ac:dyDescent="0.3">
      <c r="A1649" s="5" t="s">
        <v>4278</v>
      </c>
      <c r="B1649" s="5" t="s">
        <v>1798</v>
      </c>
      <c r="C1649" s="5" t="s">
        <v>2606</v>
      </c>
      <c r="D1649" s="6">
        <v>45908</v>
      </c>
      <c r="E1649" s="6">
        <v>45916</v>
      </c>
      <c r="F1649" s="6">
        <v>45914</v>
      </c>
      <c r="G1649" s="5" t="s">
        <v>2631</v>
      </c>
      <c r="H1649" s="5">
        <v>46</v>
      </c>
      <c r="I1649" s="5">
        <f>IFERROR(INDEX(Raw_Orders!H1649:H4077,MATCH(B1649,Raw_Orders!A1649:A4077,0)),0)</f>
        <v>46</v>
      </c>
      <c r="J1649" s="5" t="str">
        <f t="shared" si="100"/>
        <v>Yes</v>
      </c>
      <c r="K1649" s="5" t="str">
        <f t="shared" si="101"/>
        <v>Yes</v>
      </c>
      <c r="L1649" s="5" t="str">
        <f t="shared" si="103"/>
        <v>Yes</v>
      </c>
      <c r="M1649" s="5">
        <f t="shared" si="102"/>
        <v>1</v>
      </c>
    </row>
    <row r="1650" spans="1:13" x14ac:dyDescent="0.3">
      <c r="A1650" s="2" t="s">
        <v>4279</v>
      </c>
      <c r="B1650" s="2" t="s">
        <v>1799</v>
      </c>
      <c r="C1650" s="2" t="s">
        <v>2608</v>
      </c>
      <c r="D1650" s="3">
        <v>45909</v>
      </c>
      <c r="E1650" s="3">
        <v>45914</v>
      </c>
      <c r="F1650" s="3">
        <v>45922</v>
      </c>
      <c r="G1650" s="2" t="s">
        <v>2629</v>
      </c>
      <c r="H1650" s="2">
        <v>23</v>
      </c>
      <c r="I1650" s="2">
        <f>IFERROR(INDEX(Raw_Orders!H1650:H4078,MATCH(B1650,Raw_Orders!A1650:A4078,0)),0)</f>
        <v>23</v>
      </c>
      <c r="J1650" s="2" t="str">
        <f t="shared" si="100"/>
        <v>No</v>
      </c>
      <c r="K1650" s="2" t="str">
        <f t="shared" si="101"/>
        <v>Yes</v>
      </c>
      <c r="L1650" s="2" t="str">
        <f t="shared" si="103"/>
        <v>No</v>
      </c>
      <c r="M1650" s="2">
        <f t="shared" si="102"/>
        <v>0</v>
      </c>
    </row>
    <row r="1651" spans="1:13" x14ac:dyDescent="0.3">
      <c r="A1651" s="5" t="s">
        <v>4280</v>
      </c>
      <c r="B1651" s="5" t="s">
        <v>1800</v>
      </c>
      <c r="C1651" s="5" t="s">
        <v>2598</v>
      </c>
      <c r="D1651" s="6">
        <v>45910</v>
      </c>
      <c r="E1651" s="6">
        <v>45914</v>
      </c>
      <c r="F1651" s="6">
        <v>45922</v>
      </c>
      <c r="G1651" s="5" t="s">
        <v>2627</v>
      </c>
      <c r="H1651" s="5">
        <v>22</v>
      </c>
      <c r="I1651" s="5">
        <f>IFERROR(INDEX(Raw_Orders!H1651:H4079,MATCH(B1651,Raw_Orders!A1651:A4079,0)),0)</f>
        <v>22</v>
      </c>
      <c r="J1651" s="5" t="str">
        <f t="shared" si="100"/>
        <v>No</v>
      </c>
      <c r="K1651" s="5" t="str">
        <f t="shared" si="101"/>
        <v>Yes</v>
      </c>
      <c r="L1651" s="5" t="str">
        <f t="shared" si="103"/>
        <v>No</v>
      </c>
      <c r="M1651" s="5">
        <f t="shared" si="102"/>
        <v>0</v>
      </c>
    </row>
    <row r="1652" spans="1:13" x14ac:dyDescent="0.3">
      <c r="A1652" s="2" t="s">
        <v>4281</v>
      </c>
      <c r="B1652" s="2" t="s">
        <v>1801</v>
      </c>
      <c r="C1652" s="2" t="s">
        <v>2598</v>
      </c>
      <c r="D1652" s="3">
        <v>45909</v>
      </c>
      <c r="E1652" s="3">
        <v>45913</v>
      </c>
      <c r="F1652" s="3">
        <v>45922</v>
      </c>
      <c r="G1652" s="2" t="s">
        <v>2627</v>
      </c>
      <c r="H1652" s="2">
        <v>32</v>
      </c>
      <c r="I1652" s="2">
        <f>IFERROR(INDEX(Raw_Orders!H1652:H4080,MATCH(B1652,Raw_Orders!A1652:A4080,0)),0)</f>
        <v>32</v>
      </c>
      <c r="J1652" s="2" t="str">
        <f t="shared" si="100"/>
        <v>No</v>
      </c>
      <c r="K1652" s="2" t="str">
        <f t="shared" si="101"/>
        <v>Yes</v>
      </c>
      <c r="L1652" s="2" t="str">
        <f t="shared" si="103"/>
        <v>No</v>
      </c>
      <c r="M1652" s="2">
        <f t="shared" si="102"/>
        <v>0</v>
      </c>
    </row>
    <row r="1653" spans="1:13" x14ac:dyDescent="0.3">
      <c r="A1653" s="5" t="s">
        <v>4282</v>
      </c>
      <c r="B1653" s="5" t="s">
        <v>1802</v>
      </c>
      <c r="C1653" s="5" t="s">
        <v>2614</v>
      </c>
      <c r="D1653" s="6">
        <v>45909</v>
      </c>
      <c r="E1653" s="6">
        <v>45918</v>
      </c>
      <c r="F1653" s="6">
        <v>45924</v>
      </c>
      <c r="G1653" s="5" t="s">
        <v>2627</v>
      </c>
      <c r="H1653" s="5">
        <v>31</v>
      </c>
      <c r="I1653" s="5">
        <f>IFERROR(INDEX(Raw_Orders!H1653:H4081,MATCH(B1653,Raw_Orders!A1653:A4081,0)),0)</f>
        <v>31</v>
      </c>
      <c r="J1653" s="5" t="str">
        <f t="shared" si="100"/>
        <v>No</v>
      </c>
      <c r="K1653" s="5" t="str">
        <f t="shared" si="101"/>
        <v>Yes</v>
      </c>
      <c r="L1653" s="5" t="str">
        <f t="shared" si="103"/>
        <v>No</v>
      </c>
      <c r="M1653" s="5">
        <f t="shared" si="102"/>
        <v>0</v>
      </c>
    </row>
    <row r="1654" spans="1:13" x14ac:dyDescent="0.3">
      <c r="A1654" s="2" t="s">
        <v>4283</v>
      </c>
      <c r="B1654" s="2" t="s">
        <v>1803</v>
      </c>
      <c r="C1654" s="2" t="s">
        <v>2601</v>
      </c>
      <c r="D1654" s="3">
        <v>45911</v>
      </c>
      <c r="E1654" s="3">
        <v>45919</v>
      </c>
      <c r="F1654" s="3">
        <v>45916</v>
      </c>
      <c r="G1654" s="2" t="s">
        <v>2629</v>
      </c>
      <c r="H1654" s="2">
        <v>8</v>
      </c>
      <c r="I1654" s="2">
        <f>IFERROR(INDEX(Raw_Orders!H1654:H4082,MATCH(B1654,Raw_Orders!A1654:A4082,0)),0)</f>
        <v>9</v>
      </c>
      <c r="J1654" s="2" t="str">
        <f t="shared" si="100"/>
        <v>Yes</v>
      </c>
      <c r="K1654" s="2" t="str">
        <f t="shared" si="101"/>
        <v>N0</v>
      </c>
      <c r="L1654" s="2" t="str">
        <f t="shared" si="103"/>
        <v>No</v>
      </c>
      <c r="M1654" s="2">
        <f t="shared" si="102"/>
        <v>0</v>
      </c>
    </row>
    <row r="1655" spans="1:13" x14ac:dyDescent="0.3">
      <c r="A1655" s="5" t="s">
        <v>4284</v>
      </c>
      <c r="B1655" s="5" t="s">
        <v>1804</v>
      </c>
      <c r="C1655" s="5" t="s">
        <v>2616</v>
      </c>
      <c r="D1655" s="6">
        <v>45911</v>
      </c>
      <c r="E1655" s="6">
        <v>45914</v>
      </c>
      <c r="F1655" s="6">
        <v>45925</v>
      </c>
      <c r="G1655" s="5" t="s">
        <v>2627</v>
      </c>
      <c r="H1655" s="5">
        <v>1</v>
      </c>
      <c r="I1655" s="5">
        <f>IFERROR(INDEX(Raw_Orders!H1655:H4083,MATCH(B1655,Raw_Orders!A1655:A4083,0)),0)</f>
        <v>4</v>
      </c>
      <c r="J1655" s="5" t="str">
        <f t="shared" si="100"/>
        <v>No</v>
      </c>
      <c r="K1655" s="5" t="str">
        <f t="shared" si="101"/>
        <v>N0</v>
      </c>
      <c r="L1655" s="5" t="str">
        <f t="shared" si="103"/>
        <v>No</v>
      </c>
      <c r="M1655" s="5">
        <f t="shared" si="102"/>
        <v>0</v>
      </c>
    </row>
    <row r="1656" spans="1:13" x14ac:dyDescent="0.3">
      <c r="A1656" s="2" t="s">
        <v>4285</v>
      </c>
      <c r="B1656" s="2" t="s">
        <v>1805</v>
      </c>
      <c r="C1656" s="2" t="s">
        <v>2606</v>
      </c>
      <c r="D1656" s="3">
        <v>45911</v>
      </c>
      <c r="E1656" s="3">
        <v>45913</v>
      </c>
      <c r="F1656" s="3">
        <v>45919</v>
      </c>
      <c r="G1656" s="2" t="s">
        <v>2629</v>
      </c>
      <c r="H1656" s="2">
        <v>34</v>
      </c>
      <c r="I1656" s="2">
        <f>IFERROR(INDEX(Raw_Orders!H1656:H4084,MATCH(B1656,Raw_Orders!A1656:A4084,0)),0)</f>
        <v>34</v>
      </c>
      <c r="J1656" s="2" t="str">
        <f t="shared" si="100"/>
        <v>No</v>
      </c>
      <c r="K1656" s="2" t="str">
        <f t="shared" si="101"/>
        <v>Yes</v>
      </c>
      <c r="L1656" s="2" t="str">
        <f t="shared" si="103"/>
        <v>No</v>
      </c>
      <c r="M1656" s="2">
        <f t="shared" si="102"/>
        <v>0</v>
      </c>
    </row>
    <row r="1657" spans="1:13" x14ac:dyDescent="0.3">
      <c r="A1657" s="5" t="s">
        <v>4286</v>
      </c>
      <c r="B1657" s="5" t="s">
        <v>1806</v>
      </c>
      <c r="C1657" s="5" t="s">
        <v>2606</v>
      </c>
      <c r="D1657" s="6">
        <v>45911</v>
      </c>
      <c r="E1657" s="6">
        <v>45919</v>
      </c>
      <c r="F1657" s="6">
        <v>45917</v>
      </c>
      <c r="G1657" s="5" t="s">
        <v>2629</v>
      </c>
      <c r="H1657" s="5">
        <v>42</v>
      </c>
      <c r="I1657" s="5">
        <f>IFERROR(INDEX(Raw_Orders!H1657:H4085,MATCH(B1657,Raw_Orders!A1657:A4085,0)),0)</f>
        <v>42</v>
      </c>
      <c r="J1657" s="5" t="str">
        <f t="shared" si="100"/>
        <v>Yes</v>
      </c>
      <c r="K1657" s="5" t="str">
        <f t="shared" si="101"/>
        <v>Yes</v>
      </c>
      <c r="L1657" s="5" t="str">
        <f t="shared" si="103"/>
        <v>Yes</v>
      </c>
      <c r="M1657" s="5">
        <f t="shared" si="102"/>
        <v>1</v>
      </c>
    </row>
    <row r="1658" spans="1:13" x14ac:dyDescent="0.3">
      <c r="A1658" s="2" t="s">
        <v>4287</v>
      </c>
      <c r="B1658" s="2" t="s">
        <v>1807</v>
      </c>
      <c r="C1658" s="2" t="s">
        <v>2608</v>
      </c>
      <c r="D1658" s="3">
        <v>45910</v>
      </c>
      <c r="E1658" s="3">
        <v>45916</v>
      </c>
      <c r="F1658" s="3">
        <v>45924</v>
      </c>
      <c r="G1658" s="2" t="s">
        <v>2629</v>
      </c>
      <c r="H1658" s="2">
        <v>29</v>
      </c>
      <c r="I1658" s="2">
        <f>IFERROR(INDEX(Raw_Orders!H1658:H4086,MATCH(B1658,Raw_Orders!A1658:A4086,0)),0)</f>
        <v>29</v>
      </c>
      <c r="J1658" s="2" t="str">
        <f t="shared" si="100"/>
        <v>No</v>
      </c>
      <c r="K1658" s="2" t="str">
        <f t="shared" si="101"/>
        <v>Yes</v>
      </c>
      <c r="L1658" s="2" t="str">
        <f t="shared" si="103"/>
        <v>No</v>
      </c>
      <c r="M1658" s="2">
        <f t="shared" si="102"/>
        <v>0</v>
      </c>
    </row>
    <row r="1659" spans="1:13" x14ac:dyDescent="0.3">
      <c r="A1659" s="5" t="s">
        <v>4288</v>
      </c>
      <c r="B1659" s="5" t="s">
        <v>1808</v>
      </c>
      <c r="C1659" s="5" t="s">
        <v>2608</v>
      </c>
      <c r="D1659" s="6">
        <v>45909</v>
      </c>
      <c r="E1659" s="6">
        <v>45914</v>
      </c>
      <c r="F1659" s="6">
        <v>45926</v>
      </c>
      <c r="G1659" s="5" t="s">
        <v>2641</v>
      </c>
      <c r="H1659" s="5">
        <v>4</v>
      </c>
      <c r="I1659" s="5">
        <f>IFERROR(INDEX(Raw_Orders!H1659:H4087,MATCH(B1659,Raw_Orders!A1659:A4087,0)),0)</f>
        <v>11</v>
      </c>
      <c r="J1659" s="5" t="str">
        <f t="shared" si="100"/>
        <v>No</v>
      </c>
      <c r="K1659" s="5" t="str">
        <f t="shared" si="101"/>
        <v>N0</v>
      </c>
      <c r="L1659" s="5" t="str">
        <f t="shared" si="103"/>
        <v>No</v>
      </c>
      <c r="M1659" s="5">
        <f t="shared" si="102"/>
        <v>0</v>
      </c>
    </row>
    <row r="1660" spans="1:13" x14ac:dyDescent="0.3">
      <c r="A1660" s="2" t="s">
        <v>4289</v>
      </c>
      <c r="B1660" s="2" t="s">
        <v>1809</v>
      </c>
      <c r="C1660" s="2" t="s">
        <v>2611</v>
      </c>
      <c r="D1660" s="3">
        <v>45912</v>
      </c>
      <c r="E1660" s="3">
        <v>45917</v>
      </c>
      <c r="F1660" s="3">
        <v>45923</v>
      </c>
      <c r="G1660" s="2" t="s">
        <v>2629</v>
      </c>
      <c r="H1660" s="2">
        <v>17</v>
      </c>
      <c r="I1660" s="2">
        <f>IFERROR(INDEX(Raw_Orders!H1660:H4088,MATCH(B1660,Raw_Orders!A1660:A4088,0)),0)</f>
        <v>17</v>
      </c>
      <c r="J1660" s="2" t="str">
        <f t="shared" si="100"/>
        <v>No</v>
      </c>
      <c r="K1660" s="2" t="str">
        <f t="shared" si="101"/>
        <v>Yes</v>
      </c>
      <c r="L1660" s="2" t="str">
        <f t="shared" si="103"/>
        <v>No</v>
      </c>
      <c r="M1660" s="2">
        <f t="shared" si="102"/>
        <v>0</v>
      </c>
    </row>
    <row r="1661" spans="1:13" x14ac:dyDescent="0.3">
      <c r="A1661" s="5" t="s">
        <v>4290</v>
      </c>
      <c r="B1661" s="5" t="s">
        <v>1810</v>
      </c>
      <c r="C1661" s="5" t="s">
        <v>2616</v>
      </c>
      <c r="D1661" s="6">
        <v>45911</v>
      </c>
      <c r="E1661" s="6">
        <v>45919</v>
      </c>
      <c r="F1661" s="6">
        <v>45928</v>
      </c>
      <c r="G1661" s="5" t="s">
        <v>2627</v>
      </c>
      <c r="H1661" s="5">
        <v>30</v>
      </c>
      <c r="I1661" s="5">
        <f>IFERROR(INDEX(Raw_Orders!H1661:H4089,MATCH(B1661,Raw_Orders!A1661:A4089,0)),0)</f>
        <v>38</v>
      </c>
      <c r="J1661" s="5" t="str">
        <f t="shared" si="100"/>
        <v>No</v>
      </c>
      <c r="K1661" s="5" t="str">
        <f t="shared" si="101"/>
        <v>N0</v>
      </c>
      <c r="L1661" s="5" t="str">
        <f t="shared" si="103"/>
        <v>No</v>
      </c>
      <c r="M1661" s="5">
        <f t="shared" si="102"/>
        <v>0</v>
      </c>
    </row>
    <row r="1662" spans="1:13" x14ac:dyDescent="0.3">
      <c r="A1662" s="2" t="s">
        <v>4291</v>
      </c>
      <c r="B1662" s="2" t="s">
        <v>1811</v>
      </c>
      <c r="C1662" s="2" t="s">
        <v>2616</v>
      </c>
      <c r="D1662" s="3">
        <v>45912</v>
      </c>
      <c r="E1662" s="3">
        <v>45918</v>
      </c>
      <c r="F1662" s="3">
        <v>45927</v>
      </c>
      <c r="G1662" s="2" t="s">
        <v>2641</v>
      </c>
      <c r="H1662" s="2">
        <v>20</v>
      </c>
      <c r="I1662" s="2">
        <f>IFERROR(INDEX(Raw_Orders!H1662:H4090,MATCH(B1662,Raw_Orders!A1662:A4090,0)),0)</f>
        <v>20</v>
      </c>
      <c r="J1662" s="2" t="str">
        <f t="shared" si="100"/>
        <v>No</v>
      </c>
      <c r="K1662" s="2" t="str">
        <f t="shared" si="101"/>
        <v>Yes</v>
      </c>
      <c r="L1662" s="2" t="str">
        <f t="shared" si="103"/>
        <v>No</v>
      </c>
      <c r="M1662" s="2">
        <f t="shared" si="102"/>
        <v>0</v>
      </c>
    </row>
    <row r="1663" spans="1:13" x14ac:dyDescent="0.3">
      <c r="A1663" s="5" t="s">
        <v>4292</v>
      </c>
      <c r="B1663" s="5" t="s">
        <v>1812</v>
      </c>
      <c r="C1663" s="5" t="s">
        <v>2606</v>
      </c>
      <c r="D1663" s="6">
        <v>45912</v>
      </c>
      <c r="E1663" s="6">
        <v>45914</v>
      </c>
      <c r="F1663" s="6">
        <v>45918</v>
      </c>
      <c r="G1663" s="5" t="s">
        <v>2631</v>
      </c>
      <c r="H1663" s="5">
        <v>31</v>
      </c>
      <c r="I1663" s="5">
        <f>IFERROR(INDEX(Raw_Orders!H1663:H4091,MATCH(B1663,Raw_Orders!A1663:A4091,0)),0)</f>
        <v>31</v>
      </c>
      <c r="J1663" s="5" t="str">
        <f t="shared" si="100"/>
        <v>No</v>
      </c>
      <c r="K1663" s="5" t="str">
        <f t="shared" si="101"/>
        <v>Yes</v>
      </c>
      <c r="L1663" s="5" t="str">
        <f t="shared" si="103"/>
        <v>No</v>
      </c>
      <c r="M1663" s="5">
        <f t="shared" si="102"/>
        <v>0</v>
      </c>
    </row>
    <row r="1664" spans="1:13" x14ac:dyDescent="0.3">
      <c r="A1664" s="2" t="s">
        <v>4293</v>
      </c>
      <c r="B1664" s="2" t="s">
        <v>1813</v>
      </c>
      <c r="C1664" s="2" t="s">
        <v>2606</v>
      </c>
      <c r="D1664" s="3">
        <v>45912</v>
      </c>
      <c r="E1664" s="3">
        <v>45914</v>
      </c>
      <c r="F1664" s="3">
        <v>45919</v>
      </c>
      <c r="G1664" s="2" t="s">
        <v>2627</v>
      </c>
      <c r="H1664" s="2">
        <v>51</v>
      </c>
      <c r="I1664" s="2">
        <f>IFERROR(INDEX(Raw_Orders!H1664:H4092,MATCH(B1664,Raw_Orders!A1664:A4092,0)),0)</f>
        <v>51</v>
      </c>
      <c r="J1664" s="2" t="str">
        <f t="shared" si="100"/>
        <v>No</v>
      </c>
      <c r="K1664" s="2" t="str">
        <f t="shared" si="101"/>
        <v>Yes</v>
      </c>
      <c r="L1664" s="2" t="str">
        <f t="shared" si="103"/>
        <v>No</v>
      </c>
      <c r="M1664" s="2">
        <f t="shared" si="102"/>
        <v>0</v>
      </c>
    </row>
    <row r="1665" spans="1:13" x14ac:dyDescent="0.3">
      <c r="A1665" s="5" t="s">
        <v>4294</v>
      </c>
      <c r="B1665" s="5" t="s">
        <v>1814</v>
      </c>
      <c r="C1665" s="5" t="s">
        <v>2608</v>
      </c>
      <c r="D1665" s="6">
        <v>45911</v>
      </c>
      <c r="E1665" s="6">
        <v>45913</v>
      </c>
      <c r="F1665" s="6">
        <v>45925</v>
      </c>
      <c r="G1665" s="5" t="s">
        <v>2631</v>
      </c>
      <c r="H1665" s="5">
        <v>30</v>
      </c>
      <c r="I1665" s="5">
        <f>IFERROR(INDEX(Raw_Orders!H1665:H4093,MATCH(B1665,Raw_Orders!A1665:A4093,0)),0)</f>
        <v>30</v>
      </c>
      <c r="J1665" s="5" t="str">
        <f t="shared" si="100"/>
        <v>No</v>
      </c>
      <c r="K1665" s="5" t="str">
        <f t="shared" si="101"/>
        <v>Yes</v>
      </c>
      <c r="L1665" s="5" t="str">
        <f t="shared" si="103"/>
        <v>No</v>
      </c>
      <c r="M1665" s="5">
        <f t="shared" si="102"/>
        <v>0</v>
      </c>
    </row>
    <row r="1666" spans="1:13" x14ac:dyDescent="0.3">
      <c r="A1666" s="2" t="s">
        <v>4295</v>
      </c>
      <c r="B1666" s="2" t="s">
        <v>1815</v>
      </c>
      <c r="C1666" s="2" t="s">
        <v>2608</v>
      </c>
      <c r="D1666" s="3">
        <v>45910</v>
      </c>
      <c r="E1666" s="3">
        <v>45916</v>
      </c>
      <c r="F1666" s="3">
        <v>45924</v>
      </c>
      <c r="G1666" s="2" t="s">
        <v>2627</v>
      </c>
      <c r="H1666" s="2">
        <v>7</v>
      </c>
      <c r="I1666" s="2">
        <f>IFERROR(INDEX(Raw_Orders!H1666:H4094,MATCH(B1666,Raw_Orders!A1666:A4094,0)),0)</f>
        <v>7</v>
      </c>
      <c r="J1666" s="2" t="str">
        <f t="shared" si="100"/>
        <v>No</v>
      </c>
      <c r="K1666" s="2" t="str">
        <f t="shared" si="101"/>
        <v>Yes</v>
      </c>
      <c r="L1666" s="2" t="str">
        <f t="shared" si="103"/>
        <v>No</v>
      </c>
      <c r="M1666" s="2">
        <f t="shared" si="102"/>
        <v>0</v>
      </c>
    </row>
    <row r="1667" spans="1:13" x14ac:dyDescent="0.3">
      <c r="A1667" s="5" t="s">
        <v>4296</v>
      </c>
      <c r="B1667" s="5" t="s">
        <v>1816</v>
      </c>
      <c r="C1667" s="5" t="s">
        <v>2611</v>
      </c>
      <c r="D1667" s="6">
        <v>45911</v>
      </c>
      <c r="E1667" s="6">
        <v>45917</v>
      </c>
      <c r="F1667" s="6">
        <v>45922</v>
      </c>
      <c r="G1667" s="5" t="s">
        <v>2641</v>
      </c>
      <c r="H1667" s="5">
        <v>44</v>
      </c>
      <c r="I1667" s="5">
        <f>IFERROR(INDEX(Raw_Orders!H1667:H4095,MATCH(B1667,Raw_Orders!A1667:A4095,0)),0)</f>
        <v>44</v>
      </c>
      <c r="J1667" s="5" t="str">
        <f t="shared" ref="J1667:J1730" si="104">IF(E1667&gt;=F1667,"Yes","No")</f>
        <v>No</v>
      </c>
      <c r="K1667" s="5" t="str">
        <f t="shared" ref="K1667:K1730" si="105">IF(H1667&gt;=I1667,"Yes","N0")</f>
        <v>Yes</v>
      </c>
      <c r="L1667" s="5" t="str">
        <f t="shared" si="103"/>
        <v>No</v>
      </c>
      <c r="M1667" s="5">
        <f t="shared" ref="M1667:M1730" si="106">IF(L1667="Yes",1,0)</f>
        <v>0</v>
      </c>
    </row>
    <row r="1668" spans="1:13" x14ac:dyDescent="0.3">
      <c r="A1668" s="2" t="s">
        <v>4297</v>
      </c>
      <c r="B1668" s="2" t="s">
        <v>1817</v>
      </c>
      <c r="C1668" s="2" t="s">
        <v>2601</v>
      </c>
      <c r="D1668" s="3">
        <v>45912</v>
      </c>
      <c r="E1668" s="3">
        <v>45920</v>
      </c>
      <c r="F1668" s="3">
        <v>45921</v>
      </c>
      <c r="G1668" s="2" t="s">
        <v>2627</v>
      </c>
      <c r="H1668" s="2">
        <v>28</v>
      </c>
      <c r="I1668" s="2">
        <f>IFERROR(INDEX(Raw_Orders!H1668:H4096,MATCH(B1668,Raw_Orders!A1668:A4096,0)),0)</f>
        <v>28</v>
      </c>
      <c r="J1668" s="2" t="str">
        <f t="shared" si="104"/>
        <v>No</v>
      </c>
      <c r="K1668" s="2" t="str">
        <f t="shared" si="105"/>
        <v>Yes</v>
      </c>
      <c r="L1668" s="2" t="str">
        <f t="shared" ref="L1668:L1731" si="107">IF(AND(J1668="Yes",K1668="Yes"),"Yes","No")</f>
        <v>No</v>
      </c>
      <c r="M1668" s="2">
        <f t="shared" si="106"/>
        <v>0</v>
      </c>
    </row>
    <row r="1669" spans="1:13" x14ac:dyDescent="0.3">
      <c r="A1669" s="5" t="s">
        <v>4298</v>
      </c>
      <c r="B1669" s="5" t="s">
        <v>1818</v>
      </c>
      <c r="C1669" s="5" t="s">
        <v>2604</v>
      </c>
      <c r="D1669" s="6">
        <v>45911</v>
      </c>
      <c r="E1669" s="6">
        <v>45915</v>
      </c>
      <c r="F1669" s="6">
        <v>45915</v>
      </c>
      <c r="G1669" s="5" t="s">
        <v>2631</v>
      </c>
      <c r="H1669" s="5">
        <v>6</v>
      </c>
      <c r="I1669" s="5">
        <f>IFERROR(INDEX(Raw_Orders!H1669:H4097,MATCH(B1669,Raw_Orders!A1669:A4097,0)),0)</f>
        <v>6</v>
      </c>
      <c r="J1669" s="5" t="str">
        <f t="shared" si="104"/>
        <v>Yes</v>
      </c>
      <c r="K1669" s="5" t="str">
        <f t="shared" si="105"/>
        <v>Yes</v>
      </c>
      <c r="L1669" s="5" t="str">
        <f t="shared" si="107"/>
        <v>Yes</v>
      </c>
      <c r="M1669" s="5">
        <f t="shared" si="106"/>
        <v>1</v>
      </c>
    </row>
    <row r="1670" spans="1:13" x14ac:dyDescent="0.3">
      <c r="A1670" s="2" t="s">
        <v>4299</v>
      </c>
      <c r="B1670" s="2" t="s">
        <v>1819</v>
      </c>
      <c r="C1670" s="2" t="s">
        <v>2616</v>
      </c>
      <c r="D1670" s="3">
        <v>45912</v>
      </c>
      <c r="E1670" s="3">
        <v>45917</v>
      </c>
      <c r="F1670" s="3">
        <v>45926</v>
      </c>
      <c r="G1670" s="2" t="s">
        <v>2631</v>
      </c>
      <c r="H1670" s="2">
        <v>20</v>
      </c>
      <c r="I1670" s="2">
        <f>IFERROR(INDEX(Raw_Orders!H1670:H4098,MATCH(B1670,Raw_Orders!A1670:A4098,0)),0)</f>
        <v>23</v>
      </c>
      <c r="J1670" s="2" t="str">
        <f t="shared" si="104"/>
        <v>No</v>
      </c>
      <c r="K1670" s="2" t="str">
        <f t="shared" si="105"/>
        <v>N0</v>
      </c>
      <c r="L1670" s="2" t="str">
        <f t="shared" si="107"/>
        <v>No</v>
      </c>
      <c r="M1670" s="2">
        <f t="shared" si="106"/>
        <v>0</v>
      </c>
    </row>
    <row r="1671" spans="1:13" x14ac:dyDescent="0.3">
      <c r="A1671" s="5" t="s">
        <v>4300</v>
      </c>
      <c r="B1671" s="5" t="s">
        <v>1820</v>
      </c>
      <c r="C1671" s="5" t="s">
        <v>2606</v>
      </c>
      <c r="D1671" s="6">
        <v>45913</v>
      </c>
      <c r="E1671" s="6">
        <v>45914</v>
      </c>
      <c r="F1671" s="6">
        <v>45923</v>
      </c>
      <c r="G1671" s="5" t="s">
        <v>2627</v>
      </c>
      <c r="H1671" s="5">
        <v>63</v>
      </c>
      <c r="I1671" s="5">
        <f>IFERROR(INDEX(Raw_Orders!H1671:H4099,MATCH(B1671,Raw_Orders!A1671:A4099,0)),0)</f>
        <v>63</v>
      </c>
      <c r="J1671" s="5" t="str">
        <f t="shared" si="104"/>
        <v>No</v>
      </c>
      <c r="K1671" s="5" t="str">
        <f t="shared" si="105"/>
        <v>Yes</v>
      </c>
      <c r="L1671" s="5" t="str">
        <f t="shared" si="107"/>
        <v>No</v>
      </c>
      <c r="M1671" s="5">
        <f t="shared" si="106"/>
        <v>0</v>
      </c>
    </row>
    <row r="1672" spans="1:13" x14ac:dyDescent="0.3">
      <c r="A1672" s="2" t="s">
        <v>4301</v>
      </c>
      <c r="B1672" s="2" t="s">
        <v>1821</v>
      </c>
      <c r="C1672" s="2" t="s">
        <v>2606</v>
      </c>
      <c r="D1672" s="3">
        <v>45913</v>
      </c>
      <c r="E1672" s="3">
        <v>45914</v>
      </c>
      <c r="F1672" s="3">
        <v>45919</v>
      </c>
      <c r="G1672" s="2" t="s">
        <v>2633</v>
      </c>
      <c r="H1672" s="2">
        <v>30</v>
      </c>
      <c r="I1672" s="2">
        <f>IFERROR(INDEX(Raw_Orders!H1672:H4100,MATCH(B1672,Raw_Orders!A1672:A4100,0)),0)</f>
        <v>30</v>
      </c>
      <c r="J1672" s="2" t="str">
        <f t="shared" si="104"/>
        <v>No</v>
      </c>
      <c r="K1672" s="2" t="str">
        <f t="shared" si="105"/>
        <v>Yes</v>
      </c>
      <c r="L1672" s="2" t="str">
        <f t="shared" si="107"/>
        <v>No</v>
      </c>
      <c r="M1672" s="2">
        <f t="shared" si="106"/>
        <v>0</v>
      </c>
    </row>
    <row r="1673" spans="1:13" x14ac:dyDescent="0.3">
      <c r="A1673" s="5" t="s">
        <v>4302</v>
      </c>
      <c r="B1673" s="5" t="s">
        <v>1822</v>
      </c>
      <c r="C1673" s="5" t="s">
        <v>2598</v>
      </c>
      <c r="D1673" s="6">
        <v>45914</v>
      </c>
      <c r="E1673" s="6">
        <v>45921</v>
      </c>
      <c r="F1673" s="6">
        <v>45926</v>
      </c>
      <c r="G1673" s="5" t="s">
        <v>2629</v>
      </c>
      <c r="H1673" s="5">
        <v>38</v>
      </c>
      <c r="I1673" s="5">
        <f>IFERROR(INDEX(Raw_Orders!H1673:H4101,MATCH(B1673,Raw_Orders!A1673:A4101,0)),0)</f>
        <v>38</v>
      </c>
      <c r="J1673" s="5" t="str">
        <f t="shared" si="104"/>
        <v>No</v>
      </c>
      <c r="K1673" s="5" t="str">
        <f t="shared" si="105"/>
        <v>Yes</v>
      </c>
      <c r="L1673" s="5" t="str">
        <f t="shared" si="107"/>
        <v>No</v>
      </c>
      <c r="M1673" s="5">
        <f t="shared" si="106"/>
        <v>0</v>
      </c>
    </row>
    <row r="1674" spans="1:13" x14ac:dyDescent="0.3">
      <c r="A1674" s="2" t="s">
        <v>4303</v>
      </c>
      <c r="B1674" s="2" t="s">
        <v>1823</v>
      </c>
      <c r="C1674" s="2" t="s">
        <v>2611</v>
      </c>
      <c r="D1674" s="3">
        <v>45914</v>
      </c>
      <c r="E1674" s="3">
        <v>45920</v>
      </c>
      <c r="F1674" s="3">
        <v>45923</v>
      </c>
      <c r="G1674" s="2" t="s">
        <v>2641</v>
      </c>
      <c r="H1674" s="2">
        <v>43</v>
      </c>
      <c r="I1674" s="2">
        <f>IFERROR(INDEX(Raw_Orders!H1674:H4102,MATCH(B1674,Raw_Orders!A1674:A4102,0)),0)</f>
        <v>43</v>
      </c>
      <c r="J1674" s="2" t="str">
        <f t="shared" si="104"/>
        <v>No</v>
      </c>
      <c r="K1674" s="2" t="str">
        <f t="shared" si="105"/>
        <v>Yes</v>
      </c>
      <c r="L1674" s="2" t="str">
        <f t="shared" si="107"/>
        <v>No</v>
      </c>
      <c r="M1674" s="2">
        <f t="shared" si="106"/>
        <v>0</v>
      </c>
    </row>
    <row r="1675" spans="1:13" x14ac:dyDescent="0.3">
      <c r="A1675" s="5" t="s">
        <v>4304</v>
      </c>
      <c r="B1675" s="5" t="s">
        <v>1824</v>
      </c>
      <c r="C1675" s="5" t="s">
        <v>2604</v>
      </c>
      <c r="D1675" s="6">
        <v>45912</v>
      </c>
      <c r="E1675" s="6">
        <v>45918</v>
      </c>
      <c r="F1675" s="6">
        <v>45920</v>
      </c>
      <c r="G1675" s="5" t="s">
        <v>2631</v>
      </c>
      <c r="H1675" s="5">
        <v>12</v>
      </c>
      <c r="I1675" s="5">
        <f>IFERROR(INDEX(Raw_Orders!H1675:H4103,MATCH(B1675,Raw_Orders!A1675:A4103,0)),0)</f>
        <v>12</v>
      </c>
      <c r="J1675" s="5" t="str">
        <f t="shared" si="104"/>
        <v>No</v>
      </c>
      <c r="K1675" s="5" t="str">
        <f t="shared" si="105"/>
        <v>Yes</v>
      </c>
      <c r="L1675" s="5" t="str">
        <f t="shared" si="107"/>
        <v>No</v>
      </c>
      <c r="M1675" s="5">
        <f t="shared" si="106"/>
        <v>0</v>
      </c>
    </row>
    <row r="1676" spans="1:13" x14ac:dyDescent="0.3">
      <c r="A1676" s="2" t="s">
        <v>4305</v>
      </c>
      <c r="B1676" s="2" t="s">
        <v>1825</v>
      </c>
      <c r="C1676" s="2" t="s">
        <v>2616</v>
      </c>
      <c r="D1676" s="3">
        <v>45913</v>
      </c>
      <c r="E1676" s="3">
        <v>45920</v>
      </c>
      <c r="F1676" s="3">
        <v>45928</v>
      </c>
      <c r="G1676" s="2" t="s">
        <v>2627</v>
      </c>
      <c r="H1676" s="2">
        <v>31</v>
      </c>
      <c r="I1676" s="2">
        <f>IFERROR(INDEX(Raw_Orders!H1676:H4104,MATCH(B1676,Raw_Orders!A1676:A4104,0)),0)</f>
        <v>34</v>
      </c>
      <c r="J1676" s="2" t="str">
        <f t="shared" si="104"/>
        <v>No</v>
      </c>
      <c r="K1676" s="2" t="str">
        <f t="shared" si="105"/>
        <v>N0</v>
      </c>
      <c r="L1676" s="2" t="str">
        <f t="shared" si="107"/>
        <v>No</v>
      </c>
      <c r="M1676" s="2">
        <f t="shared" si="106"/>
        <v>0</v>
      </c>
    </row>
    <row r="1677" spans="1:13" x14ac:dyDescent="0.3">
      <c r="A1677" s="5" t="s">
        <v>4306</v>
      </c>
      <c r="B1677" s="5" t="s">
        <v>1826</v>
      </c>
      <c r="C1677" s="5" t="s">
        <v>2616</v>
      </c>
      <c r="D1677" s="6">
        <v>45914</v>
      </c>
      <c r="E1677" s="6">
        <v>45918</v>
      </c>
      <c r="F1677" s="6">
        <v>45929</v>
      </c>
      <c r="G1677" s="5" t="s">
        <v>2629</v>
      </c>
      <c r="H1677" s="5">
        <v>18</v>
      </c>
      <c r="I1677" s="5">
        <f>IFERROR(INDEX(Raw_Orders!H1677:H4105,MATCH(B1677,Raw_Orders!A1677:A4105,0)),0)</f>
        <v>18</v>
      </c>
      <c r="J1677" s="5" t="str">
        <f t="shared" si="104"/>
        <v>No</v>
      </c>
      <c r="K1677" s="5" t="str">
        <f t="shared" si="105"/>
        <v>Yes</v>
      </c>
      <c r="L1677" s="5" t="str">
        <f t="shared" si="107"/>
        <v>No</v>
      </c>
      <c r="M1677" s="5">
        <f t="shared" si="106"/>
        <v>0</v>
      </c>
    </row>
    <row r="1678" spans="1:13" x14ac:dyDescent="0.3">
      <c r="A1678" s="2" t="s">
        <v>4307</v>
      </c>
      <c r="B1678" s="2" t="s">
        <v>1827</v>
      </c>
      <c r="C1678" s="2" t="s">
        <v>2606</v>
      </c>
      <c r="D1678" s="3">
        <v>45914</v>
      </c>
      <c r="E1678" s="3">
        <v>45917</v>
      </c>
      <c r="F1678" s="3">
        <v>45924</v>
      </c>
      <c r="G1678" s="2" t="s">
        <v>2641</v>
      </c>
      <c r="H1678" s="2">
        <v>31</v>
      </c>
      <c r="I1678" s="2">
        <f>IFERROR(INDEX(Raw_Orders!H1678:H4106,MATCH(B1678,Raw_Orders!A1678:A4106,0)),0)</f>
        <v>31</v>
      </c>
      <c r="J1678" s="2" t="str">
        <f t="shared" si="104"/>
        <v>No</v>
      </c>
      <c r="K1678" s="2" t="str">
        <f t="shared" si="105"/>
        <v>Yes</v>
      </c>
      <c r="L1678" s="2" t="str">
        <f t="shared" si="107"/>
        <v>No</v>
      </c>
      <c r="M1678" s="2">
        <f t="shared" si="106"/>
        <v>0</v>
      </c>
    </row>
    <row r="1679" spans="1:13" x14ac:dyDescent="0.3">
      <c r="A1679" s="5" t="s">
        <v>4308</v>
      </c>
      <c r="B1679" s="5" t="s">
        <v>1828</v>
      </c>
      <c r="C1679" s="5" t="s">
        <v>2608</v>
      </c>
      <c r="D1679" s="6">
        <v>45912</v>
      </c>
      <c r="E1679" s="6">
        <v>45922</v>
      </c>
      <c r="F1679" s="6">
        <v>45925</v>
      </c>
      <c r="G1679" s="5" t="s">
        <v>2631</v>
      </c>
      <c r="H1679" s="5">
        <v>6</v>
      </c>
      <c r="I1679" s="5">
        <f>IFERROR(INDEX(Raw_Orders!H1679:H4107,MATCH(B1679,Raw_Orders!A1679:A4107,0)),0)</f>
        <v>6</v>
      </c>
      <c r="J1679" s="5" t="str">
        <f t="shared" si="104"/>
        <v>No</v>
      </c>
      <c r="K1679" s="5" t="str">
        <f t="shared" si="105"/>
        <v>Yes</v>
      </c>
      <c r="L1679" s="5" t="str">
        <f t="shared" si="107"/>
        <v>No</v>
      </c>
      <c r="M1679" s="5">
        <f t="shared" si="106"/>
        <v>0</v>
      </c>
    </row>
    <row r="1680" spans="1:13" x14ac:dyDescent="0.3">
      <c r="A1680" s="2" t="s">
        <v>4309</v>
      </c>
      <c r="B1680" s="2" t="s">
        <v>1829</v>
      </c>
      <c r="C1680" s="2" t="s">
        <v>2608</v>
      </c>
      <c r="D1680" s="3">
        <v>45912</v>
      </c>
      <c r="E1680" s="3">
        <v>45916</v>
      </c>
      <c r="F1680" s="3">
        <v>45925</v>
      </c>
      <c r="G1680" s="2" t="s">
        <v>2627</v>
      </c>
      <c r="H1680" s="2">
        <v>4</v>
      </c>
      <c r="I1680" s="2">
        <f>IFERROR(INDEX(Raw_Orders!H1680:H4108,MATCH(B1680,Raw_Orders!A1680:A4108,0)),0)</f>
        <v>4</v>
      </c>
      <c r="J1680" s="2" t="str">
        <f t="shared" si="104"/>
        <v>No</v>
      </c>
      <c r="K1680" s="2" t="str">
        <f t="shared" si="105"/>
        <v>Yes</v>
      </c>
      <c r="L1680" s="2" t="str">
        <f t="shared" si="107"/>
        <v>No</v>
      </c>
      <c r="M1680" s="2">
        <f t="shared" si="106"/>
        <v>0</v>
      </c>
    </row>
    <row r="1681" spans="1:13" x14ac:dyDescent="0.3">
      <c r="A1681" s="5" t="s">
        <v>4310</v>
      </c>
      <c r="B1681" s="5" t="s">
        <v>1830</v>
      </c>
      <c r="C1681" s="5" t="s">
        <v>2598</v>
      </c>
      <c r="D1681" s="6">
        <v>45914</v>
      </c>
      <c r="E1681" s="6">
        <v>45916</v>
      </c>
      <c r="F1681" s="6">
        <v>45928</v>
      </c>
      <c r="G1681" s="5" t="s">
        <v>2641</v>
      </c>
      <c r="H1681" s="5">
        <v>22</v>
      </c>
      <c r="I1681" s="5">
        <f>IFERROR(INDEX(Raw_Orders!H1681:H4109,MATCH(B1681,Raw_Orders!A1681:A4109,0)),0)</f>
        <v>24</v>
      </c>
      <c r="J1681" s="5" t="str">
        <f t="shared" si="104"/>
        <v>No</v>
      </c>
      <c r="K1681" s="5" t="str">
        <f t="shared" si="105"/>
        <v>N0</v>
      </c>
      <c r="L1681" s="5" t="str">
        <f t="shared" si="107"/>
        <v>No</v>
      </c>
      <c r="M1681" s="5">
        <f t="shared" si="106"/>
        <v>0</v>
      </c>
    </row>
    <row r="1682" spans="1:13" x14ac:dyDescent="0.3">
      <c r="A1682" s="2" t="s">
        <v>4311</v>
      </c>
      <c r="B1682" s="2" t="s">
        <v>1831</v>
      </c>
      <c r="C1682" s="2" t="s">
        <v>2611</v>
      </c>
      <c r="D1682" s="3">
        <v>45915</v>
      </c>
      <c r="E1682" s="3">
        <v>45922</v>
      </c>
      <c r="F1682" s="3">
        <v>45924</v>
      </c>
      <c r="G1682" s="2" t="s">
        <v>2627</v>
      </c>
      <c r="H1682" s="2">
        <v>37</v>
      </c>
      <c r="I1682" s="2">
        <f>IFERROR(INDEX(Raw_Orders!H1682:H4110,MATCH(B1682,Raw_Orders!A1682:A4110,0)),0)</f>
        <v>37</v>
      </c>
      <c r="J1682" s="2" t="str">
        <f t="shared" si="104"/>
        <v>No</v>
      </c>
      <c r="K1682" s="2" t="str">
        <f t="shared" si="105"/>
        <v>Yes</v>
      </c>
      <c r="L1682" s="2" t="str">
        <f t="shared" si="107"/>
        <v>No</v>
      </c>
      <c r="M1682" s="2">
        <f t="shared" si="106"/>
        <v>0</v>
      </c>
    </row>
    <row r="1683" spans="1:13" x14ac:dyDescent="0.3">
      <c r="A1683" s="5" t="s">
        <v>4312</v>
      </c>
      <c r="B1683" s="5" t="s">
        <v>1832</v>
      </c>
      <c r="C1683" s="5" t="s">
        <v>2614</v>
      </c>
      <c r="D1683" s="6">
        <v>45915</v>
      </c>
      <c r="E1683" s="6">
        <v>45921</v>
      </c>
      <c r="F1683" s="6">
        <v>45930</v>
      </c>
      <c r="G1683" s="5" t="s">
        <v>2627</v>
      </c>
      <c r="H1683" s="5">
        <v>36</v>
      </c>
      <c r="I1683" s="5">
        <f>IFERROR(INDEX(Raw_Orders!H1683:H4111,MATCH(B1683,Raw_Orders!A1683:A4111,0)),0)</f>
        <v>36</v>
      </c>
      <c r="J1683" s="5" t="str">
        <f t="shared" si="104"/>
        <v>No</v>
      </c>
      <c r="K1683" s="5" t="str">
        <f t="shared" si="105"/>
        <v>Yes</v>
      </c>
      <c r="L1683" s="5" t="str">
        <f t="shared" si="107"/>
        <v>No</v>
      </c>
      <c r="M1683" s="5">
        <f t="shared" si="106"/>
        <v>0</v>
      </c>
    </row>
    <row r="1684" spans="1:13" x14ac:dyDescent="0.3">
      <c r="A1684" s="2" t="s">
        <v>4313</v>
      </c>
      <c r="B1684" s="2" t="s">
        <v>1833</v>
      </c>
      <c r="C1684" s="2" t="s">
        <v>2606</v>
      </c>
      <c r="D1684" s="3">
        <v>45913</v>
      </c>
      <c r="E1684" s="3">
        <v>45922</v>
      </c>
      <c r="F1684" s="3">
        <v>45923</v>
      </c>
      <c r="G1684" s="2" t="s">
        <v>2631</v>
      </c>
      <c r="H1684" s="2">
        <v>45</v>
      </c>
      <c r="I1684" s="2">
        <f>IFERROR(INDEX(Raw_Orders!H1684:H4112,MATCH(B1684,Raw_Orders!A1684:A4112,0)),0)</f>
        <v>45</v>
      </c>
      <c r="J1684" s="2" t="str">
        <f t="shared" si="104"/>
        <v>No</v>
      </c>
      <c r="K1684" s="2" t="str">
        <f t="shared" si="105"/>
        <v>Yes</v>
      </c>
      <c r="L1684" s="2" t="str">
        <f t="shared" si="107"/>
        <v>No</v>
      </c>
      <c r="M1684" s="2">
        <f t="shared" si="106"/>
        <v>0</v>
      </c>
    </row>
    <row r="1685" spans="1:13" x14ac:dyDescent="0.3">
      <c r="A1685" s="5" t="s">
        <v>4314</v>
      </c>
      <c r="B1685" s="5" t="s">
        <v>1834</v>
      </c>
      <c r="C1685" s="5" t="s">
        <v>2611</v>
      </c>
      <c r="D1685" s="6">
        <v>45916</v>
      </c>
      <c r="E1685" s="6">
        <v>45924</v>
      </c>
      <c r="F1685" s="6">
        <v>45923</v>
      </c>
      <c r="G1685" s="5" t="s">
        <v>2631</v>
      </c>
      <c r="H1685" s="5">
        <v>22</v>
      </c>
      <c r="I1685" s="5">
        <f>IFERROR(INDEX(Raw_Orders!H1685:H4113,MATCH(B1685,Raw_Orders!A1685:A4113,0)),0)</f>
        <v>22</v>
      </c>
      <c r="J1685" s="5" t="str">
        <f t="shared" si="104"/>
        <v>Yes</v>
      </c>
      <c r="K1685" s="5" t="str">
        <f t="shared" si="105"/>
        <v>Yes</v>
      </c>
      <c r="L1685" s="5" t="str">
        <f t="shared" si="107"/>
        <v>Yes</v>
      </c>
      <c r="M1685" s="5">
        <f t="shared" si="106"/>
        <v>1</v>
      </c>
    </row>
    <row r="1686" spans="1:13" x14ac:dyDescent="0.3">
      <c r="A1686" s="2" t="s">
        <v>4315</v>
      </c>
      <c r="B1686" s="2" t="s">
        <v>1835</v>
      </c>
      <c r="C1686" s="2" t="s">
        <v>2611</v>
      </c>
      <c r="D1686" s="3">
        <v>45914</v>
      </c>
      <c r="E1686" s="3">
        <v>45920</v>
      </c>
      <c r="F1686" s="3">
        <v>45923</v>
      </c>
      <c r="G1686" s="2" t="s">
        <v>2633</v>
      </c>
      <c r="H1686" s="2">
        <v>10</v>
      </c>
      <c r="I1686" s="2">
        <f>IFERROR(INDEX(Raw_Orders!H1686:H4114,MATCH(B1686,Raw_Orders!A1686:A4114,0)),0)</f>
        <v>10</v>
      </c>
      <c r="J1686" s="2" t="str">
        <f t="shared" si="104"/>
        <v>No</v>
      </c>
      <c r="K1686" s="2" t="str">
        <f t="shared" si="105"/>
        <v>Yes</v>
      </c>
      <c r="L1686" s="2" t="str">
        <f t="shared" si="107"/>
        <v>No</v>
      </c>
      <c r="M1686" s="2">
        <f t="shared" si="106"/>
        <v>0</v>
      </c>
    </row>
    <row r="1687" spans="1:13" x14ac:dyDescent="0.3">
      <c r="A1687" s="5" t="s">
        <v>4316</v>
      </c>
      <c r="B1687" s="5" t="s">
        <v>1836</v>
      </c>
      <c r="C1687" s="5" t="s">
        <v>2611</v>
      </c>
      <c r="D1687" s="6">
        <v>45914</v>
      </c>
      <c r="E1687" s="6">
        <v>45921</v>
      </c>
      <c r="F1687" s="6">
        <v>45921</v>
      </c>
      <c r="G1687" s="5" t="s">
        <v>2633</v>
      </c>
      <c r="H1687" s="5">
        <v>49</v>
      </c>
      <c r="I1687" s="5">
        <f>IFERROR(INDEX(Raw_Orders!H1687:H4115,MATCH(B1687,Raw_Orders!A1687:A4115,0)),0)</f>
        <v>49</v>
      </c>
      <c r="J1687" s="5" t="str">
        <f t="shared" si="104"/>
        <v>Yes</v>
      </c>
      <c r="K1687" s="5" t="str">
        <f t="shared" si="105"/>
        <v>Yes</v>
      </c>
      <c r="L1687" s="5" t="str">
        <f t="shared" si="107"/>
        <v>Yes</v>
      </c>
      <c r="M1687" s="5">
        <f t="shared" si="106"/>
        <v>1</v>
      </c>
    </row>
    <row r="1688" spans="1:13" x14ac:dyDescent="0.3">
      <c r="A1688" s="2" t="s">
        <v>4317</v>
      </c>
      <c r="B1688" s="2" t="s">
        <v>1837</v>
      </c>
      <c r="C1688" s="2" t="s">
        <v>2601</v>
      </c>
      <c r="D1688" s="3">
        <v>45916</v>
      </c>
      <c r="E1688" s="3">
        <v>45921</v>
      </c>
      <c r="F1688" s="3">
        <v>45920</v>
      </c>
      <c r="G1688" s="2" t="s">
        <v>2641</v>
      </c>
      <c r="H1688" s="2">
        <v>25</v>
      </c>
      <c r="I1688" s="2">
        <f>IFERROR(INDEX(Raw_Orders!H1688:H4116,MATCH(B1688,Raw_Orders!A1688:A4116,0)),0)</f>
        <v>25</v>
      </c>
      <c r="J1688" s="2" t="str">
        <f t="shared" si="104"/>
        <v>Yes</v>
      </c>
      <c r="K1688" s="2" t="str">
        <f t="shared" si="105"/>
        <v>Yes</v>
      </c>
      <c r="L1688" s="2" t="str">
        <f t="shared" si="107"/>
        <v>Yes</v>
      </c>
      <c r="M1688" s="2">
        <f t="shared" si="106"/>
        <v>1</v>
      </c>
    </row>
    <row r="1689" spans="1:13" x14ac:dyDescent="0.3">
      <c r="A1689" s="5" t="s">
        <v>4318</v>
      </c>
      <c r="B1689" s="5" t="s">
        <v>1838</v>
      </c>
      <c r="C1689" s="5" t="s">
        <v>2606</v>
      </c>
      <c r="D1689" s="6">
        <v>45914</v>
      </c>
      <c r="E1689" s="6">
        <v>45922</v>
      </c>
      <c r="F1689" s="6">
        <v>45920</v>
      </c>
      <c r="G1689" s="5" t="s">
        <v>2633</v>
      </c>
      <c r="H1689" s="5">
        <v>36</v>
      </c>
      <c r="I1689" s="5">
        <f>IFERROR(INDEX(Raw_Orders!H1689:H4117,MATCH(B1689,Raw_Orders!A1689:A4117,0)),0)</f>
        <v>36</v>
      </c>
      <c r="J1689" s="5" t="str">
        <f t="shared" si="104"/>
        <v>Yes</v>
      </c>
      <c r="K1689" s="5" t="str">
        <f t="shared" si="105"/>
        <v>Yes</v>
      </c>
      <c r="L1689" s="5" t="str">
        <f t="shared" si="107"/>
        <v>Yes</v>
      </c>
      <c r="M1689" s="5">
        <f t="shared" si="106"/>
        <v>1</v>
      </c>
    </row>
    <row r="1690" spans="1:13" x14ac:dyDescent="0.3">
      <c r="A1690" s="2" t="s">
        <v>4319</v>
      </c>
      <c r="B1690" s="2" t="s">
        <v>1839</v>
      </c>
      <c r="C1690" s="2" t="s">
        <v>2606</v>
      </c>
      <c r="D1690" s="3">
        <v>45915</v>
      </c>
      <c r="E1690" s="3">
        <v>45917</v>
      </c>
      <c r="F1690" s="3">
        <v>45921</v>
      </c>
      <c r="G1690" s="2" t="s">
        <v>2627</v>
      </c>
      <c r="H1690" s="2">
        <v>40</v>
      </c>
      <c r="I1690" s="2">
        <f>IFERROR(INDEX(Raw_Orders!H1690:H4118,MATCH(B1690,Raw_Orders!A1690:A4118,0)),0)</f>
        <v>40</v>
      </c>
      <c r="J1690" s="2" t="str">
        <f t="shared" si="104"/>
        <v>No</v>
      </c>
      <c r="K1690" s="2" t="str">
        <f t="shared" si="105"/>
        <v>Yes</v>
      </c>
      <c r="L1690" s="2" t="str">
        <f t="shared" si="107"/>
        <v>No</v>
      </c>
      <c r="M1690" s="2">
        <f t="shared" si="106"/>
        <v>0</v>
      </c>
    </row>
    <row r="1691" spans="1:13" x14ac:dyDescent="0.3">
      <c r="A1691" s="5" t="s">
        <v>4320</v>
      </c>
      <c r="B1691" s="5" t="s">
        <v>1840</v>
      </c>
      <c r="C1691" s="5" t="s">
        <v>2608</v>
      </c>
      <c r="D1691" s="6">
        <v>45916</v>
      </c>
      <c r="E1691" s="6">
        <v>45918</v>
      </c>
      <c r="F1691" s="6">
        <v>45930</v>
      </c>
      <c r="G1691" s="5" t="s">
        <v>2627</v>
      </c>
      <c r="H1691" s="5">
        <v>6</v>
      </c>
      <c r="I1691" s="5">
        <f>IFERROR(INDEX(Raw_Orders!H1691:H4119,MATCH(B1691,Raw_Orders!A1691:A4119,0)),0)</f>
        <v>6</v>
      </c>
      <c r="J1691" s="5" t="str">
        <f t="shared" si="104"/>
        <v>No</v>
      </c>
      <c r="K1691" s="5" t="str">
        <f t="shared" si="105"/>
        <v>Yes</v>
      </c>
      <c r="L1691" s="5" t="str">
        <f t="shared" si="107"/>
        <v>No</v>
      </c>
      <c r="M1691" s="5">
        <f t="shared" si="106"/>
        <v>0</v>
      </c>
    </row>
    <row r="1692" spans="1:13" x14ac:dyDescent="0.3">
      <c r="A1692" s="2" t="s">
        <v>4321</v>
      </c>
      <c r="B1692" s="2" t="s">
        <v>1841</v>
      </c>
      <c r="C1692" s="2" t="s">
        <v>2611</v>
      </c>
      <c r="D1692" s="3">
        <v>45916</v>
      </c>
      <c r="E1692" s="3">
        <v>45922</v>
      </c>
      <c r="F1692" s="3">
        <v>45925</v>
      </c>
      <c r="G1692" s="2" t="s">
        <v>2629</v>
      </c>
      <c r="H1692" s="2">
        <v>32</v>
      </c>
      <c r="I1692" s="2">
        <f>IFERROR(INDEX(Raw_Orders!H1692:H4120,MATCH(B1692,Raw_Orders!A1692:A4120,0)),0)</f>
        <v>32</v>
      </c>
      <c r="J1692" s="2" t="str">
        <f t="shared" si="104"/>
        <v>No</v>
      </c>
      <c r="K1692" s="2" t="str">
        <f t="shared" si="105"/>
        <v>Yes</v>
      </c>
      <c r="L1692" s="2" t="str">
        <f t="shared" si="107"/>
        <v>No</v>
      </c>
      <c r="M1692" s="2">
        <f t="shared" si="106"/>
        <v>0</v>
      </c>
    </row>
    <row r="1693" spans="1:13" x14ac:dyDescent="0.3">
      <c r="A1693" s="5" t="s">
        <v>4322</v>
      </c>
      <c r="B1693" s="5" t="s">
        <v>1842</v>
      </c>
      <c r="C1693" s="5" t="s">
        <v>2611</v>
      </c>
      <c r="D1693" s="6">
        <v>45916</v>
      </c>
      <c r="E1693" s="6">
        <v>45920</v>
      </c>
      <c r="F1693" s="6">
        <v>45927</v>
      </c>
      <c r="G1693" s="5" t="s">
        <v>2629</v>
      </c>
      <c r="H1693" s="5">
        <v>27</v>
      </c>
      <c r="I1693" s="5">
        <f>IFERROR(INDEX(Raw_Orders!H1693:H4121,MATCH(B1693,Raw_Orders!A1693:A4121,0)),0)</f>
        <v>27</v>
      </c>
      <c r="J1693" s="5" t="str">
        <f t="shared" si="104"/>
        <v>No</v>
      </c>
      <c r="K1693" s="5" t="str">
        <f t="shared" si="105"/>
        <v>Yes</v>
      </c>
      <c r="L1693" s="5" t="str">
        <f t="shared" si="107"/>
        <v>No</v>
      </c>
      <c r="M1693" s="5">
        <f t="shared" si="106"/>
        <v>0</v>
      </c>
    </row>
    <row r="1694" spans="1:13" x14ac:dyDescent="0.3">
      <c r="A1694" s="2" t="s">
        <v>4323</v>
      </c>
      <c r="B1694" s="2" t="s">
        <v>1843</v>
      </c>
      <c r="C1694" s="2" t="s">
        <v>2611</v>
      </c>
      <c r="D1694" s="3">
        <v>45915</v>
      </c>
      <c r="E1694" s="3">
        <v>45925</v>
      </c>
      <c r="F1694" s="3">
        <v>45922</v>
      </c>
      <c r="G1694" s="2" t="s">
        <v>2629</v>
      </c>
      <c r="H1694" s="2">
        <v>31</v>
      </c>
      <c r="I1694" s="2">
        <f>IFERROR(INDEX(Raw_Orders!H1694:H4122,MATCH(B1694,Raw_Orders!A1694:A4122,0)),0)</f>
        <v>31</v>
      </c>
      <c r="J1694" s="2" t="str">
        <f t="shared" si="104"/>
        <v>Yes</v>
      </c>
      <c r="K1694" s="2" t="str">
        <f t="shared" si="105"/>
        <v>Yes</v>
      </c>
      <c r="L1694" s="2" t="str">
        <f t="shared" si="107"/>
        <v>Yes</v>
      </c>
      <c r="M1694" s="2">
        <f t="shared" si="106"/>
        <v>1</v>
      </c>
    </row>
    <row r="1695" spans="1:13" x14ac:dyDescent="0.3">
      <c r="A1695" s="5" t="s">
        <v>4324</v>
      </c>
      <c r="B1695" s="5" t="s">
        <v>1844</v>
      </c>
      <c r="C1695" s="5" t="s">
        <v>2614</v>
      </c>
      <c r="D1695" s="6">
        <v>45915</v>
      </c>
      <c r="E1695" s="6">
        <v>45921</v>
      </c>
      <c r="F1695" s="6">
        <v>45928</v>
      </c>
      <c r="G1695" s="5" t="s">
        <v>2627</v>
      </c>
      <c r="H1695" s="5">
        <v>3</v>
      </c>
      <c r="I1695" s="5">
        <f>IFERROR(INDEX(Raw_Orders!H1695:H4123,MATCH(B1695,Raw_Orders!A1695:A4123,0)),0)</f>
        <v>11</v>
      </c>
      <c r="J1695" s="5" t="str">
        <f t="shared" si="104"/>
        <v>No</v>
      </c>
      <c r="K1695" s="5" t="str">
        <f t="shared" si="105"/>
        <v>N0</v>
      </c>
      <c r="L1695" s="5" t="str">
        <f t="shared" si="107"/>
        <v>No</v>
      </c>
      <c r="M1695" s="5">
        <f t="shared" si="106"/>
        <v>0</v>
      </c>
    </row>
    <row r="1696" spans="1:13" x14ac:dyDescent="0.3">
      <c r="A1696" s="2" t="s">
        <v>4325</v>
      </c>
      <c r="B1696" s="2" t="s">
        <v>1845</v>
      </c>
      <c r="C1696" s="2" t="s">
        <v>2614</v>
      </c>
      <c r="D1696" s="3">
        <v>45917</v>
      </c>
      <c r="E1696" s="3">
        <v>45918</v>
      </c>
      <c r="F1696" s="3">
        <v>45935</v>
      </c>
      <c r="G1696" s="2" t="s">
        <v>2627</v>
      </c>
      <c r="H1696" s="2">
        <v>18</v>
      </c>
      <c r="I1696" s="2">
        <f>IFERROR(INDEX(Raw_Orders!H1696:H4124,MATCH(B1696,Raw_Orders!A1696:A4124,0)),0)</f>
        <v>19</v>
      </c>
      <c r="J1696" s="2" t="str">
        <f t="shared" si="104"/>
        <v>No</v>
      </c>
      <c r="K1696" s="2" t="str">
        <f t="shared" si="105"/>
        <v>N0</v>
      </c>
      <c r="L1696" s="2" t="str">
        <f t="shared" si="107"/>
        <v>No</v>
      </c>
      <c r="M1696" s="2">
        <f t="shared" si="106"/>
        <v>0</v>
      </c>
    </row>
    <row r="1697" spans="1:13" x14ac:dyDescent="0.3">
      <c r="A1697" s="5" t="s">
        <v>4326</v>
      </c>
      <c r="B1697" s="5" t="s">
        <v>1846</v>
      </c>
      <c r="C1697" s="5" t="s">
        <v>2604</v>
      </c>
      <c r="D1697" s="6">
        <v>45916</v>
      </c>
      <c r="E1697" s="6">
        <v>45919</v>
      </c>
      <c r="F1697" s="6">
        <v>45920</v>
      </c>
      <c r="G1697" s="5" t="s">
        <v>2627</v>
      </c>
      <c r="H1697" s="5">
        <v>6</v>
      </c>
      <c r="I1697" s="5">
        <f>IFERROR(INDEX(Raw_Orders!H1697:H4125,MATCH(B1697,Raw_Orders!A1697:A4125,0)),0)</f>
        <v>6</v>
      </c>
      <c r="J1697" s="5" t="str">
        <f t="shared" si="104"/>
        <v>No</v>
      </c>
      <c r="K1697" s="5" t="str">
        <f t="shared" si="105"/>
        <v>Yes</v>
      </c>
      <c r="L1697" s="5" t="str">
        <f t="shared" si="107"/>
        <v>No</v>
      </c>
      <c r="M1697" s="5">
        <f t="shared" si="106"/>
        <v>0</v>
      </c>
    </row>
    <row r="1698" spans="1:13" x14ac:dyDescent="0.3">
      <c r="A1698" s="2" t="s">
        <v>4327</v>
      </c>
      <c r="B1698" s="2" t="s">
        <v>1847</v>
      </c>
      <c r="C1698" s="2" t="s">
        <v>2604</v>
      </c>
      <c r="D1698" s="3">
        <v>45915</v>
      </c>
      <c r="E1698" s="3">
        <v>45923</v>
      </c>
      <c r="F1698" s="3">
        <v>45919</v>
      </c>
      <c r="G1698" s="2" t="s">
        <v>2627</v>
      </c>
      <c r="H1698" s="2">
        <v>48</v>
      </c>
      <c r="I1698" s="2">
        <f>IFERROR(INDEX(Raw_Orders!H1698:H4126,MATCH(B1698,Raw_Orders!A1698:A4126,0)),0)</f>
        <v>48</v>
      </c>
      <c r="J1698" s="2" t="str">
        <f t="shared" si="104"/>
        <v>Yes</v>
      </c>
      <c r="K1698" s="2" t="str">
        <f t="shared" si="105"/>
        <v>Yes</v>
      </c>
      <c r="L1698" s="2" t="str">
        <f t="shared" si="107"/>
        <v>Yes</v>
      </c>
      <c r="M1698" s="2">
        <f t="shared" si="106"/>
        <v>1</v>
      </c>
    </row>
    <row r="1699" spans="1:13" x14ac:dyDescent="0.3">
      <c r="A1699" s="5" t="s">
        <v>4328</v>
      </c>
      <c r="B1699" s="5" t="s">
        <v>1848</v>
      </c>
      <c r="C1699" s="5" t="s">
        <v>2616</v>
      </c>
      <c r="D1699" s="6">
        <v>45915</v>
      </c>
      <c r="E1699" s="6">
        <v>45924</v>
      </c>
      <c r="F1699" s="6">
        <v>45934</v>
      </c>
      <c r="G1699" s="5" t="s">
        <v>2631</v>
      </c>
      <c r="H1699" s="5">
        <v>21</v>
      </c>
      <c r="I1699" s="5">
        <f>IFERROR(INDEX(Raw_Orders!H1699:H4127,MATCH(B1699,Raw_Orders!A1699:A4127,0)),0)</f>
        <v>21</v>
      </c>
      <c r="J1699" s="5" t="str">
        <f t="shared" si="104"/>
        <v>No</v>
      </c>
      <c r="K1699" s="5" t="str">
        <f t="shared" si="105"/>
        <v>Yes</v>
      </c>
      <c r="L1699" s="5" t="str">
        <f t="shared" si="107"/>
        <v>No</v>
      </c>
      <c r="M1699" s="5">
        <f t="shared" si="106"/>
        <v>0</v>
      </c>
    </row>
    <row r="1700" spans="1:13" x14ac:dyDescent="0.3">
      <c r="A1700" s="2" t="s">
        <v>4329</v>
      </c>
      <c r="B1700" s="2" t="s">
        <v>1849</v>
      </c>
      <c r="C1700" s="2" t="s">
        <v>2606</v>
      </c>
      <c r="D1700" s="3">
        <v>45916</v>
      </c>
      <c r="E1700" s="3">
        <v>45924</v>
      </c>
      <c r="F1700" s="3">
        <v>45921</v>
      </c>
      <c r="G1700" s="2" t="s">
        <v>2641</v>
      </c>
      <c r="H1700" s="2">
        <v>24</v>
      </c>
      <c r="I1700" s="2">
        <f>IFERROR(INDEX(Raw_Orders!H1700:H4128,MATCH(B1700,Raw_Orders!A1700:A4128,0)),0)</f>
        <v>28</v>
      </c>
      <c r="J1700" s="2" t="str">
        <f t="shared" si="104"/>
        <v>Yes</v>
      </c>
      <c r="K1700" s="2" t="str">
        <f t="shared" si="105"/>
        <v>N0</v>
      </c>
      <c r="L1700" s="2" t="str">
        <f t="shared" si="107"/>
        <v>No</v>
      </c>
      <c r="M1700" s="2">
        <f t="shared" si="106"/>
        <v>0</v>
      </c>
    </row>
    <row r="1701" spans="1:13" x14ac:dyDescent="0.3">
      <c r="A1701" s="5" t="s">
        <v>4330</v>
      </c>
      <c r="B1701" s="5" t="s">
        <v>1850</v>
      </c>
      <c r="C1701" s="5" t="s">
        <v>2608</v>
      </c>
      <c r="D1701" s="6">
        <v>45917</v>
      </c>
      <c r="E1701" s="6">
        <v>45918</v>
      </c>
      <c r="F1701" s="6">
        <v>45930</v>
      </c>
      <c r="G1701" s="5" t="s">
        <v>2627</v>
      </c>
      <c r="H1701" s="5">
        <v>1</v>
      </c>
      <c r="I1701" s="5">
        <f>IFERROR(INDEX(Raw_Orders!H1701:H4129,MATCH(B1701,Raw_Orders!A1701:A4129,0)),0)</f>
        <v>5</v>
      </c>
      <c r="J1701" s="5" t="str">
        <f t="shared" si="104"/>
        <v>No</v>
      </c>
      <c r="K1701" s="5" t="str">
        <f t="shared" si="105"/>
        <v>N0</v>
      </c>
      <c r="L1701" s="5" t="str">
        <f t="shared" si="107"/>
        <v>No</v>
      </c>
      <c r="M1701" s="5">
        <f t="shared" si="106"/>
        <v>0</v>
      </c>
    </row>
    <row r="1702" spans="1:13" x14ac:dyDescent="0.3">
      <c r="A1702" s="2" t="s">
        <v>4331</v>
      </c>
      <c r="B1702" s="2" t="s">
        <v>1851</v>
      </c>
      <c r="C1702" s="2" t="s">
        <v>2611</v>
      </c>
      <c r="D1702" s="3">
        <v>45916</v>
      </c>
      <c r="E1702" s="3">
        <v>45924</v>
      </c>
      <c r="F1702" s="3">
        <v>45925</v>
      </c>
      <c r="G1702" s="2" t="s">
        <v>2641</v>
      </c>
      <c r="H1702" s="2">
        <v>16</v>
      </c>
      <c r="I1702" s="2">
        <f>IFERROR(INDEX(Raw_Orders!H1702:H4130,MATCH(B1702,Raw_Orders!A1702:A4130,0)),0)</f>
        <v>17</v>
      </c>
      <c r="J1702" s="2" t="str">
        <f t="shared" si="104"/>
        <v>No</v>
      </c>
      <c r="K1702" s="2" t="str">
        <f t="shared" si="105"/>
        <v>N0</v>
      </c>
      <c r="L1702" s="2" t="str">
        <f t="shared" si="107"/>
        <v>No</v>
      </c>
      <c r="M1702" s="2">
        <f t="shared" si="106"/>
        <v>0</v>
      </c>
    </row>
    <row r="1703" spans="1:13" x14ac:dyDescent="0.3">
      <c r="A1703" s="5" t="s">
        <v>4332</v>
      </c>
      <c r="B1703" s="5" t="s">
        <v>1852</v>
      </c>
      <c r="C1703" s="5" t="s">
        <v>2611</v>
      </c>
      <c r="D1703" s="6">
        <v>45916</v>
      </c>
      <c r="E1703" s="6">
        <v>45921</v>
      </c>
      <c r="F1703" s="6">
        <v>45922</v>
      </c>
      <c r="G1703" s="5" t="s">
        <v>2627</v>
      </c>
      <c r="H1703" s="5">
        <v>21</v>
      </c>
      <c r="I1703" s="5">
        <f>IFERROR(INDEX(Raw_Orders!H1703:H4131,MATCH(B1703,Raw_Orders!A1703:A4131,0)),0)</f>
        <v>21</v>
      </c>
      <c r="J1703" s="5" t="str">
        <f t="shared" si="104"/>
        <v>No</v>
      </c>
      <c r="K1703" s="5" t="str">
        <f t="shared" si="105"/>
        <v>Yes</v>
      </c>
      <c r="L1703" s="5" t="str">
        <f t="shared" si="107"/>
        <v>No</v>
      </c>
      <c r="M1703" s="5">
        <f t="shared" si="106"/>
        <v>0</v>
      </c>
    </row>
    <row r="1704" spans="1:13" x14ac:dyDescent="0.3">
      <c r="A1704" s="2" t="s">
        <v>4333</v>
      </c>
      <c r="B1704" s="2" t="s">
        <v>1853</v>
      </c>
      <c r="C1704" s="2" t="s">
        <v>2606</v>
      </c>
      <c r="D1704" s="3">
        <v>45916</v>
      </c>
      <c r="E1704" s="3">
        <v>45926</v>
      </c>
      <c r="F1704" s="3">
        <v>45922</v>
      </c>
      <c r="G1704" s="2" t="s">
        <v>2629</v>
      </c>
      <c r="H1704" s="2">
        <v>38</v>
      </c>
      <c r="I1704" s="2">
        <f>IFERROR(INDEX(Raw_Orders!H1704:H4132,MATCH(B1704,Raw_Orders!A1704:A4132,0)),0)</f>
        <v>38</v>
      </c>
      <c r="J1704" s="2" t="str">
        <f t="shared" si="104"/>
        <v>Yes</v>
      </c>
      <c r="K1704" s="2" t="str">
        <f t="shared" si="105"/>
        <v>Yes</v>
      </c>
      <c r="L1704" s="2" t="str">
        <f t="shared" si="107"/>
        <v>Yes</v>
      </c>
      <c r="M1704" s="2">
        <f t="shared" si="106"/>
        <v>1</v>
      </c>
    </row>
    <row r="1705" spans="1:13" x14ac:dyDescent="0.3">
      <c r="A1705" s="5" t="s">
        <v>4334</v>
      </c>
      <c r="B1705" s="5" t="s">
        <v>1854</v>
      </c>
      <c r="C1705" s="5" t="s">
        <v>2608</v>
      </c>
      <c r="D1705" s="6">
        <v>45916</v>
      </c>
      <c r="E1705" s="6">
        <v>45922</v>
      </c>
      <c r="F1705" s="6">
        <v>45928</v>
      </c>
      <c r="G1705" s="5" t="s">
        <v>2627</v>
      </c>
      <c r="H1705" s="5">
        <v>15</v>
      </c>
      <c r="I1705" s="5">
        <f>IFERROR(INDEX(Raw_Orders!H1705:H4133,MATCH(B1705,Raw_Orders!A1705:A4133,0)),0)</f>
        <v>15</v>
      </c>
      <c r="J1705" s="5" t="str">
        <f t="shared" si="104"/>
        <v>No</v>
      </c>
      <c r="K1705" s="5" t="str">
        <f t="shared" si="105"/>
        <v>Yes</v>
      </c>
      <c r="L1705" s="5" t="str">
        <f t="shared" si="107"/>
        <v>No</v>
      </c>
      <c r="M1705" s="5">
        <f t="shared" si="106"/>
        <v>0</v>
      </c>
    </row>
    <row r="1706" spans="1:13" x14ac:dyDescent="0.3">
      <c r="A1706" s="2" t="s">
        <v>4335</v>
      </c>
      <c r="B1706" s="2" t="s">
        <v>1855</v>
      </c>
      <c r="C1706" s="2" t="s">
        <v>2608</v>
      </c>
      <c r="D1706" s="3">
        <v>45918</v>
      </c>
      <c r="E1706" s="3">
        <v>45922</v>
      </c>
      <c r="F1706" s="3">
        <v>45932</v>
      </c>
      <c r="G1706" s="2" t="s">
        <v>2641</v>
      </c>
      <c r="H1706" s="2">
        <v>11</v>
      </c>
      <c r="I1706" s="2">
        <f>IFERROR(INDEX(Raw_Orders!H1706:H4134,MATCH(B1706,Raw_Orders!A1706:A4134,0)),0)</f>
        <v>11</v>
      </c>
      <c r="J1706" s="2" t="str">
        <f t="shared" si="104"/>
        <v>No</v>
      </c>
      <c r="K1706" s="2" t="str">
        <f t="shared" si="105"/>
        <v>Yes</v>
      </c>
      <c r="L1706" s="2" t="str">
        <f t="shared" si="107"/>
        <v>No</v>
      </c>
      <c r="M1706" s="2">
        <f t="shared" si="106"/>
        <v>0</v>
      </c>
    </row>
    <row r="1707" spans="1:13" x14ac:dyDescent="0.3">
      <c r="A1707" s="5" t="s">
        <v>4336</v>
      </c>
      <c r="B1707" s="5" t="s">
        <v>1856</v>
      </c>
      <c r="C1707" s="5" t="s">
        <v>2598</v>
      </c>
      <c r="D1707" s="6">
        <v>45919</v>
      </c>
      <c r="E1707" s="6">
        <v>45923</v>
      </c>
      <c r="F1707" s="6">
        <v>45936</v>
      </c>
      <c r="G1707" s="5" t="s">
        <v>2633</v>
      </c>
      <c r="H1707" s="5">
        <v>1</v>
      </c>
      <c r="I1707" s="5">
        <f>IFERROR(INDEX(Raw_Orders!H1707:H4135,MATCH(B1707,Raw_Orders!A1707:A4135,0)),0)</f>
        <v>1</v>
      </c>
      <c r="J1707" s="5" t="str">
        <f t="shared" si="104"/>
        <v>No</v>
      </c>
      <c r="K1707" s="5" t="str">
        <f t="shared" si="105"/>
        <v>Yes</v>
      </c>
      <c r="L1707" s="5" t="str">
        <f t="shared" si="107"/>
        <v>No</v>
      </c>
      <c r="M1707" s="5">
        <f t="shared" si="106"/>
        <v>0</v>
      </c>
    </row>
    <row r="1708" spans="1:13" x14ac:dyDescent="0.3">
      <c r="A1708" s="2" t="s">
        <v>4337</v>
      </c>
      <c r="B1708" s="2" t="s">
        <v>1857</v>
      </c>
      <c r="C1708" s="2" t="s">
        <v>2598</v>
      </c>
      <c r="D1708" s="3">
        <v>45918</v>
      </c>
      <c r="E1708" s="3">
        <v>45925</v>
      </c>
      <c r="F1708" s="3">
        <v>45933</v>
      </c>
      <c r="G1708" s="2" t="s">
        <v>2631</v>
      </c>
      <c r="H1708" s="2">
        <v>26</v>
      </c>
      <c r="I1708" s="2">
        <f>IFERROR(INDEX(Raw_Orders!H1708:H4136,MATCH(B1708,Raw_Orders!A1708:A4136,0)),0)</f>
        <v>26</v>
      </c>
      <c r="J1708" s="2" t="str">
        <f t="shared" si="104"/>
        <v>No</v>
      </c>
      <c r="K1708" s="2" t="str">
        <f t="shared" si="105"/>
        <v>Yes</v>
      </c>
      <c r="L1708" s="2" t="str">
        <f t="shared" si="107"/>
        <v>No</v>
      </c>
      <c r="M1708" s="2">
        <f t="shared" si="106"/>
        <v>0</v>
      </c>
    </row>
    <row r="1709" spans="1:13" x14ac:dyDescent="0.3">
      <c r="A1709" s="5" t="s">
        <v>4338</v>
      </c>
      <c r="B1709" s="5" t="s">
        <v>1858</v>
      </c>
      <c r="C1709" s="5" t="s">
        <v>2614</v>
      </c>
      <c r="D1709" s="6">
        <v>45919</v>
      </c>
      <c r="E1709" s="6">
        <v>45926</v>
      </c>
      <c r="F1709" s="6">
        <v>45932</v>
      </c>
      <c r="G1709" s="5" t="s">
        <v>2629</v>
      </c>
      <c r="H1709" s="5">
        <v>36</v>
      </c>
      <c r="I1709" s="5">
        <f>IFERROR(INDEX(Raw_Orders!H1709:H4137,MATCH(B1709,Raw_Orders!A1709:A4137,0)),0)</f>
        <v>36</v>
      </c>
      <c r="J1709" s="5" t="str">
        <f t="shared" si="104"/>
        <v>No</v>
      </c>
      <c r="K1709" s="5" t="str">
        <f t="shared" si="105"/>
        <v>Yes</v>
      </c>
      <c r="L1709" s="5" t="str">
        <f t="shared" si="107"/>
        <v>No</v>
      </c>
      <c r="M1709" s="5">
        <f t="shared" si="106"/>
        <v>0</v>
      </c>
    </row>
    <row r="1710" spans="1:13" x14ac:dyDescent="0.3">
      <c r="A1710" s="2" t="s">
        <v>4339</v>
      </c>
      <c r="B1710" s="2" t="s">
        <v>1859</v>
      </c>
      <c r="C1710" s="2" t="s">
        <v>2616</v>
      </c>
      <c r="D1710" s="3">
        <v>45919</v>
      </c>
      <c r="E1710" s="3">
        <v>45922</v>
      </c>
      <c r="F1710" s="3">
        <v>45934</v>
      </c>
      <c r="G1710" s="2" t="s">
        <v>2627</v>
      </c>
      <c r="H1710" s="2">
        <v>14</v>
      </c>
      <c r="I1710" s="2">
        <f>IFERROR(INDEX(Raw_Orders!H1710:H4138,MATCH(B1710,Raw_Orders!A1710:A4138,0)),0)</f>
        <v>19</v>
      </c>
      <c r="J1710" s="2" t="str">
        <f t="shared" si="104"/>
        <v>No</v>
      </c>
      <c r="K1710" s="2" t="str">
        <f t="shared" si="105"/>
        <v>N0</v>
      </c>
      <c r="L1710" s="2" t="str">
        <f t="shared" si="107"/>
        <v>No</v>
      </c>
      <c r="M1710" s="2">
        <f t="shared" si="106"/>
        <v>0</v>
      </c>
    </row>
    <row r="1711" spans="1:13" x14ac:dyDescent="0.3">
      <c r="A1711" s="5" t="s">
        <v>4340</v>
      </c>
      <c r="B1711" s="5" t="s">
        <v>1860</v>
      </c>
      <c r="C1711" s="5" t="s">
        <v>2604</v>
      </c>
      <c r="D1711" s="6">
        <v>45919</v>
      </c>
      <c r="E1711" s="6">
        <v>45921</v>
      </c>
      <c r="F1711" s="6">
        <v>45923</v>
      </c>
      <c r="G1711" s="5" t="s">
        <v>2629</v>
      </c>
      <c r="H1711" s="5">
        <v>8</v>
      </c>
      <c r="I1711" s="5">
        <f>IFERROR(INDEX(Raw_Orders!H1711:H4139,MATCH(B1711,Raw_Orders!A1711:A4139,0)),0)</f>
        <v>14</v>
      </c>
      <c r="J1711" s="5" t="str">
        <f t="shared" si="104"/>
        <v>No</v>
      </c>
      <c r="K1711" s="5" t="str">
        <f t="shared" si="105"/>
        <v>N0</v>
      </c>
      <c r="L1711" s="5" t="str">
        <f t="shared" si="107"/>
        <v>No</v>
      </c>
      <c r="M1711" s="5">
        <f t="shared" si="106"/>
        <v>0</v>
      </c>
    </row>
    <row r="1712" spans="1:13" x14ac:dyDescent="0.3">
      <c r="A1712" s="2" t="s">
        <v>4341</v>
      </c>
      <c r="B1712" s="2" t="s">
        <v>1861</v>
      </c>
      <c r="C1712" s="2" t="s">
        <v>2606</v>
      </c>
      <c r="D1712" s="3">
        <v>45919</v>
      </c>
      <c r="E1712" s="3">
        <v>45923</v>
      </c>
      <c r="F1712" s="3">
        <v>45924</v>
      </c>
      <c r="G1712" s="2" t="s">
        <v>2633</v>
      </c>
      <c r="H1712" s="2">
        <v>55</v>
      </c>
      <c r="I1712" s="2">
        <f>IFERROR(INDEX(Raw_Orders!H1712:H4140,MATCH(B1712,Raw_Orders!A1712:A4140,0)),0)</f>
        <v>55</v>
      </c>
      <c r="J1712" s="2" t="str">
        <f t="shared" si="104"/>
        <v>No</v>
      </c>
      <c r="K1712" s="2" t="str">
        <f t="shared" si="105"/>
        <v>Yes</v>
      </c>
      <c r="L1712" s="2" t="str">
        <f t="shared" si="107"/>
        <v>No</v>
      </c>
      <c r="M1712" s="2">
        <f t="shared" si="106"/>
        <v>0</v>
      </c>
    </row>
    <row r="1713" spans="1:13" x14ac:dyDescent="0.3">
      <c r="A1713" s="5" t="s">
        <v>4342</v>
      </c>
      <c r="B1713" s="5" t="s">
        <v>1862</v>
      </c>
      <c r="C1713" s="5" t="s">
        <v>2606</v>
      </c>
      <c r="D1713" s="6">
        <v>45917</v>
      </c>
      <c r="E1713" s="6">
        <v>45921</v>
      </c>
      <c r="F1713" s="6">
        <v>45923</v>
      </c>
      <c r="G1713" s="5" t="s">
        <v>2629</v>
      </c>
      <c r="H1713" s="5">
        <v>36</v>
      </c>
      <c r="I1713" s="5">
        <f>IFERROR(INDEX(Raw_Orders!H1713:H4141,MATCH(B1713,Raw_Orders!A1713:A4141,0)),0)</f>
        <v>36</v>
      </c>
      <c r="J1713" s="5" t="str">
        <f t="shared" si="104"/>
        <v>No</v>
      </c>
      <c r="K1713" s="5" t="str">
        <f t="shared" si="105"/>
        <v>Yes</v>
      </c>
      <c r="L1713" s="5" t="str">
        <f t="shared" si="107"/>
        <v>No</v>
      </c>
      <c r="M1713" s="5">
        <f t="shared" si="106"/>
        <v>0</v>
      </c>
    </row>
    <row r="1714" spans="1:13" x14ac:dyDescent="0.3">
      <c r="A1714" s="2" t="s">
        <v>4343</v>
      </c>
      <c r="B1714" s="2" t="s">
        <v>1863</v>
      </c>
      <c r="C1714" s="2" t="s">
        <v>2608</v>
      </c>
      <c r="D1714" s="3">
        <v>45918</v>
      </c>
      <c r="E1714" s="3">
        <v>45920</v>
      </c>
      <c r="F1714" s="3">
        <v>45932</v>
      </c>
      <c r="G1714" s="2" t="s">
        <v>2633</v>
      </c>
      <c r="H1714" s="2">
        <v>12</v>
      </c>
      <c r="I1714" s="2">
        <f>IFERROR(INDEX(Raw_Orders!H1714:H4142,MATCH(B1714,Raw_Orders!A1714:A4142,0)),0)</f>
        <v>12</v>
      </c>
      <c r="J1714" s="2" t="str">
        <f t="shared" si="104"/>
        <v>No</v>
      </c>
      <c r="K1714" s="2" t="str">
        <f t="shared" si="105"/>
        <v>Yes</v>
      </c>
      <c r="L1714" s="2" t="str">
        <f t="shared" si="107"/>
        <v>No</v>
      </c>
      <c r="M1714" s="2">
        <f t="shared" si="106"/>
        <v>0</v>
      </c>
    </row>
    <row r="1715" spans="1:13" x14ac:dyDescent="0.3">
      <c r="A1715" s="5" t="s">
        <v>4344</v>
      </c>
      <c r="B1715" s="5" t="s">
        <v>1864</v>
      </c>
      <c r="C1715" s="5" t="s">
        <v>2611</v>
      </c>
      <c r="D1715" s="6">
        <v>45919</v>
      </c>
      <c r="E1715" s="6">
        <v>45927</v>
      </c>
      <c r="F1715" s="6">
        <v>45928</v>
      </c>
      <c r="G1715" s="5" t="s">
        <v>2641</v>
      </c>
      <c r="H1715" s="5">
        <v>9</v>
      </c>
      <c r="I1715" s="5">
        <f>IFERROR(INDEX(Raw_Orders!H1715:H4143,MATCH(B1715,Raw_Orders!A1715:A4143,0)),0)</f>
        <v>9</v>
      </c>
      <c r="J1715" s="5" t="str">
        <f t="shared" si="104"/>
        <v>No</v>
      </c>
      <c r="K1715" s="5" t="str">
        <f t="shared" si="105"/>
        <v>Yes</v>
      </c>
      <c r="L1715" s="5" t="str">
        <f t="shared" si="107"/>
        <v>No</v>
      </c>
      <c r="M1715" s="5">
        <f t="shared" si="106"/>
        <v>0</v>
      </c>
    </row>
    <row r="1716" spans="1:13" x14ac:dyDescent="0.3">
      <c r="A1716" s="2" t="s">
        <v>4345</v>
      </c>
      <c r="B1716" s="2" t="s">
        <v>1865</v>
      </c>
      <c r="C1716" s="2" t="s">
        <v>2611</v>
      </c>
      <c r="D1716" s="3">
        <v>45920</v>
      </c>
      <c r="E1716" s="3">
        <v>45925</v>
      </c>
      <c r="F1716" s="3">
        <v>45926</v>
      </c>
      <c r="G1716" s="2" t="s">
        <v>2631</v>
      </c>
      <c r="H1716" s="2">
        <v>32</v>
      </c>
      <c r="I1716" s="2">
        <f>IFERROR(INDEX(Raw_Orders!H1716:H4144,MATCH(B1716,Raw_Orders!A1716:A4144,0)),0)</f>
        <v>32</v>
      </c>
      <c r="J1716" s="2" t="str">
        <f t="shared" si="104"/>
        <v>No</v>
      </c>
      <c r="K1716" s="2" t="str">
        <f t="shared" si="105"/>
        <v>Yes</v>
      </c>
      <c r="L1716" s="2" t="str">
        <f t="shared" si="107"/>
        <v>No</v>
      </c>
      <c r="M1716" s="2">
        <f t="shared" si="106"/>
        <v>0</v>
      </c>
    </row>
    <row r="1717" spans="1:13" x14ac:dyDescent="0.3">
      <c r="A1717" s="5" t="s">
        <v>4346</v>
      </c>
      <c r="B1717" s="5" t="s">
        <v>1866</v>
      </c>
      <c r="C1717" s="5" t="s">
        <v>2604</v>
      </c>
      <c r="D1717" s="6">
        <v>45918</v>
      </c>
      <c r="E1717" s="6">
        <v>45926</v>
      </c>
      <c r="F1717" s="6">
        <v>45924</v>
      </c>
      <c r="G1717" s="5" t="s">
        <v>2633</v>
      </c>
      <c r="H1717" s="5">
        <v>14</v>
      </c>
      <c r="I1717" s="5">
        <f>IFERROR(INDEX(Raw_Orders!H1717:H4145,MATCH(B1717,Raw_Orders!A1717:A4145,0)),0)</f>
        <v>14</v>
      </c>
      <c r="J1717" s="5" t="str">
        <f t="shared" si="104"/>
        <v>Yes</v>
      </c>
      <c r="K1717" s="5" t="str">
        <f t="shared" si="105"/>
        <v>Yes</v>
      </c>
      <c r="L1717" s="5" t="str">
        <f t="shared" si="107"/>
        <v>Yes</v>
      </c>
      <c r="M1717" s="5">
        <f t="shared" si="106"/>
        <v>1</v>
      </c>
    </row>
    <row r="1718" spans="1:13" x14ac:dyDescent="0.3">
      <c r="A1718" s="2" t="s">
        <v>4347</v>
      </c>
      <c r="B1718" s="2" t="s">
        <v>1867</v>
      </c>
      <c r="C1718" s="2" t="s">
        <v>2606</v>
      </c>
      <c r="D1718" s="3">
        <v>45920</v>
      </c>
      <c r="E1718" s="3">
        <v>45923</v>
      </c>
      <c r="F1718" s="3">
        <v>45927</v>
      </c>
      <c r="G1718" s="2" t="s">
        <v>2641</v>
      </c>
      <c r="H1718" s="2">
        <v>27</v>
      </c>
      <c r="I1718" s="2">
        <f>IFERROR(INDEX(Raw_Orders!H1718:H4146,MATCH(B1718,Raw_Orders!A1718:A4146,0)),0)</f>
        <v>27</v>
      </c>
      <c r="J1718" s="2" t="str">
        <f t="shared" si="104"/>
        <v>No</v>
      </c>
      <c r="K1718" s="2" t="str">
        <f t="shared" si="105"/>
        <v>Yes</v>
      </c>
      <c r="L1718" s="2" t="str">
        <f t="shared" si="107"/>
        <v>No</v>
      </c>
      <c r="M1718" s="2">
        <f t="shared" si="106"/>
        <v>0</v>
      </c>
    </row>
    <row r="1719" spans="1:13" x14ac:dyDescent="0.3">
      <c r="A1719" s="5" t="s">
        <v>4348</v>
      </c>
      <c r="B1719" s="5" t="s">
        <v>1868</v>
      </c>
      <c r="C1719" s="5" t="s">
        <v>2608</v>
      </c>
      <c r="D1719" s="6">
        <v>45918</v>
      </c>
      <c r="E1719" s="6">
        <v>45921</v>
      </c>
      <c r="F1719" s="6">
        <v>45930</v>
      </c>
      <c r="G1719" s="5" t="s">
        <v>2631</v>
      </c>
      <c r="H1719" s="5">
        <v>12</v>
      </c>
      <c r="I1719" s="5">
        <f>IFERROR(INDEX(Raw_Orders!H1719:H4147,MATCH(B1719,Raw_Orders!A1719:A4147,0)),0)</f>
        <v>12</v>
      </c>
      <c r="J1719" s="5" t="str">
        <f t="shared" si="104"/>
        <v>No</v>
      </c>
      <c r="K1719" s="5" t="str">
        <f t="shared" si="105"/>
        <v>Yes</v>
      </c>
      <c r="L1719" s="5" t="str">
        <f t="shared" si="107"/>
        <v>No</v>
      </c>
      <c r="M1719" s="5">
        <f t="shared" si="106"/>
        <v>0</v>
      </c>
    </row>
    <row r="1720" spans="1:13" x14ac:dyDescent="0.3">
      <c r="A1720" s="2" t="s">
        <v>4349</v>
      </c>
      <c r="B1720" s="2" t="s">
        <v>1869</v>
      </c>
      <c r="C1720" s="2" t="s">
        <v>2598</v>
      </c>
      <c r="D1720" s="3">
        <v>45920</v>
      </c>
      <c r="E1720" s="3">
        <v>45926</v>
      </c>
      <c r="F1720" s="3">
        <v>45934</v>
      </c>
      <c r="G1720" s="2" t="s">
        <v>2633</v>
      </c>
      <c r="H1720" s="2">
        <v>41</v>
      </c>
      <c r="I1720" s="2">
        <f>IFERROR(INDEX(Raw_Orders!H1720:H4148,MATCH(B1720,Raw_Orders!A1720:A4148,0)),0)</f>
        <v>41</v>
      </c>
      <c r="J1720" s="2" t="str">
        <f t="shared" si="104"/>
        <v>No</v>
      </c>
      <c r="K1720" s="2" t="str">
        <f t="shared" si="105"/>
        <v>Yes</v>
      </c>
      <c r="L1720" s="2" t="str">
        <f t="shared" si="107"/>
        <v>No</v>
      </c>
      <c r="M1720" s="2">
        <f t="shared" si="106"/>
        <v>0</v>
      </c>
    </row>
    <row r="1721" spans="1:13" x14ac:dyDescent="0.3">
      <c r="A1721" s="5" t="s">
        <v>4350</v>
      </c>
      <c r="B1721" s="5" t="s">
        <v>1870</v>
      </c>
      <c r="C1721" s="5" t="s">
        <v>2611</v>
      </c>
      <c r="D1721" s="6">
        <v>45919</v>
      </c>
      <c r="E1721" s="6">
        <v>45929</v>
      </c>
      <c r="F1721" s="6">
        <v>45930</v>
      </c>
      <c r="G1721" s="5" t="s">
        <v>2633</v>
      </c>
      <c r="H1721" s="5">
        <v>26</v>
      </c>
      <c r="I1721" s="5">
        <f>IFERROR(INDEX(Raw_Orders!H1721:H4149,MATCH(B1721,Raw_Orders!A1721:A4149,0)),0)</f>
        <v>26</v>
      </c>
      <c r="J1721" s="5" t="str">
        <f t="shared" si="104"/>
        <v>No</v>
      </c>
      <c r="K1721" s="5" t="str">
        <f t="shared" si="105"/>
        <v>Yes</v>
      </c>
      <c r="L1721" s="5" t="str">
        <f t="shared" si="107"/>
        <v>No</v>
      </c>
      <c r="M1721" s="5">
        <f t="shared" si="106"/>
        <v>0</v>
      </c>
    </row>
    <row r="1722" spans="1:13" x14ac:dyDescent="0.3">
      <c r="A1722" s="2" t="s">
        <v>4351</v>
      </c>
      <c r="B1722" s="2" t="s">
        <v>1871</v>
      </c>
      <c r="C1722" s="2" t="s">
        <v>2604</v>
      </c>
      <c r="D1722" s="3">
        <v>45919</v>
      </c>
      <c r="E1722" s="3">
        <v>45924</v>
      </c>
      <c r="F1722" s="3">
        <v>45924</v>
      </c>
      <c r="G1722" s="2" t="s">
        <v>2629</v>
      </c>
      <c r="H1722" s="2">
        <v>12</v>
      </c>
      <c r="I1722" s="2">
        <f>IFERROR(INDEX(Raw_Orders!H1722:H4150,MATCH(B1722,Raw_Orders!A1722:A4150,0)),0)</f>
        <v>12</v>
      </c>
      <c r="J1722" s="2" t="str">
        <f t="shared" si="104"/>
        <v>Yes</v>
      </c>
      <c r="K1722" s="2" t="str">
        <f t="shared" si="105"/>
        <v>Yes</v>
      </c>
      <c r="L1722" s="2" t="str">
        <f t="shared" si="107"/>
        <v>Yes</v>
      </c>
      <c r="M1722" s="2">
        <f t="shared" si="106"/>
        <v>1</v>
      </c>
    </row>
    <row r="1723" spans="1:13" x14ac:dyDescent="0.3">
      <c r="A1723" s="5" t="s">
        <v>4352</v>
      </c>
      <c r="B1723" s="5" t="s">
        <v>1872</v>
      </c>
      <c r="C1723" s="5" t="s">
        <v>2606</v>
      </c>
      <c r="D1723" s="6">
        <v>45920</v>
      </c>
      <c r="E1723" s="6">
        <v>45926</v>
      </c>
      <c r="F1723" s="6">
        <v>45927</v>
      </c>
      <c r="G1723" s="5" t="s">
        <v>2627</v>
      </c>
      <c r="H1723" s="5">
        <v>49</v>
      </c>
      <c r="I1723" s="5">
        <f>IFERROR(INDEX(Raw_Orders!H1723:H4151,MATCH(B1723,Raw_Orders!A1723:A4151,0)),0)</f>
        <v>49</v>
      </c>
      <c r="J1723" s="5" t="str">
        <f t="shared" si="104"/>
        <v>No</v>
      </c>
      <c r="K1723" s="5" t="str">
        <f t="shared" si="105"/>
        <v>Yes</v>
      </c>
      <c r="L1723" s="5" t="str">
        <f t="shared" si="107"/>
        <v>No</v>
      </c>
      <c r="M1723" s="5">
        <f t="shared" si="106"/>
        <v>0</v>
      </c>
    </row>
    <row r="1724" spans="1:13" x14ac:dyDescent="0.3">
      <c r="A1724" s="2" t="s">
        <v>4353</v>
      </c>
      <c r="B1724" s="2" t="s">
        <v>1873</v>
      </c>
      <c r="C1724" s="2" t="s">
        <v>2606</v>
      </c>
      <c r="D1724" s="3">
        <v>45919</v>
      </c>
      <c r="E1724" s="3">
        <v>45926</v>
      </c>
      <c r="F1724" s="3">
        <v>45927</v>
      </c>
      <c r="G1724" s="2" t="s">
        <v>2631</v>
      </c>
      <c r="H1724" s="2">
        <v>25</v>
      </c>
      <c r="I1724" s="2">
        <f>IFERROR(INDEX(Raw_Orders!H1724:H4152,MATCH(B1724,Raw_Orders!A1724:A4152,0)),0)</f>
        <v>25</v>
      </c>
      <c r="J1724" s="2" t="str">
        <f t="shared" si="104"/>
        <v>No</v>
      </c>
      <c r="K1724" s="2" t="str">
        <f t="shared" si="105"/>
        <v>Yes</v>
      </c>
      <c r="L1724" s="2" t="str">
        <f t="shared" si="107"/>
        <v>No</v>
      </c>
      <c r="M1724" s="2">
        <f t="shared" si="106"/>
        <v>0</v>
      </c>
    </row>
    <row r="1725" spans="1:13" x14ac:dyDescent="0.3">
      <c r="A1725" s="5" t="s">
        <v>4354</v>
      </c>
      <c r="B1725" s="5" t="s">
        <v>1874</v>
      </c>
      <c r="C1725" s="5" t="s">
        <v>2608</v>
      </c>
      <c r="D1725" s="6">
        <v>45921</v>
      </c>
      <c r="E1725" s="6">
        <v>45924</v>
      </c>
      <c r="F1725" s="6">
        <v>45934</v>
      </c>
      <c r="G1725" s="5" t="s">
        <v>2631</v>
      </c>
      <c r="H1725" s="5">
        <v>30</v>
      </c>
      <c r="I1725" s="5">
        <f>IFERROR(INDEX(Raw_Orders!H1725:H4153,MATCH(B1725,Raw_Orders!A1725:A4153,0)),0)</f>
        <v>30</v>
      </c>
      <c r="J1725" s="5" t="str">
        <f t="shared" si="104"/>
        <v>No</v>
      </c>
      <c r="K1725" s="5" t="str">
        <f t="shared" si="105"/>
        <v>Yes</v>
      </c>
      <c r="L1725" s="5" t="str">
        <f t="shared" si="107"/>
        <v>No</v>
      </c>
      <c r="M1725" s="5">
        <f t="shared" si="106"/>
        <v>0</v>
      </c>
    </row>
    <row r="1726" spans="1:13" x14ac:dyDescent="0.3">
      <c r="A1726" s="2" t="s">
        <v>4355</v>
      </c>
      <c r="B1726" s="2" t="s">
        <v>1875</v>
      </c>
      <c r="C1726" s="2" t="s">
        <v>2598</v>
      </c>
      <c r="D1726" s="3">
        <v>45920</v>
      </c>
      <c r="E1726" s="3">
        <v>45925</v>
      </c>
      <c r="F1726" s="3">
        <v>45932</v>
      </c>
      <c r="G1726" s="2" t="s">
        <v>2641</v>
      </c>
      <c r="H1726" s="2">
        <v>42</v>
      </c>
      <c r="I1726" s="2">
        <f>IFERROR(INDEX(Raw_Orders!H1726:H4154,MATCH(B1726,Raw_Orders!A1726:A4154,0)),0)</f>
        <v>42</v>
      </c>
      <c r="J1726" s="2" t="str">
        <f t="shared" si="104"/>
        <v>No</v>
      </c>
      <c r="K1726" s="2" t="str">
        <f t="shared" si="105"/>
        <v>Yes</v>
      </c>
      <c r="L1726" s="2" t="str">
        <f t="shared" si="107"/>
        <v>No</v>
      </c>
      <c r="M1726" s="2">
        <f t="shared" si="106"/>
        <v>0</v>
      </c>
    </row>
    <row r="1727" spans="1:13" x14ac:dyDescent="0.3">
      <c r="A1727" s="5" t="s">
        <v>4356</v>
      </c>
      <c r="B1727" s="5" t="s">
        <v>1876</v>
      </c>
      <c r="C1727" s="5" t="s">
        <v>2616</v>
      </c>
      <c r="D1727" s="6">
        <v>45922</v>
      </c>
      <c r="E1727" s="6">
        <v>45923</v>
      </c>
      <c r="F1727" s="6">
        <v>45938</v>
      </c>
      <c r="G1727" s="5" t="s">
        <v>2631</v>
      </c>
      <c r="H1727" s="5">
        <v>22</v>
      </c>
      <c r="I1727" s="5">
        <f>IFERROR(INDEX(Raw_Orders!H1727:H4155,MATCH(B1727,Raw_Orders!A1727:A4155,0)),0)</f>
        <v>22</v>
      </c>
      <c r="J1727" s="5" t="str">
        <f t="shared" si="104"/>
        <v>No</v>
      </c>
      <c r="K1727" s="5" t="str">
        <f t="shared" si="105"/>
        <v>Yes</v>
      </c>
      <c r="L1727" s="5" t="str">
        <f t="shared" si="107"/>
        <v>No</v>
      </c>
      <c r="M1727" s="5">
        <f t="shared" si="106"/>
        <v>0</v>
      </c>
    </row>
    <row r="1728" spans="1:13" x14ac:dyDescent="0.3">
      <c r="A1728" s="2" t="s">
        <v>4357</v>
      </c>
      <c r="B1728" s="2" t="s">
        <v>1877</v>
      </c>
      <c r="C1728" s="2" t="s">
        <v>2616</v>
      </c>
      <c r="D1728" s="3">
        <v>45920</v>
      </c>
      <c r="E1728" s="3">
        <v>45930</v>
      </c>
      <c r="F1728" s="3">
        <v>45936</v>
      </c>
      <c r="G1728" s="2" t="s">
        <v>2641</v>
      </c>
      <c r="H1728" s="2">
        <v>54</v>
      </c>
      <c r="I1728" s="2">
        <f>IFERROR(INDEX(Raw_Orders!H1728:H4156,MATCH(B1728,Raw_Orders!A1728:A4156,0)),0)</f>
        <v>54</v>
      </c>
      <c r="J1728" s="2" t="str">
        <f t="shared" si="104"/>
        <v>No</v>
      </c>
      <c r="K1728" s="2" t="str">
        <f t="shared" si="105"/>
        <v>Yes</v>
      </c>
      <c r="L1728" s="2" t="str">
        <f t="shared" si="107"/>
        <v>No</v>
      </c>
      <c r="M1728" s="2">
        <f t="shared" si="106"/>
        <v>0</v>
      </c>
    </row>
    <row r="1729" spans="1:13" x14ac:dyDescent="0.3">
      <c r="A1729" s="5" t="s">
        <v>4358</v>
      </c>
      <c r="B1729" s="5" t="s">
        <v>1878</v>
      </c>
      <c r="C1729" s="5" t="s">
        <v>2606</v>
      </c>
      <c r="D1729" s="6">
        <v>45920</v>
      </c>
      <c r="E1729" s="6">
        <v>45924</v>
      </c>
      <c r="F1729" s="6">
        <v>45926</v>
      </c>
      <c r="G1729" s="5" t="s">
        <v>2631</v>
      </c>
      <c r="H1729" s="5">
        <v>27</v>
      </c>
      <c r="I1729" s="5">
        <f>IFERROR(INDEX(Raw_Orders!H1729:H4157,MATCH(B1729,Raw_Orders!A1729:A4157,0)),0)</f>
        <v>33</v>
      </c>
      <c r="J1729" s="5" t="str">
        <f t="shared" si="104"/>
        <v>No</v>
      </c>
      <c r="K1729" s="5" t="str">
        <f t="shared" si="105"/>
        <v>N0</v>
      </c>
      <c r="L1729" s="5" t="str">
        <f t="shared" si="107"/>
        <v>No</v>
      </c>
      <c r="M1729" s="5">
        <f t="shared" si="106"/>
        <v>0</v>
      </c>
    </row>
    <row r="1730" spans="1:13" x14ac:dyDescent="0.3">
      <c r="A1730" s="2" t="s">
        <v>4359</v>
      </c>
      <c r="B1730" s="2" t="s">
        <v>1879</v>
      </c>
      <c r="C1730" s="2" t="s">
        <v>2606</v>
      </c>
      <c r="D1730" s="3">
        <v>45922</v>
      </c>
      <c r="E1730" s="3">
        <v>45925</v>
      </c>
      <c r="F1730" s="3">
        <v>45929</v>
      </c>
      <c r="G1730" s="2" t="s">
        <v>2641</v>
      </c>
      <c r="H1730" s="2">
        <v>29</v>
      </c>
      <c r="I1730" s="2">
        <f>IFERROR(INDEX(Raw_Orders!H1730:H4158,MATCH(B1730,Raw_Orders!A1730:A4158,0)),0)</f>
        <v>29</v>
      </c>
      <c r="J1730" s="2" t="str">
        <f t="shared" si="104"/>
        <v>No</v>
      </c>
      <c r="K1730" s="2" t="str">
        <f t="shared" si="105"/>
        <v>Yes</v>
      </c>
      <c r="L1730" s="2" t="str">
        <f t="shared" si="107"/>
        <v>No</v>
      </c>
      <c r="M1730" s="2">
        <f t="shared" si="106"/>
        <v>0</v>
      </c>
    </row>
    <row r="1731" spans="1:13" x14ac:dyDescent="0.3">
      <c r="A1731" s="5" t="s">
        <v>4360</v>
      </c>
      <c r="B1731" s="5" t="s">
        <v>1880</v>
      </c>
      <c r="C1731" s="5" t="s">
        <v>2608</v>
      </c>
      <c r="D1731" s="6">
        <v>45921</v>
      </c>
      <c r="E1731" s="6">
        <v>45924</v>
      </c>
      <c r="F1731" s="6">
        <v>45938</v>
      </c>
      <c r="G1731" s="5" t="s">
        <v>2631</v>
      </c>
      <c r="H1731" s="5">
        <v>10</v>
      </c>
      <c r="I1731" s="5">
        <f>IFERROR(INDEX(Raw_Orders!H1731:H4159,MATCH(B1731,Raw_Orders!A1731:A4159,0)),0)</f>
        <v>10</v>
      </c>
      <c r="J1731" s="5" t="str">
        <f t="shared" ref="J1731:J1794" si="108">IF(E1731&gt;=F1731,"Yes","No")</f>
        <v>No</v>
      </c>
      <c r="K1731" s="5" t="str">
        <f t="shared" ref="K1731:K1794" si="109">IF(H1731&gt;=I1731,"Yes","N0")</f>
        <v>Yes</v>
      </c>
      <c r="L1731" s="5" t="str">
        <f t="shared" si="107"/>
        <v>No</v>
      </c>
      <c r="M1731" s="5">
        <f t="shared" ref="M1731:M1794" si="110">IF(L1731="Yes",1,0)</f>
        <v>0</v>
      </c>
    </row>
    <row r="1732" spans="1:13" x14ac:dyDescent="0.3">
      <c r="A1732" s="2" t="s">
        <v>4361</v>
      </c>
      <c r="B1732" s="2" t="s">
        <v>1881</v>
      </c>
      <c r="C1732" s="2" t="s">
        <v>2598</v>
      </c>
      <c r="D1732" s="3">
        <v>45921</v>
      </c>
      <c r="E1732" s="3">
        <v>45925</v>
      </c>
      <c r="F1732" s="3">
        <v>45938</v>
      </c>
      <c r="G1732" s="2" t="s">
        <v>2641</v>
      </c>
      <c r="H1732" s="2">
        <v>12</v>
      </c>
      <c r="I1732" s="2">
        <f>IFERROR(INDEX(Raw_Orders!H1732:H4160,MATCH(B1732,Raw_Orders!A1732:A4160,0)),0)</f>
        <v>12</v>
      </c>
      <c r="J1732" s="2" t="str">
        <f t="shared" si="108"/>
        <v>No</v>
      </c>
      <c r="K1732" s="2" t="str">
        <f t="shared" si="109"/>
        <v>Yes</v>
      </c>
      <c r="L1732" s="2" t="str">
        <f t="shared" ref="L1732:L1795" si="111">IF(AND(J1732="Yes",K1732="Yes"),"Yes","No")</f>
        <v>No</v>
      </c>
      <c r="M1732" s="2">
        <f t="shared" si="110"/>
        <v>0</v>
      </c>
    </row>
    <row r="1733" spans="1:13" x14ac:dyDescent="0.3">
      <c r="A1733" s="5" t="s">
        <v>4362</v>
      </c>
      <c r="B1733" s="5" t="s">
        <v>1882</v>
      </c>
      <c r="C1733" s="5" t="s">
        <v>2601</v>
      </c>
      <c r="D1733" s="6">
        <v>45922</v>
      </c>
      <c r="E1733" s="6">
        <v>45925</v>
      </c>
      <c r="F1733" s="6">
        <v>45927</v>
      </c>
      <c r="G1733" s="5" t="s">
        <v>2631</v>
      </c>
      <c r="H1733" s="5">
        <v>9</v>
      </c>
      <c r="I1733" s="5">
        <f>IFERROR(INDEX(Raw_Orders!H1733:H4161,MATCH(B1733,Raw_Orders!A1733:A4161,0)),0)</f>
        <v>9</v>
      </c>
      <c r="J1733" s="5" t="str">
        <f t="shared" si="108"/>
        <v>No</v>
      </c>
      <c r="K1733" s="5" t="str">
        <f t="shared" si="109"/>
        <v>Yes</v>
      </c>
      <c r="L1733" s="5" t="str">
        <f t="shared" si="111"/>
        <v>No</v>
      </c>
      <c r="M1733" s="5">
        <f t="shared" si="110"/>
        <v>0</v>
      </c>
    </row>
    <row r="1734" spans="1:13" x14ac:dyDescent="0.3">
      <c r="A1734" s="2" t="s">
        <v>4363</v>
      </c>
      <c r="B1734" s="2" t="s">
        <v>1883</v>
      </c>
      <c r="C1734" s="2" t="s">
        <v>2601</v>
      </c>
      <c r="D1734" s="3">
        <v>45923</v>
      </c>
      <c r="E1734" s="3">
        <v>45924</v>
      </c>
      <c r="F1734" s="3">
        <v>45930</v>
      </c>
      <c r="G1734" s="2" t="s">
        <v>2633</v>
      </c>
      <c r="H1734" s="2">
        <v>10</v>
      </c>
      <c r="I1734" s="2">
        <f>IFERROR(INDEX(Raw_Orders!H1734:H4162,MATCH(B1734,Raw_Orders!A1734:A4162,0)),0)</f>
        <v>10</v>
      </c>
      <c r="J1734" s="2" t="str">
        <f t="shared" si="108"/>
        <v>No</v>
      </c>
      <c r="K1734" s="2" t="str">
        <f t="shared" si="109"/>
        <v>Yes</v>
      </c>
      <c r="L1734" s="2" t="str">
        <f t="shared" si="111"/>
        <v>No</v>
      </c>
      <c r="M1734" s="2">
        <f t="shared" si="110"/>
        <v>0</v>
      </c>
    </row>
    <row r="1735" spans="1:13" x14ac:dyDescent="0.3">
      <c r="A1735" s="5" t="s">
        <v>4364</v>
      </c>
      <c r="B1735" s="5" t="s">
        <v>1884</v>
      </c>
      <c r="C1735" s="5" t="s">
        <v>2614</v>
      </c>
      <c r="D1735" s="6">
        <v>45921</v>
      </c>
      <c r="E1735" s="6">
        <v>45930</v>
      </c>
      <c r="F1735" s="6">
        <v>45939</v>
      </c>
      <c r="G1735" s="5" t="s">
        <v>2633</v>
      </c>
      <c r="H1735" s="5">
        <v>10</v>
      </c>
      <c r="I1735" s="5">
        <f>IFERROR(INDEX(Raw_Orders!H1735:H4163,MATCH(B1735,Raw_Orders!A1735:A4163,0)),0)</f>
        <v>10</v>
      </c>
      <c r="J1735" s="5" t="str">
        <f t="shared" si="108"/>
        <v>No</v>
      </c>
      <c r="K1735" s="5" t="str">
        <f t="shared" si="109"/>
        <v>Yes</v>
      </c>
      <c r="L1735" s="5" t="str">
        <f t="shared" si="111"/>
        <v>No</v>
      </c>
      <c r="M1735" s="5">
        <f t="shared" si="110"/>
        <v>0</v>
      </c>
    </row>
    <row r="1736" spans="1:13" x14ac:dyDescent="0.3">
      <c r="A1736" s="2" t="s">
        <v>4365</v>
      </c>
      <c r="B1736" s="2" t="s">
        <v>1885</v>
      </c>
      <c r="C1736" s="2" t="s">
        <v>2616</v>
      </c>
      <c r="D1736" s="3">
        <v>45923</v>
      </c>
      <c r="E1736" s="3">
        <v>45931</v>
      </c>
      <c r="F1736" s="3">
        <v>45939</v>
      </c>
      <c r="G1736" s="2" t="s">
        <v>2629</v>
      </c>
      <c r="H1736" s="2">
        <v>16</v>
      </c>
      <c r="I1736" s="2">
        <f>IFERROR(INDEX(Raw_Orders!H1736:H4164,MATCH(B1736,Raw_Orders!A1736:A4164,0)),0)</f>
        <v>19</v>
      </c>
      <c r="J1736" s="2" t="str">
        <f t="shared" si="108"/>
        <v>No</v>
      </c>
      <c r="K1736" s="2" t="str">
        <f t="shared" si="109"/>
        <v>N0</v>
      </c>
      <c r="L1736" s="2" t="str">
        <f t="shared" si="111"/>
        <v>No</v>
      </c>
      <c r="M1736" s="2">
        <f t="shared" si="110"/>
        <v>0</v>
      </c>
    </row>
    <row r="1737" spans="1:13" x14ac:dyDescent="0.3">
      <c r="A1737" s="5" t="s">
        <v>4366</v>
      </c>
      <c r="B1737" s="5" t="s">
        <v>1886</v>
      </c>
      <c r="C1737" s="5" t="s">
        <v>2616</v>
      </c>
      <c r="D1737" s="6">
        <v>45922</v>
      </c>
      <c r="E1737" s="6">
        <v>45925</v>
      </c>
      <c r="F1737" s="6">
        <v>45938</v>
      </c>
      <c r="G1737" s="5" t="s">
        <v>2631</v>
      </c>
      <c r="H1737" s="5">
        <v>61</v>
      </c>
      <c r="I1737" s="5">
        <f>IFERROR(INDEX(Raw_Orders!H1737:H4165,MATCH(B1737,Raw_Orders!A1737:A4165,0)),0)</f>
        <v>61</v>
      </c>
      <c r="J1737" s="5" t="str">
        <f t="shared" si="108"/>
        <v>No</v>
      </c>
      <c r="K1737" s="5" t="str">
        <f t="shared" si="109"/>
        <v>Yes</v>
      </c>
      <c r="L1737" s="5" t="str">
        <f t="shared" si="111"/>
        <v>No</v>
      </c>
      <c r="M1737" s="5">
        <f t="shared" si="110"/>
        <v>0</v>
      </c>
    </row>
    <row r="1738" spans="1:13" x14ac:dyDescent="0.3">
      <c r="A1738" s="2" t="s">
        <v>4367</v>
      </c>
      <c r="B1738" s="2" t="s">
        <v>1887</v>
      </c>
      <c r="C1738" s="2" t="s">
        <v>2604</v>
      </c>
      <c r="D1738" s="3">
        <v>45922</v>
      </c>
      <c r="E1738" s="3">
        <v>45927</v>
      </c>
      <c r="F1738" s="3">
        <v>45926</v>
      </c>
      <c r="G1738" s="2" t="s">
        <v>2629</v>
      </c>
      <c r="H1738" s="2">
        <v>27</v>
      </c>
      <c r="I1738" s="2">
        <f>IFERROR(INDEX(Raw_Orders!H1738:H4166,MATCH(B1738,Raw_Orders!A1738:A4166,0)),0)</f>
        <v>27</v>
      </c>
      <c r="J1738" s="2" t="str">
        <f t="shared" si="108"/>
        <v>Yes</v>
      </c>
      <c r="K1738" s="2" t="str">
        <f t="shared" si="109"/>
        <v>Yes</v>
      </c>
      <c r="L1738" s="2" t="str">
        <f t="shared" si="111"/>
        <v>Yes</v>
      </c>
      <c r="M1738" s="2">
        <f t="shared" si="110"/>
        <v>1</v>
      </c>
    </row>
    <row r="1739" spans="1:13" x14ac:dyDescent="0.3">
      <c r="A1739" s="5" t="s">
        <v>4368</v>
      </c>
      <c r="B1739" s="5" t="s">
        <v>1888</v>
      </c>
      <c r="C1739" s="5" t="s">
        <v>2606</v>
      </c>
      <c r="D1739" s="6">
        <v>45921</v>
      </c>
      <c r="E1739" s="6">
        <v>45928</v>
      </c>
      <c r="F1739" s="6">
        <v>45929</v>
      </c>
      <c r="G1739" s="5" t="s">
        <v>2629</v>
      </c>
      <c r="H1739" s="5">
        <v>45</v>
      </c>
      <c r="I1739" s="5">
        <f>IFERROR(INDEX(Raw_Orders!H1739:H4167,MATCH(B1739,Raw_Orders!A1739:A4167,0)),0)</f>
        <v>45</v>
      </c>
      <c r="J1739" s="5" t="str">
        <f t="shared" si="108"/>
        <v>No</v>
      </c>
      <c r="K1739" s="5" t="str">
        <f t="shared" si="109"/>
        <v>Yes</v>
      </c>
      <c r="L1739" s="5" t="str">
        <f t="shared" si="111"/>
        <v>No</v>
      </c>
      <c r="M1739" s="5">
        <f t="shared" si="110"/>
        <v>0</v>
      </c>
    </row>
    <row r="1740" spans="1:13" x14ac:dyDescent="0.3">
      <c r="A1740" s="2" t="s">
        <v>4369</v>
      </c>
      <c r="B1740" s="2" t="s">
        <v>1889</v>
      </c>
      <c r="C1740" s="2" t="s">
        <v>2606</v>
      </c>
      <c r="D1740" s="3">
        <v>45921</v>
      </c>
      <c r="E1740" s="3">
        <v>45926</v>
      </c>
      <c r="F1740" s="3">
        <v>45927</v>
      </c>
      <c r="G1740" s="2" t="s">
        <v>2631</v>
      </c>
      <c r="H1740" s="2">
        <v>19</v>
      </c>
      <c r="I1740" s="2">
        <f>IFERROR(INDEX(Raw_Orders!H1740:H4168,MATCH(B1740,Raw_Orders!A1740:A4168,0)),0)</f>
        <v>19</v>
      </c>
      <c r="J1740" s="2" t="str">
        <f t="shared" si="108"/>
        <v>No</v>
      </c>
      <c r="K1740" s="2" t="str">
        <f t="shared" si="109"/>
        <v>Yes</v>
      </c>
      <c r="L1740" s="2" t="str">
        <f t="shared" si="111"/>
        <v>No</v>
      </c>
      <c r="M1740" s="2">
        <f t="shared" si="110"/>
        <v>0</v>
      </c>
    </row>
    <row r="1741" spans="1:13" x14ac:dyDescent="0.3">
      <c r="A1741" s="5" t="s">
        <v>4370</v>
      </c>
      <c r="B1741" s="5" t="s">
        <v>1890</v>
      </c>
      <c r="C1741" s="5" t="s">
        <v>2601</v>
      </c>
      <c r="D1741" s="6">
        <v>45922</v>
      </c>
      <c r="E1741" s="6">
        <v>45928</v>
      </c>
      <c r="F1741" s="6">
        <v>45929</v>
      </c>
      <c r="G1741" s="5" t="s">
        <v>2629</v>
      </c>
      <c r="H1741" s="5">
        <v>18</v>
      </c>
      <c r="I1741" s="5">
        <f>IFERROR(INDEX(Raw_Orders!H1741:H4169,MATCH(B1741,Raw_Orders!A1741:A4169,0)),0)</f>
        <v>18</v>
      </c>
      <c r="J1741" s="5" t="str">
        <f t="shared" si="108"/>
        <v>No</v>
      </c>
      <c r="K1741" s="5" t="str">
        <f t="shared" si="109"/>
        <v>Yes</v>
      </c>
      <c r="L1741" s="5" t="str">
        <f t="shared" si="111"/>
        <v>No</v>
      </c>
      <c r="M1741" s="5">
        <f t="shared" si="110"/>
        <v>0</v>
      </c>
    </row>
    <row r="1742" spans="1:13" x14ac:dyDescent="0.3">
      <c r="A1742" s="2" t="s">
        <v>4371</v>
      </c>
      <c r="B1742" s="2" t="s">
        <v>1891</v>
      </c>
      <c r="C1742" s="2" t="s">
        <v>2614</v>
      </c>
      <c r="D1742" s="3">
        <v>45923</v>
      </c>
      <c r="E1742" s="3">
        <v>45931</v>
      </c>
      <c r="F1742" s="3">
        <v>45941</v>
      </c>
      <c r="G1742" s="2" t="s">
        <v>2631</v>
      </c>
      <c r="H1742" s="2">
        <v>20</v>
      </c>
      <c r="I1742" s="2">
        <f>IFERROR(INDEX(Raw_Orders!H1742:H4170,MATCH(B1742,Raw_Orders!A1742:A4170,0)),0)</f>
        <v>20</v>
      </c>
      <c r="J1742" s="2" t="str">
        <f t="shared" si="108"/>
        <v>No</v>
      </c>
      <c r="K1742" s="2" t="str">
        <f t="shared" si="109"/>
        <v>Yes</v>
      </c>
      <c r="L1742" s="2" t="str">
        <f t="shared" si="111"/>
        <v>No</v>
      </c>
      <c r="M1742" s="2">
        <f t="shared" si="110"/>
        <v>0</v>
      </c>
    </row>
    <row r="1743" spans="1:13" x14ac:dyDescent="0.3">
      <c r="A1743" s="5" t="s">
        <v>4372</v>
      </c>
      <c r="B1743" s="5" t="s">
        <v>1892</v>
      </c>
      <c r="C1743" s="5" t="s">
        <v>2616</v>
      </c>
      <c r="D1743" s="6">
        <v>45922</v>
      </c>
      <c r="E1743" s="6">
        <v>45926</v>
      </c>
      <c r="F1743" s="6">
        <v>45939</v>
      </c>
      <c r="G1743" s="5" t="s">
        <v>2627</v>
      </c>
      <c r="H1743" s="5">
        <v>15</v>
      </c>
      <c r="I1743" s="5">
        <f>IFERROR(INDEX(Raw_Orders!H1743:H4171,MATCH(B1743,Raw_Orders!A1743:A4171,0)),0)</f>
        <v>15</v>
      </c>
      <c r="J1743" s="5" t="str">
        <f t="shared" si="108"/>
        <v>No</v>
      </c>
      <c r="K1743" s="5" t="str">
        <f t="shared" si="109"/>
        <v>Yes</v>
      </c>
      <c r="L1743" s="5" t="str">
        <f t="shared" si="111"/>
        <v>No</v>
      </c>
      <c r="M1743" s="5">
        <f t="shared" si="110"/>
        <v>0</v>
      </c>
    </row>
    <row r="1744" spans="1:13" x14ac:dyDescent="0.3">
      <c r="A1744" s="2" t="s">
        <v>4373</v>
      </c>
      <c r="B1744" s="2" t="s">
        <v>1893</v>
      </c>
      <c r="C1744" s="2" t="s">
        <v>2608</v>
      </c>
      <c r="D1744" s="3">
        <v>45923</v>
      </c>
      <c r="E1744" s="3">
        <v>45928</v>
      </c>
      <c r="F1744" s="3">
        <v>45937</v>
      </c>
      <c r="G1744" s="2" t="s">
        <v>2627</v>
      </c>
      <c r="H1744" s="2">
        <v>26</v>
      </c>
      <c r="I1744" s="2">
        <f>IFERROR(INDEX(Raw_Orders!H1744:H4172,MATCH(B1744,Raw_Orders!A1744:A4172,0)),0)</f>
        <v>26</v>
      </c>
      <c r="J1744" s="2" t="str">
        <f t="shared" si="108"/>
        <v>No</v>
      </c>
      <c r="K1744" s="2" t="str">
        <f t="shared" si="109"/>
        <v>Yes</v>
      </c>
      <c r="L1744" s="2" t="str">
        <f t="shared" si="111"/>
        <v>No</v>
      </c>
      <c r="M1744" s="2">
        <f t="shared" si="110"/>
        <v>0</v>
      </c>
    </row>
    <row r="1745" spans="1:13" x14ac:dyDescent="0.3">
      <c r="A1745" s="5" t="s">
        <v>4374</v>
      </c>
      <c r="B1745" s="5" t="s">
        <v>1894</v>
      </c>
      <c r="C1745" s="5" t="s">
        <v>2608</v>
      </c>
      <c r="D1745" s="6">
        <v>45924</v>
      </c>
      <c r="E1745" s="6">
        <v>45930</v>
      </c>
      <c r="F1745" s="6">
        <v>45941</v>
      </c>
      <c r="G1745" s="5" t="s">
        <v>2629</v>
      </c>
      <c r="H1745" s="5">
        <v>11</v>
      </c>
      <c r="I1745" s="5">
        <f>IFERROR(INDEX(Raw_Orders!H1745:H4173,MATCH(B1745,Raw_Orders!A1745:A4173,0)),0)</f>
        <v>11</v>
      </c>
      <c r="J1745" s="5" t="str">
        <f t="shared" si="108"/>
        <v>No</v>
      </c>
      <c r="K1745" s="5" t="str">
        <f t="shared" si="109"/>
        <v>Yes</v>
      </c>
      <c r="L1745" s="5" t="str">
        <f t="shared" si="111"/>
        <v>No</v>
      </c>
      <c r="M1745" s="5">
        <f t="shared" si="110"/>
        <v>0</v>
      </c>
    </row>
    <row r="1746" spans="1:13" x14ac:dyDescent="0.3">
      <c r="A1746" s="2" t="s">
        <v>4375</v>
      </c>
      <c r="B1746" s="2" t="s">
        <v>1895</v>
      </c>
      <c r="C1746" s="2" t="s">
        <v>2611</v>
      </c>
      <c r="D1746" s="3">
        <v>45924</v>
      </c>
      <c r="E1746" s="3">
        <v>45933</v>
      </c>
      <c r="F1746" s="3">
        <v>45931</v>
      </c>
      <c r="G1746" s="2" t="s">
        <v>2633</v>
      </c>
      <c r="H1746" s="2">
        <v>17</v>
      </c>
      <c r="I1746" s="2">
        <f>IFERROR(INDEX(Raw_Orders!H1746:H4174,MATCH(B1746,Raw_Orders!A1746:A4174,0)),0)</f>
        <v>17</v>
      </c>
      <c r="J1746" s="2" t="str">
        <f t="shared" si="108"/>
        <v>Yes</v>
      </c>
      <c r="K1746" s="2" t="str">
        <f t="shared" si="109"/>
        <v>Yes</v>
      </c>
      <c r="L1746" s="2" t="str">
        <f t="shared" si="111"/>
        <v>Yes</v>
      </c>
      <c r="M1746" s="2">
        <f t="shared" si="110"/>
        <v>1</v>
      </c>
    </row>
    <row r="1747" spans="1:13" x14ac:dyDescent="0.3">
      <c r="A1747" s="5" t="s">
        <v>4376</v>
      </c>
      <c r="B1747" s="5" t="s">
        <v>1896</v>
      </c>
      <c r="C1747" s="5" t="s">
        <v>2598</v>
      </c>
      <c r="D1747" s="6">
        <v>45924</v>
      </c>
      <c r="E1747" s="6">
        <v>45926</v>
      </c>
      <c r="F1747" s="6">
        <v>45939</v>
      </c>
      <c r="G1747" s="5" t="s">
        <v>2631</v>
      </c>
      <c r="H1747" s="5">
        <v>39</v>
      </c>
      <c r="I1747" s="5">
        <f>IFERROR(INDEX(Raw_Orders!H1747:H4175,MATCH(B1747,Raw_Orders!A1747:A4175,0)),0)</f>
        <v>39</v>
      </c>
      <c r="J1747" s="5" t="str">
        <f t="shared" si="108"/>
        <v>No</v>
      </c>
      <c r="K1747" s="5" t="str">
        <f t="shared" si="109"/>
        <v>Yes</v>
      </c>
      <c r="L1747" s="5" t="str">
        <f t="shared" si="111"/>
        <v>No</v>
      </c>
      <c r="M1747" s="5">
        <f t="shared" si="110"/>
        <v>0</v>
      </c>
    </row>
    <row r="1748" spans="1:13" x14ac:dyDescent="0.3">
      <c r="A1748" s="2" t="s">
        <v>4377</v>
      </c>
      <c r="B1748" s="2" t="s">
        <v>1897</v>
      </c>
      <c r="C1748" s="2" t="s">
        <v>2601</v>
      </c>
      <c r="D1748" s="3">
        <v>45924</v>
      </c>
      <c r="E1748" s="3">
        <v>45929</v>
      </c>
      <c r="F1748" s="3">
        <v>45930</v>
      </c>
      <c r="G1748" s="2" t="s">
        <v>2631</v>
      </c>
      <c r="H1748" s="2">
        <v>3</v>
      </c>
      <c r="I1748" s="2">
        <f>IFERROR(INDEX(Raw_Orders!H1748:H4176,MATCH(B1748,Raw_Orders!A1748:A4176,0)),0)</f>
        <v>11</v>
      </c>
      <c r="J1748" s="2" t="str">
        <f t="shared" si="108"/>
        <v>No</v>
      </c>
      <c r="K1748" s="2" t="str">
        <f t="shared" si="109"/>
        <v>N0</v>
      </c>
      <c r="L1748" s="2" t="str">
        <f t="shared" si="111"/>
        <v>No</v>
      </c>
      <c r="M1748" s="2">
        <f t="shared" si="110"/>
        <v>0</v>
      </c>
    </row>
    <row r="1749" spans="1:13" x14ac:dyDescent="0.3">
      <c r="A1749" s="5" t="s">
        <v>4378</v>
      </c>
      <c r="B1749" s="5" t="s">
        <v>1898</v>
      </c>
      <c r="C1749" s="5" t="s">
        <v>2604</v>
      </c>
      <c r="D1749" s="6">
        <v>45925</v>
      </c>
      <c r="E1749" s="6">
        <v>45926</v>
      </c>
      <c r="F1749" s="6">
        <v>45930</v>
      </c>
      <c r="G1749" s="5" t="s">
        <v>2631</v>
      </c>
      <c r="H1749" s="5">
        <v>12</v>
      </c>
      <c r="I1749" s="5">
        <f>IFERROR(INDEX(Raw_Orders!H1749:H4177,MATCH(B1749,Raw_Orders!A1749:A4177,0)),0)</f>
        <v>12</v>
      </c>
      <c r="J1749" s="5" t="str">
        <f t="shared" si="108"/>
        <v>No</v>
      </c>
      <c r="K1749" s="5" t="str">
        <f t="shared" si="109"/>
        <v>Yes</v>
      </c>
      <c r="L1749" s="5" t="str">
        <f t="shared" si="111"/>
        <v>No</v>
      </c>
      <c r="M1749" s="5">
        <f t="shared" si="110"/>
        <v>0</v>
      </c>
    </row>
    <row r="1750" spans="1:13" x14ac:dyDescent="0.3">
      <c r="A1750" s="2" t="s">
        <v>4379</v>
      </c>
      <c r="B1750" s="2" t="s">
        <v>1899</v>
      </c>
      <c r="C1750" s="2" t="s">
        <v>2616</v>
      </c>
      <c r="D1750" s="3">
        <v>45923</v>
      </c>
      <c r="E1750" s="3">
        <v>45927</v>
      </c>
      <c r="F1750" s="3">
        <v>45938</v>
      </c>
      <c r="G1750" s="2" t="s">
        <v>2641</v>
      </c>
      <c r="H1750" s="2">
        <v>15</v>
      </c>
      <c r="I1750" s="2">
        <f>IFERROR(INDEX(Raw_Orders!H1750:H4178,MATCH(B1750,Raw_Orders!A1750:A4178,0)),0)</f>
        <v>15</v>
      </c>
      <c r="J1750" s="2" t="str">
        <f t="shared" si="108"/>
        <v>No</v>
      </c>
      <c r="K1750" s="2" t="str">
        <f t="shared" si="109"/>
        <v>Yes</v>
      </c>
      <c r="L1750" s="2" t="str">
        <f t="shared" si="111"/>
        <v>No</v>
      </c>
      <c r="M1750" s="2">
        <f t="shared" si="110"/>
        <v>0</v>
      </c>
    </row>
    <row r="1751" spans="1:13" x14ac:dyDescent="0.3">
      <c r="A1751" s="5" t="s">
        <v>4380</v>
      </c>
      <c r="B1751" s="5" t="s">
        <v>1900</v>
      </c>
      <c r="C1751" s="5" t="s">
        <v>2606</v>
      </c>
      <c r="D1751" s="6">
        <v>45925</v>
      </c>
      <c r="E1751" s="6">
        <v>45929</v>
      </c>
      <c r="F1751" s="6">
        <v>45932</v>
      </c>
      <c r="G1751" s="5" t="s">
        <v>2641</v>
      </c>
      <c r="H1751" s="5">
        <v>10</v>
      </c>
      <c r="I1751" s="5">
        <f>IFERROR(INDEX(Raw_Orders!H1751:H4179,MATCH(B1751,Raw_Orders!A1751:A4179,0)),0)</f>
        <v>10</v>
      </c>
      <c r="J1751" s="5" t="str">
        <f t="shared" si="108"/>
        <v>No</v>
      </c>
      <c r="K1751" s="5" t="str">
        <f t="shared" si="109"/>
        <v>Yes</v>
      </c>
      <c r="L1751" s="5" t="str">
        <f t="shared" si="111"/>
        <v>No</v>
      </c>
      <c r="M1751" s="5">
        <f t="shared" si="110"/>
        <v>0</v>
      </c>
    </row>
    <row r="1752" spans="1:13" x14ac:dyDescent="0.3">
      <c r="A1752" s="2" t="s">
        <v>4381</v>
      </c>
      <c r="B1752" s="2" t="s">
        <v>1901</v>
      </c>
      <c r="C1752" s="2" t="s">
        <v>2608</v>
      </c>
      <c r="D1752" s="3">
        <v>45923</v>
      </c>
      <c r="E1752" s="3">
        <v>45931</v>
      </c>
      <c r="F1752" s="3">
        <v>45935</v>
      </c>
      <c r="G1752" s="2" t="s">
        <v>2629</v>
      </c>
      <c r="H1752" s="2">
        <v>32</v>
      </c>
      <c r="I1752" s="2">
        <f>IFERROR(INDEX(Raw_Orders!H1752:H4180,MATCH(B1752,Raw_Orders!A1752:A4180,0)),0)</f>
        <v>32</v>
      </c>
      <c r="J1752" s="2" t="str">
        <f t="shared" si="108"/>
        <v>No</v>
      </c>
      <c r="K1752" s="2" t="str">
        <f t="shared" si="109"/>
        <v>Yes</v>
      </c>
      <c r="L1752" s="2" t="str">
        <f t="shared" si="111"/>
        <v>No</v>
      </c>
      <c r="M1752" s="2">
        <f t="shared" si="110"/>
        <v>0</v>
      </c>
    </row>
    <row r="1753" spans="1:13" x14ac:dyDescent="0.3">
      <c r="A1753" s="5" t="s">
        <v>4382</v>
      </c>
      <c r="B1753" s="5" t="s">
        <v>1902</v>
      </c>
      <c r="C1753" s="5" t="s">
        <v>2608</v>
      </c>
      <c r="D1753" s="6">
        <v>45923</v>
      </c>
      <c r="E1753" s="6">
        <v>45926</v>
      </c>
      <c r="F1753" s="6">
        <v>45936</v>
      </c>
      <c r="G1753" s="5" t="s">
        <v>2633</v>
      </c>
      <c r="H1753" s="5">
        <v>2</v>
      </c>
      <c r="I1753" s="5">
        <f>IFERROR(INDEX(Raw_Orders!H1753:H4181,MATCH(B1753,Raw_Orders!A1753:A4181,0)),0)</f>
        <v>2</v>
      </c>
      <c r="J1753" s="5" t="str">
        <f t="shared" si="108"/>
        <v>No</v>
      </c>
      <c r="K1753" s="5" t="str">
        <f t="shared" si="109"/>
        <v>Yes</v>
      </c>
      <c r="L1753" s="5" t="str">
        <f t="shared" si="111"/>
        <v>No</v>
      </c>
      <c r="M1753" s="5">
        <f t="shared" si="110"/>
        <v>0</v>
      </c>
    </row>
    <row r="1754" spans="1:13" x14ac:dyDescent="0.3">
      <c r="A1754" s="2" t="s">
        <v>4383</v>
      </c>
      <c r="B1754" s="2" t="s">
        <v>1903</v>
      </c>
      <c r="C1754" s="2" t="s">
        <v>2601</v>
      </c>
      <c r="D1754" s="3">
        <v>45924</v>
      </c>
      <c r="E1754" s="3">
        <v>45930</v>
      </c>
      <c r="F1754" s="3">
        <v>45931</v>
      </c>
      <c r="G1754" s="2" t="s">
        <v>2631</v>
      </c>
      <c r="H1754" s="2">
        <v>27</v>
      </c>
      <c r="I1754" s="2">
        <f>IFERROR(INDEX(Raw_Orders!H1754:H4182,MATCH(B1754,Raw_Orders!A1754:A4182,0)),0)</f>
        <v>27</v>
      </c>
      <c r="J1754" s="2" t="str">
        <f t="shared" si="108"/>
        <v>No</v>
      </c>
      <c r="K1754" s="2" t="str">
        <f t="shared" si="109"/>
        <v>Yes</v>
      </c>
      <c r="L1754" s="2" t="str">
        <f t="shared" si="111"/>
        <v>No</v>
      </c>
      <c r="M1754" s="2">
        <f t="shared" si="110"/>
        <v>0</v>
      </c>
    </row>
    <row r="1755" spans="1:13" x14ac:dyDescent="0.3">
      <c r="A1755" s="5" t="s">
        <v>4384</v>
      </c>
      <c r="B1755" s="5" t="s">
        <v>1904</v>
      </c>
      <c r="C1755" s="5" t="s">
        <v>2604</v>
      </c>
      <c r="D1755" s="6">
        <v>45926</v>
      </c>
      <c r="E1755" s="6">
        <v>45933</v>
      </c>
      <c r="F1755" s="6">
        <v>45934</v>
      </c>
      <c r="G1755" s="5" t="s">
        <v>2633</v>
      </c>
      <c r="H1755" s="5">
        <v>43</v>
      </c>
      <c r="I1755" s="5">
        <f>IFERROR(INDEX(Raw_Orders!H1755:H4183,MATCH(B1755,Raw_Orders!A1755:A4183,0)),0)</f>
        <v>43</v>
      </c>
      <c r="J1755" s="5" t="str">
        <f t="shared" si="108"/>
        <v>No</v>
      </c>
      <c r="K1755" s="5" t="str">
        <f t="shared" si="109"/>
        <v>Yes</v>
      </c>
      <c r="L1755" s="5" t="str">
        <f t="shared" si="111"/>
        <v>No</v>
      </c>
      <c r="M1755" s="5">
        <f t="shared" si="110"/>
        <v>0</v>
      </c>
    </row>
    <row r="1756" spans="1:13" x14ac:dyDescent="0.3">
      <c r="A1756" s="2" t="s">
        <v>4385</v>
      </c>
      <c r="B1756" s="2" t="s">
        <v>1905</v>
      </c>
      <c r="C1756" s="2" t="s">
        <v>2606</v>
      </c>
      <c r="D1756" s="3">
        <v>45924</v>
      </c>
      <c r="E1756" s="3">
        <v>45933</v>
      </c>
      <c r="F1756" s="3">
        <v>45931</v>
      </c>
      <c r="G1756" s="2" t="s">
        <v>2631</v>
      </c>
      <c r="H1756" s="2">
        <v>17</v>
      </c>
      <c r="I1756" s="2">
        <f>IFERROR(INDEX(Raw_Orders!H1756:H4184,MATCH(B1756,Raw_Orders!A1756:A4184,0)),0)</f>
        <v>17</v>
      </c>
      <c r="J1756" s="2" t="str">
        <f t="shared" si="108"/>
        <v>Yes</v>
      </c>
      <c r="K1756" s="2" t="str">
        <f t="shared" si="109"/>
        <v>Yes</v>
      </c>
      <c r="L1756" s="2" t="str">
        <f t="shared" si="111"/>
        <v>Yes</v>
      </c>
      <c r="M1756" s="2">
        <f t="shared" si="110"/>
        <v>1</v>
      </c>
    </row>
    <row r="1757" spans="1:13" x14ac:dyDescent="0.3">
      <c r="A1757" s="5" t="s">
        <v>4386</v>
      </c>
      <c r="B1757" s="5" t="s">
        <v>1906</v>
      </c>
      <c r="C1757" s="5" t="s">
        <v>2608</v>
      </c>
      <c r="D1757" s="6">
        <v>45926</v>
      </c>
      <c r="E1757" s="6">
        <v>45933</v>
      </c>
      <c r="F1757" s="6">
        <v>45943</v>
      </c>
      <c r="G1757" s="5" t="s">
        <v>2631</v>
      </c>
      <c r="H1757" s="5">
        <v>6</v>
      </c>
      <c r="I1757" s="5">
        <f>IFERROR(INDEX(Raw_Orders!H1757:H4185,MATCH(B1757,Raw_Orders!A1757:A4185,0)),0)</f>
        <v>6</v>
      </c>
      <c r="J1757" s="5" t="str">
        <f t="shared" si="108"/>
        <v>No</v>
      </c>
      <c r="K1757" s="5" t="str">
        <f t="shared" si="109"/>
        <v>Yes</v>
      </c>
      <c r="L1757" s="5" t="str">
        <f t="shared" si="111"/>
        <v>No</v>
      </c>
      <c r="M1757" s="5">
        <f t="shared" si="110"/>
        <v>0</v>
      </c>
    </row>
    <row r="1758" spans="1:13" x14ac:dyDescent="0.3">
      <c r="A1758" s="2" t="s">
        <v>4387</v>
      </c>
      <c r="B1758" s="2" t="s">
        <v>1907</v>
      </c>
      <c r="C1758" s="2" t="s">
        <v>2598</v>
      </c>
      <c r="D1758" s="3">
        <v>45925</v>
      </c>
      <c r="E1758" s="3">
        <v>45935</v>
      </c>
      <c r="F1758" s="3">
        <v>45940</v>
      </c>
      <c r="G1758" s="2" t="s">
        <v>2633</v>
      </c>
      <c r="H1758" s="2">
        <v>33</v>
      </c>
      <c r="I1758" s="2">
        <f>IFERROR(INDEX(Raw_Orders!H1758:H4186,MATCH(B1758,Raw_Orders!A1758:A4186,0)),0)</f>
        <v>33</v>
      </c>
      <c r="J1758" s="2" t="str">
        <f t="shared" si="108"/>
        <v>No</v>
      </c>
      <c r="K1758" s="2" t="str">
        <f t="shared" si="109"/>
        <v>Yes</v>
      </c>
      <c r="L1758" s="2" t="str">
        <f t="shared" si="111"/>
        <v>No</v>
      </c>
      <c r="M1758" s="2">
        <f t="shared" si="110"/>
        <v>0</v>
      </c>
    </row>
    <row r="1759" spans="1:13" x14ac:dyDescent="0.3">
      <c r="A1759" s="5" t="s">
        <v>4388</v>
      </c>
      <c r="B1759" s="5" t="s">
        <v>1908</v>
      </c>
      <c r="C1759" s="5" t="s">
        <v>2611</v>
      </c>
      <c r="D1759" s="6">
        <v>45926</v>
      </c>
      <c r="E1759" s="6">
        <v>45935</v>
      </c>
      <c r="F1759" s="6">
        <v>45935</v>
      </c>
      <c r="G1759" s="5" t="s">
        <v>2631</v>
      </c>
      <c r="H1759" s="5">
        <v>12</v>
      </c>
      <c r="I1759" s="5">
        <f>IFERROR(INDEX(Raw_Orders!H1759:H4187,MATCH(B1759,Raw_Orders!A1759:A4187,0)),0)</f>
        <v>12</v>
      </c>
      <c r="J1759" s="5" t="str">
        <f t="shared" si="108"/>
        <v>Yes</v>
      </c>
      <c r="K1759" s="5" t="str">
        <f t="shared" si="109"/>
        <v>Yes</v>
      </c>
      <c r="L1759" s="5" t="str">
        <f t="shared" si="111"/>
        <v>Yes</v>
      </c>
      <c r="M1759" s="5">
        <f t="shared" si="110"/>
        <v>1</v>
      </c>
    </row>
    <row r="1760" spans="1:13" x14ac:dyDescent="0.3">
      <c r="A1760" s="2" t="s">
        <v>4389</v>
      </c>
      <c r="B1760" s="2" t="s">
        <v>1909</v>
      </c>
      <c r="C1760" s="2" t="s">
        <v>2598</v>
      </c>
      <c r="D1760" s="3">
        <v>45925</v>
      </c>
      <c r="E1760" s="3">
        <v>45932</v>
      </c>
      <c r="F1760" s="3">
        <v>45937</v>
      </c>
      <c r="G1760" s="2" t="s">
        <v>2641</v>
      </c>
      <c r="H1760" s="2">
        <v>37</v>
      </c>
      <c r="I1760" s="2">
        <f>IFERROR(INDEX(Raw_Orders!H1760:H4188,MATCH(B1760,Raw_Orders!A1760:A4188,0)),0)</f>
        <v>37</v>
      </c>
      <c r="J1760" s="2" t="str">
        <f t="shared" si="108"/>
        <v>No</v>
      </c>
      <c r="K1760" s="2" t="str">
        <f t="shared" si="109"/>
        <v>Yes</v>
      </c>
      <c r="L1760" s="2" t="str">
        <f t="shared" si="111"/>
        <v>No</v>
      </c>
      <c r="M1760" s="2">
        <f t="shared" si="110"/>
        <v>0</v>
      </c>
    </row>
    <row r="1761" spans="1:13" x14ac:dyDescent="0.3">
      <c r="A1761" s="5" t="s">
        <v>4390</v>
      </c>
      <c r="B1761" s="5" t="s">
        <v>1910</v>
      </c>
      <c r="C1761" s="5" t="s">
        <v>2601</v>
      </c>
      <c r="D1761" s="6">
        <v>45926</v>
      </c>
      <c r="E1761" s="6">
        <v>45928</v>
      </c>
      <c r="F1761" s="6">
        <v>45935</v>
      </c>
      <c r="G1761" s="5" t="s">
        <v>2629</v>
      </c>
      <c r="H1761" s="5">
        <v>15</v>
      </c>
      <c r="I1761" s="5">
        <f>IFERROR(INDEX(Raw_Orders!H1761:H4189,MATCH(B1761,Raw_Orders!A1761:A4189,0)),0)</f>
        <v>18</v>
      </c>
      <c r="J1761" s="5" t="str">
        <f t="shared" si="108"/>
        <v>No</v>
      </c>
      <c r="K1761" s="5" t="str">
        <f t="shared" si="109"/>
        <v>N0</v>
      </c>
      <c r="L1761" s="5" t="str">
        <f t="shared" si="111"/>
        <v>No</v>
      </c>
      <c r="M1761" s="5">
        <f t="shared" si="110"/>
        <v>0</v>
      </c>
    </row>
    <row r="1762" spans="1:13" x14ac:dyDescent="0.3">
      <c r="A1762" s="2" t="s">
        <v>4391</v>
      </c>
      <c r="B1762" s="2" t="s">
        <v>1911</v>
      </c>
      <c r="C1762" s="2" t="s">
        <v>2606</v>
      </c>
      <c r="D1762" s="3">
        <v>45925</v>
      </c>
      <c r="E1762" s="3">
        <v>45935</v>
      </c>
      <c r="F1762" s="3">
        <v>45931</v>
      </c>
      <c r="G1762" s="2" t="s">
        <v>2631</v>
      </c>
      <c r="H1762" s="2">
        <v>27</v>
      </c>
      <c r="I1762" s="2">
        <f>IFERROR(INDEX(Raw_Orders!H1762:H4190,MATCH(B1762,Raw_Orders!A1762:A4190,0)),0)</f>
        <v>27</v>
      </c>
      <c r="J1762" s="2" t="str">
        <f t="shared" si="108"/>
        <v>Yes</v>
      </c>
      <c r="K1762" s="2" t="str">
        <f t="shared" si="109"/>
        <v>Yes</v>
      </c>
      <c r="L1762" s="2" t="str">
        <f t="shared" si="111"/>
        <v>Yes</v>
      </c>
      <c r="M1762" s="2">
        <f t="shared" si="110"/>
        <v>1</v>
      </c>
    </row>
    <row r="1763" spans="1:13" x14ac:dyDescent="0.3">
      <c r="A1763" s="5" t="s">
        <v>4392</v>
      </c>
      <c r="B1763" s="5" t="s">
        <v>1912</v>
      </c>
      <c r="C1763" s="5" t="s">
        <v>2608</v>
      </c>
      <c r="D1763" s="6">
        <v>45927</v>
      </c>
      <c r="E1763" s="6">
        <v>45929</v>
      </c>
      <c r="F1763" s="6">
        <v>45940</v>
      </c>
      <c r="G1763" s="5" t="s">
        <v>2629</v>
      </c>
      <c r="H1763" s="5">
        <v>4</v>
      </c>
      <c r="I1763" s="5">
        <f>IFERROR(INDEX(Raw_Orders!H1763:H4191,MATCH(B1763,Raw_Orders!A1763:A4191,0)),0)</f>
        <v>4</v>
      </c>
      <c r="J1763" s="5" t="str">
        <f t="shared" si="108"/>
        <v>No</v>
      </c>
      <c r="K1763" s="5" t="str">
        <f t="shared" si="109"/>
        <v>Yes</v>
      </c>
      <c r="L1763" s="5" t="str">
        <f t="shared" si="111"/>
        <v>No</v>
      </c>
      <c r="M1763" s="5">
        <f t="shared" si="110"/>
        <v>0</v>
      </c>
    </row>
    <row r="1764" spans="1:13" x14ac:dyDescent="0.3">
      <c r="A1764" s="2" t="s">
        <v>4393</v>
      </c>
      <c r="B1764" s="2" t="s">
        <v>1913</v>
      </c>
      <c r="C1764" s="2" t="s">
        <v>2608</v>
      </c>
      <c r="D1764" s="3">
        <v>45925</v>
      </c>
      <c r="E1764" s="3">
        <v>45929</v>
      </c>
      <c r="F1764" s="3">
        <v>45940</v>
      </c>
      <c r="G1764" s="2" t="s">
        <v>2629</v>
      </c>
      <c r="H1764" s="2">
        <v>12</v>
      </c>
      <c r="I1764" s="2">
        <f>IFERROR(INDEX(Raw_Orders!H1764:H4192,MATCH(B1764,Raw_Orders!A1764:A4192,0)),0)</f>
        <v>12</v>
      </c>
      <c r="J1764" s="2" t="str">
        <f t="shared" si="108"/>
        <v>No</v>
      </c>
      <c r="K1764" s="2" t="str">
        <f t="shared" si="109"/>
        <v>Yes</v>
      </c>
      <c r="L1764" s="2" t="str">
        <f t="shared" si="111"/>
        <v>No</v>
      </c>
      <c r="M1764" s="2">
        <f t="shared" si="110"/>
        <v>0</v>
      </c>
    </row>
    <row r="1765" spans="1:13" x14ac:dyDescent="0.3">
      <c r="A1765" s="5" t="s">
        <v>4394</v>
      </c>
      <c r="B1765" s="5" t="s">
        <v>1914</v>
      </c>
      <c r="C1765" s="5" t="s">
        <v>2614</v>
      </c>
      <c r="D1765" s="6">
        <v>45927</v>
      </c>
      <c r="E1765" s="6">
        <v>45936</v>
      </c>
      <c r="F1765" s="6">
        <v>45941</v>
      </c>
      <c r="G1765" s="5" t="s">
        <v>2629</v>
      </c>
      <c r="H1765" s="5">
        <v>22</v>
      </c>
      <c r="I1765" s="5">
        <f>IFERROR(INDEX(Raw_Orders!H1765:H4193,MATCH(B1765,Raw_Orders!A1765:A4193,0)),0)</f>
        <v>22</v>
      </c>
      <c r="J1765" s="5" t="str">
        <f t="shared" si="108"/>
        <v>No</v>
      </c>
      <c r="K1765" s="5" t="str">
        <f t="shared" si="109"/>
        <v>Yes</v>
      </c>
      <c r="L1765" s="5" t="str">
        <f t="shared" si="111"/>
        <v>No</v>
      </c>
      <c r="M1765" s="5">
        <f t="shared" si="110"/>
        <v>0</v>
      </c>
    </row>
    <row r="1766" spans="1:13" x14ac:dyDescent="0.3">
      <c r="A1766" s="2" t="s">
        <v>4395</v>
      </c>
      <c r="B1766" s="2" t="s">
        <v>1915</v>
      </c>
      <c r="C1766" s="2" t="s">
        <v>2601</v>
      </c>
      <c r="D1766" s="3">
        <v>45926</v>
      </c>
      <c r="E1766" s="3">
        <v>45934</v>
      </c>
      <c r="F1766" s="3">
        <v>45931</v>
      </c>
      <c r="G1766" s="2" t="s">
        <v>2629</v>
      </c>
      <c r="H1766" s="2">
        <v>12</v>
      </c>
      <c r="I1766" s="2">
        <f>IFERROR(INDEX(Raw_Orders!H1766:H4194,MATCH(B1766,Raw_Orders!A1766:A4194,0)),0)</f>
        <v>12</v>
      </c>
      <c r="J1766" s="2" t="str">
        <f t="shared" si="108"/>
        <v>Yes</v>
      </c>
      <c r="K1766" s="2" t="str">
        <f t="shared" si="109"/>
        <v>Yes</v>
      </c>
      <c r="L1766" s="2" t="str">
        <f t="shared" si="111"/>
        <v>Yes</v>
      </c>
      <c r="M1766" s="2">
        <f t="shared" si="110"/>
        <v>1</v>
      </c>
    </row>
    <row r="1767" spans="1:13" x14ac:dyDescent="0.3">
      <c r="A1767" s="5" t="s">
        <v>4396</v>
      </c>
      <c r="B1767" s="5" t="s">
        <v>1916</v>
      </c>
      <c r="C1767" s="5" t="s">
        <v>2604</v>
      </c>
      <c r="D1767" s="6">
        <v>45927</v>
      </c>
      <c r="E1767" s="6">
        <v>45932</v>
      </c>
      <c r="F1767" s="6">
        <v>45931</v>
      </c>
      <c r="G1767" s="5" t="s">
        <v>2633</v>
      </c>
      <c r="H1767" s="5">
        <v>47</v>
      </c>
      <c r="I1767" s="5">
        <f>IFERROR(INDEX(Raw_Orders!H1767:H4195,MATCH(B1767,Raw_Orders!A1767:A4195,0)),0)</f>
        <v>47</v>
      </c>
      <c r="J1767" s="5" t="str">
        <f t="shared" si="108"/>
        <v>Yes</v>
      </c>
      <c r="K1767" s="5" t="str">
        <f t="shared" si="109"/>
        <v>Yes</v>
      </c>
      <c r="L1767" s="5" t="str">
        <f t="shared" si="111"/>
        <v>Yes</v>
      </c>
      <c r="M1767" s="5">
        <f t="shared" si="110"/>
        <v>1</v>
      </c>
    </row>
    <row r="1768" spans="1:13" x14ac:dyDescent="0.3">
      <c r="A1768" s="2" t="s">
        <v>4397</v>
      </c>
      <c r="B1768" s="2" t="s">
        <v>1917</v>
      </c>
      <c r="C1768" s="2" t="s">
        <v>2606</v>
      </c>
      <c r="D1768" s="3">
        <v>45928</v>
      </c>
      <c r="E1768" s="3">
        <v>45936</v>
      </c>
      <c r="F1768" s="3">
        <v>45934</v>
      </c>
      <c r="G1768" s="2" t="s">
        <v>2627</v>
      </c>
      <c r="H1768" s="2">
        <v>25</v>
      </c>
      <c r="I1768" s="2">
        <f>IFERROR(INDEX(Raw_Orders!H1768:H4196,MATCH(B1768,Raw_Orders!A1768:A4196,0)),0)</f>
        <v>31</v>
      </c>
      <c r="J1768" s="2" t="str">
        <f t="shared" si="108"/>
        <v>Yes</v>
      </c>
      <c r="K1768" s="2" t="str">
        <f t="shared" si="109"/>
        <v>N0</v>
      </c>
      <c r="L1768" s="2" t="str">
        <f t="shared" si="111"/>
        <v>No</v>
      </c>
      <c r="M1768" s="2">
        <f t="shared" si="110"/>
        <v>0</v>
      </c>
    </row>
    <row r="1769" spans="1:13" x14ac:dyDescent="0.3">
      <c r="A1769" s="5" t="s">
        <v>4398</v>
      </c>
      <c r="B1769" s="5" t="s">
        <v>1918</v>
      </c>
      <c r="C1769" s="5" t="s">
        <v>2606</v>
      </c>
      <c r="D1769" s="6">
        <v>45928</v>
      </c>
      <c r="E1769" s="6">
        <v>45930</v>
      </c>
      <c r="F1769" s="6">
        <v>45938</v>
      </c>
      <c r="G1769" s="5" t="s">
        <v>2629</v>
      </c>
      <c r="H1769" s="5">
        <v>19</v>
      </c>
      <c r="I1769" s="5">
        <f>IFERROR(INDEX(Raw_Orders!H1769:H4197,MATCH(B1769,Raw_Orders!A1769:A4197,0)),0)</f>
        <v>19</v>
      </c>
      <c r="J1769" s="5" t="str">
        <f t="shared" si="108"/>
        <v>No</v>
      </c>
      <c r="K1769" s="5" t="str">
        <f t="shared" si="109"/>
        <v>Yes</v>
      </c>
      <c r="L1769" s="5" t="str">
        <f t="shared" si="111"/>
        <v>No</v>
      </c>
      <c r="M1769" s="5">
        <f t="shared" si="110"/>
        <v>0</v>
      </c>
    </row>
    <row r="1770" spans="1:13" x14ac:dyDescent="0.3">
      <c r="A1770" s="2" t="s">
        <v>4399</v>
      </c>
      <c r="B1770" s="2" t="s">
        <v>1919</v>
      </c>
      <c r="C1770" s="2" t="s">
        <v>2608</v>
      </c>
      <c r="D1770" s="3">
        <v>45927</v>
      </c>
      <c r="E1770" s="3">
        <v>45936</v>
      </c>
      <c r="F1770" s="3">
        <v>45940</v>
      </c>
      <c r="G1770" s="2" t="s">
        <v>2631</v>
      </c>
      <c r="H1770" s="2">
        <v>6</v>
      </c>
      <c r="I1770" s="2">
        <f>IFERROR(INDEX(Raw_Orders!H1770:H4198,MATCH(B1770,Raw_Orders!A1770:A4198,0)),0)</f>
        <v>6</v>
      </c>
      <c r="J1770" s="2" t="str">
        <f t="shared" si="108"/>
        <v>No</v>
      </c>
      <c r="K1770" s="2" t="str">
        <f t="shared" si="109"/>
        <v>Yes</v>
      </c>
      <c r="L1770" s="2" t="str">
        <f t="shared" si="111"/>
        <v>No</v>
      </c>
      <c r="M1770" s="2">
        <f t="shared" si="110"/>
        <v>0</v>
      </c>
    </row>
    <row r="1771" spans="1:13" x14ac:dyDescent="0.3">
      <c r="A1771" s="5" t="s">
        <v>4400</v>
      </c>
      <c r="B1771" s="5" t="s">
        <v>1920</v>
      </c>
      <c r="C1771" s="5" t="s">
        <v>2614</v>
      </c>
      <c r="D1771" s="6">
        <v>45929</v>
      </c>
      <c r="E1771" s="6">
        <v>45936</v>
      </c>
      <c r="F1771" s="6">
        <v>45944</v>
      </c>
      <c r="G1771" s="5" t="s">
        <v>2641</v>
      </c>
      <c r="H1771" s="5">
        <v>11</v>
      </c>
      <c r="I1771" s="5">
        <f>IFERROR(INDEX(Raw_Orders!H1771:H4199,MATCH(B1771,Raw_Orders!A1771:A4199,0)),0)</f>
        <v>11</v>
      </c>
      <c r="J1771" s="5" t="str">
        <f t="shared" si="108"/>
        <v>No</v>
      </c>
      <c r="K1771" s="5" t="str">
        <f t="shared" si="109"/>
        <v>Yes</v>
      </c>
      <c r="L1771" s="5" t="str">
        <f t="shared" si="111"/>
        <v>No</v>
      </c>
      <c r="M1771" s="5">
        <f t="shared" si="110"/>
        <v>0</v>
      </c>
    </row>
    <row r="1772" spans="1:13" x14ac:dyDescent="0.3">
      <c r="A1772" s="2" t="s">
        <v>4401</v>
      </c>
      <c r="B1772" s="2" t="s">
        <v>1921</v>
      </c>
      <c r="C1772" s="2" t="s">
        <v>2614</v>
      </c>
      <c r="D1772" s="3">
        <v>45929</v>
      </c>
      <c r="E1772" s="3">
        <v>45934</v>
      </c>
      <c r="F1772" s="3">
        <v>45947</v>
      </c>
      <c r="G1772" s="2" t="s">
        <v>2633</v>
      </c>
      <c r="H1772" s="2">
        <v>20</v>
      </c>
      <c r="I1772" s="2">
        <f>IFERROR(INDEX(Raw_Orders!H1772:H4200,MATCH(B1772,Raw_Orders!A1772:A4200,0)),0)</f>
        <v>20</v>
      </c>
      <c r="J1772" s="2" t="str">
        <f t="shared" si="108"/>
        <v>No</v>
      </c>
      <c r="K1772" s="2" t="str">
        <f t="shared" si="109"/>
        <v>Yes</v>
      </c>
      <c r="L1772" s="2" t="str">
        <f t="shared" si="111"/>
        <v>No</v>
      </c>
      <c r="M1772" s="2">
        <f t="shared" si="110"/>
        <v>0</v>
      </c>
    </row>
    <row r="1773" spans="1:13" x14ac:dyDescent="0.3">
      <c r="A1773" s="5" t="s">
        <v>4402</v>
      </c>
      <c r="B1773" s="5" t="s">
        <v>1922</v>
      </c>
      <c r="C1773" s="5" t="s">
        <v>2616</v>
      </c>
      <c r="D1773" s="6">
        <v>45928</v>
      </c>
      <c r="E1773" s="6">
        <v>45932</v>
      </c>
      <c r="F1773" s="6">
        <v>45944</v>
      </c>
      <c r="G1773" s="5" t="s">
        <v>2633</v>
      </c>
      <c r="H1773" s="5">
        <v>15</v>
      </c>
      <c r="I1773" s="5">
        <f>IFERROR(INDEX(Raw_Orders!H1773:H4201,MATCH(B1773,Raw_Orders!A1773:A4201,0)),0)</f>
        <v>15</v>
      </c>
      <c r="J1773" s="5" t="str">
        <f t="shared" si="108"/>
        <v>No</v>
      </c>
      <c r="K1773" s="5" t="str">
        <f t="shared" si="109"/>
        <v>Yes</v>
      </c>
      <c r="L1773" s="5" t="str">
        <f t="shared" si="111"/>
        <v>No</v>
      </c>
      <c r="M1773" s="5">
        <f t="shared" si="110"/>
        <v>0</v>
      </c>
    </row>
    <row r="1774" spans="1:13" x14ac:dyDescent="0.3">
      <c r="A1774" s="2" t="s">
        <v>4403</v>
      </c>
      <c r="B1774" s="2" t="s">
        <v>1923</v>
      </c>
      <c r="C1774" s="2" t="s">
        <v>2604</v>
      </c>
      <c r="D1774" s="3">
        <v>45928</v>
      </c>
      <c r="E1774" s="3">
        <v>45934</v>
      </c>
      <c r="F1774" s="3">
        <v>45931</v>
      </c>
      <c r="G1774" s="2" t="s">
        <v>2629</v>
      </c>
      <c r="H1774" s="2">
        <v>11</v>
      </c>
      <c r="I1774" s="2">
        <f>IFERROR(INDEX(Raw_Orders!H1774:H4202,MATCH(B1774,Raw_Orders!A1774:A4202,0)),0)</f>
        <v>11</v>
      </c>
      <c r="J1774" s="2" t="str">
        <f t="shared" si="108"/>
        <v>Yes</v>
      </c>
      <c r="K1774" s="2" t="str">
        <f t="shared" si="109"/>
        <v>Yes</v>
      </c>
      <c r="L1774" s="2" t="str">
        <f t="shared" si="111"/>
        <v>Yes</v>
      </c>
      <c r="M1774" s="2">
        <f t="shared" si="110"/>
        <v>1</v>
      </c>
    </row>
    <row r="1775" spans="1:13" x14ac:dyDescent="0.3">
      <c r="A1775" s="5" t="s">
        <v>4404</v>
      </c>
      <c r="B1775" s="5" t="s">
        <v>1924</v>
      </c>
      <c r="C1775" s="5" t="s">
        <v>2606</v>
      </c>
      <c r="D1775" s="6">
        <v>45929</v>
      </c>
      <c r="E1775" s="6">
        <v>45935</v>
      </c>
      <c r="F1775" s="6">
        <v>45937</v>
      </c>
      <c r="G1775" s="5" t="s">
        <v>2641</v>
      </c>
      <c r="H1775" s="5">
        <v>21</v>
      </c>
      <c r="I1775" s="5">
        <f>IFERROR(INDEX(Raw_Orders!H1775:H4203,MATCH(B1775,Raw_Orders!A1775:A4203,0)),0)</f>
        <v>24</v>
      </c>
      <c r="J1775" s="5" t="str">
        <f t="shared" si="108"/>
        <v>No</v>
      </c>
      <c r="K1775" s="5" t="str">
        <f t="shared" si="109"/>
        <v>N0</v>
      </c>
      <c r="L1775" s="5" t="str">
        <f t="shared" si="111"/>
        <v>No</v>
      </c>
      <c r="M1775" s="5">
        <f t="shared" si="110"/>
        <v>0</v>
      </c>
    </row>
    <row r="1776" spans="1:13" x14ac:dyDescent="0.3">
      <c r="A1776" s="2" t="s">
        <v>4405</v>
      </c>
      <c r="B1776" s="2" t="s">
        <v>1925</v>
      </c>
      <c r="C1776" s="2" t="s">
        <v>2606</v>
      </c>
      <c r="D1776" s="3">
        <v>45927</v>
      </c>
      <c r="E1776" s="3">
        <v>45935</v>
      </c>
      <c r="F1776" s="3">
        <v>45933</v>
      </c>
      <c r="G1776" s="2" t="s">
        <v>2629</v>
      </c>
      <c r="H1776" s="2">
        <v>35</v>
      </c>
      <c r="I1776" s="2">
        <f>IFERROR(INDEX(Raw_Orders!H1776:H4204,MATCH(B1776,Raw_Orders!A1776:A4204,0)),0)</f>
        <v>35</v>
      </c>
      <c r="J1776" s="2" t="str">
        <f t="shared" si="108"/>
        <v>Yes</v>
      </c>
      <c r="K1776" s="2" t="str">
        <f t="shared" si="109"/>
        <v>Yes</v>
      </c>
      <c r="L1776" s="2" t="str">
        <f t="shared" si="111"/>
        <v>Yes</v>
      </c>
      <c r="M1776" s="2">
        <f t="shared" si="110"/>
        <v>1</v>
      </c>
    </row>
    <row r="1777" spans="1:13" x14ac:dyDescent="0.3">
      <c r="A1777" s="5" t="s">
        <v>4406</v>
      </c>
      <c r="B1777" s="5" t="s">
        <v>1926</v>
      </c>
      <c r="C1777" s="5" t="s">
        <v>2606</v>
      </c>
      <c r="D1777" s="6">
        <v>45928</v>
      </c>
      <c r="E1777" s="6">
        <v>45931</v>
      </c>
      <c r="F1777" s="6">
        <v>45936</v>
      </c>
      <c r="G1777" s="5" t="s">
        <v>2631</v>
      </c>
      <c r="H1777" s="5">
        <v>16</v>
      </c>
      <c r="I1777" s="5">
        <f>IFERROR(INDEX(Raw_Orders!H1777:H4205,MATCH(B1777,Raw_Orders!A1777:A4205,0)),0)</f>
        <v>16</v>
      </c>
      <c r="J1777" s="5" t="str">
        <f t="shared" si="108"/>
        <v>No</v>
      </c>
      <c r="K1777" s="5" t="str">
        <f t="shared" si="109"/>
        <v>Yes</v>
      </c>
      <c r="L1777" s="5" t="str">
        <f t="shared" si="111"/>
        <v>No</v>
      </c>
      <c r="M1777" s="5">
        <f t="shared" si="110"/>
        <v>0</v>
      </c>
    </row>
    <row r="1778" spans="1:13" x14ac:dyDescent="0.3">
      <c r="A1778" s="2" t="s">
        <v>4407</v>
      </c>
      <c r="B1778" s="2" t="s">
        <v>1927</v>
      </c>
      <c r="C1778" s="2" t="s">
        <v>2608</v>
      </c>
      <c r="D1778" s="3">
        <v>45929</v>
      </c>
      <c r="E1778" s="3">
        <v>45931</v>
      </c>
      <c r="F1778" s="3">
        <v>45941</v>
      </c>
      <c r="G1778" s="2" t="s">
        <v>2629</v>
      </c>
      <c r="H1778" s="2">
        <v>8</v>
      </c>
      <c r="I1778" s="2">
        <f>IFERROR(INDEX(Raw_Orders!H1778:H4206,MATCH(B1778,Raw_Orders!A1778:A4206,0)),0)</f>
        <v>8</v>
      </c>
      <c r="J1778" s="2" t="str">
        <f t="shared" si="108"/>
        <v>No</v>
      </c>
      <c r="K1778" s="2" t="str">
        <f t="shared" si="109"/>
        <v>Yes</v>
      </c>
      <c r="L1778" s="2" t="str">
        <f t="shared" si="111"/>
        <v>No</v>
      </c>
      <c r="M1778" s="2">
        <f t="shared" si="110"/>
        <v>0</v>
      </c>
    </row>
    <row r="1779" spans="1:13" x14ac:dyDescent="0.3">
      <c r="A1779" s="5" t="s">
        <v>4408</v>
      </c>
      <c r="B1779" s="5" t="s">
        <v>1928</v>
      </c>
      <c r="C1779" s="5" t="s">
        <v>2611</v>
      </c>
      <c r="D1779" s="6">
        <v>45930</v>
      </c>
      <c r="E1779" s="6">
        <v>45934</v>
      </c>
      <c r="F1779" s="6">
        <v>45937</v>
      </c>
      <c r="G1779" s="5" t="s">
        <v>2641</v>
      </c>
      <c r="H1779" s="5">
        <v>40</v>
      </c>
      <c r="I1779" s="5">
        <f>IFERROR(INDEX(Raw_Orders!H1779:H4207,MATCH(B1779,Raw_Orders!A1779:A4207,0)),0)</f>
        <v>40</v>
      </c>
      <c r="J1779" s="5" t="str">
        <f t="shared" si="108"/>
        <v>No</v>
      </c>
      <c r="K1779" s="5" t="str">
        <f t="shared" si="109"/>
        <v>Yes</v>
      </c>
      <c r="L1779" s="5" t="str">
        <f t="shared" si="111"/>
        <v>No</v>
      </c>
      <c r="M1779" s="5">
        <f t="shared" si="110"/>
        <v>0</v>
      </c>
    </row>
    <row r="1780" spans="1:13" x14ac:dyDescent="0.3">
      <c r="A1780" s="2" t="s">
        <v>4409</v>
      </c>
      <c r="B1780" s="2" t="s">
        <v>1929</v>
      </c>
      <c r="C1780" s="2" t="s">
        <v>2598</v>
      </c>
      <c r="D1780" s="3">
        <v>45930</v>
      </c>
      <c r="E1780" s="3">
        <v>45935</v>
      </c>
      <c r="F1780" s="3">
        <v>45943</v>
      </c>
      <c r="G1780" s="2" t="s">
        <v>2627</v>
      </c>
      <c r="H1780" s="2">
        <v>46</v>
      </c>
      <c r="I1780" s="2">
        <f>IFERROR(INDEX(Raw_Orders!H1780:H4208,MATCH(B1780,Raw_Orders!A1780:A4208,0)),0)</f>
        <v>46</v>
      </c>
      <c r="J1780" s="2" t="str">
        <f t="shared" si="108"/>
        <v>No</v>
      </c>
      <c r="K1780" s="2" t="str">
        <f t="shared" si="109"/>
        <v>Yes</v>
      </c>
      <c r="L1780" s="2" t="str">
        <f t="shared" si="111"/>
        <v>No</v>
      </c>
      <c r="M1780" s="2">
        <f t="shared" si="110"/>
        <v>0</v>
      </c>
    </row>
    <row r="1781" spans="1:13" x14ac:dyDescent="0.3">
      <c r="A1781" s="5" t="s">
        <v>4410</v>
      </c>
      <c r="B1781" s="5" t="s">
        <v>1930</v>
      </c>
      <c r="C1781" s="5" t="s">
        <v>2616</v>
      </c>
      <c r="D1781" s="6">
        <v>45929</v>
      </c>
      <c r="E1781" s="6">
        <v>45933</v>
      </c>
      <c r="F1781" s="6">
        <v>45945</v>
      </c>
      <c r="G1781" s="5" t="s">
        <v>2629</v>
      </c>
      <c r="H1781" s="5">
        <v>5</v>
      </c>
      <c r="I1781" s="5">
        <f>IFERROR(INDEX(Raw_Orders!H1781:H4209,MATCH(B1781,Raw_Orders!A1781:A4209,0)),0)</f>
        <v>5</v>
      </c>
      <c r="J1781" s="5" t="str">
        <f t="shared" si="108"/>
        <v>No</v>
      </c>
      <c r="K1781" s="5" t="str">
        <f t="shared" si="109"/>
        <v>Yes</v>
      </c>
      <c r="L1781" s="5" t="str">
        <f t="shared" si="111"/>
        <v>No</v>
      </c>
      <c r="M1781" s="5">
        <f t="shared" si="110"/>
        <v>0</v>
      </c>
    </row>
    <row r="1782" spans="1:13" x14ac:dyDescent="0.3">
      <c r="A1782" s="2" t="s">
        <v>4411</v>
      </c>
      <c r="B1782" s="2" t="s">
        <v>1931</v>
      </c>
      <c r="C1782" s="2" t="s">
        <v>2616</v>
      </c>
      <c r="D1782" s="3">
        <v>45930</v>
      </c>
      <c r="E1782" s="3">
        <v>45937</v>
      </c>
      <c r="F1782" s="3">
        <v>45949</v>
      </c>
      <c r="G1782" s="2" t="s">
        <v>2641</v>
      </c>
      <c r="H1782" s="2">
        <v>39</v>
      </c>
      <c r="I1782" s="2">
        <f>IFERROR(INDEX(Raw_Orders!H1782:H4210,MATCH(B1782,Raw_Orders!A1782:A4210,0)),0)</f>
        <v>39</v>
      </c>
      <c r="J1782" s="2" t="str">
        <f t="shared" si="108"/>
        <v>No</v>
      </c>
      <c r="K1782" s="2" t="str">
        <f t="shared" si="109"/>
        <v>Yes</v>
      </c>
      <c r="L1782" s="2" t="str">
        <f t="shared" si="111"/>
        <v>No</v>
      </c>
      <c r="M1782" s="2">
        <f t="shared" si="110"/>
        <v>0</v>
      </c>
    </row>
    <row r="1783" spans="1:13" x14ac:dyDescent="0.3">
      <c r="A1783" s="5" t="s">
        <v>4412</v>
      </c>
      <c r="B1783" s="5" t="s">
        <v>1932</v>
      </c>
      <c r="C1783" s="5" t="s">
        <v>2608</v>
      </c>
      <c r="D1783" s="6">
        <v>45930</v>
      </c>
      <c r="E1783" s="6">
        <v>45931</v>
      </c>
      <c r="F1783" s="6">
        <v>45947</v>
      </c>
      <c r="G1783" s="5" t="s">
        <v>2627</v>
      </c>
      <c r="H1783" s="5">
        <v>30</v>
      </c>
      <c r="I1783" s="5">
        <f>IFERROR(INDEX(Raw_Orders!H1783:H4211,MATCH(B1783,Raw_Orders!A1783:A4211,0)),0)</f>
        <v>30</v>
      </c>
      <c r="J1783" s="5" t="str">
        <f t="shared" si="108"/>
        <v>No</v>
      </c>
      <c r="K1783" s="5" t="str">
        <f t="shared" si="109"/>
        <v>Yes</v>
      </c>
      <c r="L1783" s="5" t="str">
        <f t="shared" si="111"/>
        <v>No</v>
      </c>
      <c r="M1783" s="5">
        <f t="shared" si="110"/>
        <v>0</v>
      </c>
    </row>
    <row r="1784" spans="1:13" x14ac:dyDescent="0.3">
      <c r="A1784" s="2" t="s">
        <v>4413</v>
      </c>
      <c r="B1784" s="2" t="s">
        <v>1933</v>
      </c>
      <c r="C1784" s="2" t="s">
        <v>2608</v>
      </c>
      <c r="D1784" s="3">
        <v>45928</v>
      </c>
      <c r="E1784" s="3">
        <v>45933</v>
      </c>
      <c r="F1784" s="3">
        <v>45941</v>
      </c>
      <c r="G1784" s="2" t="s">
        <v>2641</v>
      </c>
      <c r="H1784" s="2">
        <v>6</v>
      </c>
      <c r="I1784" s="2">
        <f>IFERROR(INDEX(Raw_Orders!H1784:H4212,MATCH(B1784,Raw_Orders!A1784:A4212,0)),0)</f>
        <v>6</v>
      </c>
      <c r="J1784" s="2" t="str">
        <f t="shared" si="108"/>
        <v>No</v>
      </c>
      <c r="K1784" s="2" t="str">
        <f t="shared" si="109"/>
        <v>Yes</v>
      </c>
      <c r="L1784" s="2" t="str">
        <f t="shared" si="111"/>
        <v>No</v>
      </c>
      <c r="M1784" s="2">
        <f t="shared" si="110"/>
        <v>0</v>
      </c>
    </row>
    <row r="1785" spans="1:13" x14ac:dyDescent="0.3">
      <c r="A1785" s="5" t="s">
        <v>4414</v>
      </c>
      <c r="B1785" s="5" t="s">
        <v>1934</v>
      </c>
      <c r="C1785" s="5" t="s">
        <v>2608</v>
      </c>
      <c r="D1785" s="6">
        <v>45929</v>
      </c>
      <c r="E1785" s="6">
        <v>45931</v>
      </c>
      <c r="F1785" s="6">
        <v>45942</v>
      </c>
      <c r="G1785" s="5" t="s">
        <v>2631</v>
      </c>
      <c r="H1785" s="5">
        <v>7</v>
      </c>
      <c r="I1785" s="5">
        <f>IFERROR(INDEX(Raw_Orders!H1785:H4213,MATCH(B1785,Raw_Orders!A1785:A4213,0)),0)</f>
        <v>7</v>
      </c>
      <c r="J1785" s="5" t="str">
        <f t="shared" si="108"/>
        <v>No</v>
      </c>
      <c r="K1785" s="5" t="str">
        <f t="shared" si="109"/>
        <v>Yes</v>
      </c>
      <c r="L1785" s="5" t="str">
        <f t="shared" si="111"/>
        <v>No</v>
      </c>
      <c r="M1785" s="5">
        <f t="shared" si="110"/>
        <v>0</v>
      </c>
    </row>
    <row r="1786" spans="1:13" x14ac:dyDescent="0.3">
      <c r="A1786" s="2" t="s">
        <v>4415</v>
      </c>
      <c r="B1786" s="2" t="s">
        <v>1935</v>
      </c>
      <c r="C1786" s="2" t="s">
        <v>2598</v>
      </c>
      <c r="D1786" s="3">
        <v>45929</v>
      </c>
      <c r="E1786" s="3">
        <v>45933</v>
      </c>
      <c r="F1786" s="3">
        <v>45942</v>
      </c>
      <c r="G1786" s="2" t="s">
        <v>2629</v>
      </c>
      <c r="H1786" s="2">
        <v>23</v>
      </c>
      <c r="I1786" s="2">
        <f>IFERROR(INDEX(Raw_Orders!H1786:H4214,MATCH(B1786,Raw_Orders!A1786:A4214,0)),0)</f>
        <v>23</v>
      </c>
      <c r="J1786" s="2" t="str">
        <f t="shared" si="108"/>
        <v>No</v>
      </c>
      <c r="K1786" s="2" t="str">
        <f t="shared" si="109"/>
        <v>Yes</v>
      </c>
      <c r="L1786" s="2" t="str">
        <f t="shared" si="111"/>
        <v>No</v>
      </c>
      <c r="M1786" s="2">
        <f t="shared" si="110"/>
        <v>0</v>
      </c>
    </row>
    <row r="1787" spans="1:13" x14ac:dyDescent="0.3">
      <c r="A1787" s="5" t="s">
        <v>4416</v>
      </c>
      <c r="B1787" s="5" t="s">
        <v>1936</v>
      </c>
      <c r="C1787" s="5" t="s">
        <v>2611</v>
      </c>
      <c r="D1787" s="6">
        <v>45930</v>
      </c>
      <c r="E1787" s="6">
        <v>45938</v>
      </c>
      <c r="F1787" s="6">
        <v>45939</v>
      </c>
      <c r="G1787" s="5" t="s">
        <v>2631</v>
      </c>
      <c r="H1787" s="5">
        <v>18</v>
      </c>
      <c r="I1787" s="5">
        <f>IFERROR(INDEX(Raw_Orders!H1787:H4215,MATCH(B1787,Raw_Orders!A1787:A4215,0)),0)</f>
        <v>18</v>
      </c>
      <c r="J1787" s="5" t="str">
        <f t="shared" si="108"/>
        <v>No</v>
      </c>
      <c r="K1787" s="5" t="str">
        <f t="shared" si="109"/>
        <v>Yes</v>
      </c>
      <c r="L1787" s="5" t="str">
        <f t="shared" si="111"/>
        <v>No</v>
      </c>
      <c r="M1787" s="5">
        <f t="shared" si="110"/>
        <v>0</v>
      </c>
    </row>
    <row r="1788" spans="1:13" x14ac:dyDescent="0.3">
      <c r="A1788" s="2" t="s">
        <v>4417</v>
      </c>
      <c r="B1788" s="2" t="s">
        <v>1937</v>
      </c>
      <c r="C1788" s="2" t="s">
        <v>2598</v>
      </c>
      <c r="D1788" s="3">
        <v>45931</v>
      </c>
      <c r="E1788" s="3">
        <v>45933</v>
      </c>
      <c r="F1788" s="3">
        <v>45944</v>
      </c>
      <c r="G1788" s="2" t="s">
        <v>2631</v>
      </c>
      <c r="H1788" s="2">
        <v>41</v>
      </c>
      <c r="I1788" s="2">
        <f>IFERROR(INDEX(Raw_Orders!H1788:H4216,MATCH(B1788,Raw_Orders!A1788:A4216,0)),0)</f>
        <v>41</v>
      </c>
      <c r="J1788" s="2" t="str">
        <f t="shared" si="108"/>
        <v>No</v>
      </c>
      <c r="K1788" s="2" t="str">
        <f t="shared" si="109"/>
        <v>Yes</v>
      </c>
      <c r="L1788" s="2" t="str">
        <f t="shared" si="111"/>
        <v>No</v>
      </c>
      <c r="M1788" s="2">
        <f t="shared" si="110"/>
        <v>0</v>
      </c>
    </row>
    <row r="1789" spans="1:13" x14ac:dyDescent="0.3">
      <c r="A1789" s="5" t="s">
        <v>4418</v>
      </c>
      <c r="B1789" s="5" t="s">
        <v>1938</v>
      </c>
      <c r="C1789" s="5" t="s">
        <v>2608</v>
      </c>
      <c r="D1789" s="6">
        <v>45931</v>
      </c>
      <c r="E1789" s="6">
        <v>45937</v>
      </c>
      <c r="F1789" s="6">
        <v>45948</v>
      </c>
      <c r="G1789" s="5" t="s">
        <v>2633</v>
      </c>
      <c r="H1789" s="5">
        <v>5</v>
      </c>
      <c r="I1789" s="5">
        <f>IFERROR(INDEX(Raw_Orders!H1789:H4217,MATCH(B1789,Raw_Orders!A1789:A4217,0)),0)</f>
        <v>5</v>
      </c>
      <c r="J1789" s="5" t="str">
        <f t="shared" si="108"/>
        <v>No</v>
      </c>
      <c r="K1789" s="5" t="str">
        <f t="shared" si="109"/>
        <v>Yes</v>
      </c>
      <c r="L1789" s="5" t="str">
        <f t="shared" si="111"/>
        <v>No</v>
      </c>
      <c r="M1789" s="5">
        <f t="shared" si="110"/>
        <v>0</v>
      </c>
    </row>
    <row r="1790" spans="1:13" x14ac:dyDescent="0.3">
      <c r="A1790" s="2" t="s">
        <v>4419</v>
      </c>
      <c r="B1790" s="2" t="s">
        <v>1939</v>
      </c>
      <c r="C1790" s="2" t="s">
        <v>2598</v>
      </c>
      <c r="D1790" s="3">
        <v>45932</v>
      </c>
      <c r="E1790" s="3">
        <v>45936</v>
      </c>
      <c r="F1790" s="3">
        <v>45949</v>
      </c>
      <c r="G1790" s="2" t="s">
        <v>2627</v>
      </c>
      <c r="H1790" s="2">
        <v>14</v>
      </c>
      <c r="I1790" s="2">
        <f>IFERROR(INDEX(Raw_Orders!H1790:H4218,MATCH(B1790,Raw_Orders!A1790:A4218,0)),0)</f>
        <v>20</v>
      </c>
      <c r="J1790" s="2" t="str">
        <f t="shared" si="108"/>
        <v>No</v>
      </c>
      <c r="K1790" s="2" t="str">
        <f t="shared" si="109"/>
        <v>N0</v>
      </c>
      <c r="L1790" s="2" t="str">
        <f t="shared" si="111"/>
        <v>No</v>
      </c>
      <c r="M1790" s="2">
        <f t="shared" si="110"/>
        <v>0</v>
      </c>
    </row>
    <row r="1791" spans="1:13" x14ac:dyDescent="0.3">
      <c r="A1791" s="5" t="s">
        <v>4420</v>
      </c>
      <c r="B1791" s="5" t="s">
        <v>1940</v>
      </c>
      <c r="C1791" s="5" t="s">
        <v>2601</v>
      </c>
      <c r="D1791" s="6">
        <v>45930</v>
      </c>
      <c r="E1791" s="6">
        <v>45933</v>
      </c>
      <c r="F1791" s="6">
        <v>45935</v>
      </c>
      <c r="G1791" s="5" t="s">
        <v>2629</v>
      </c>
      <c r="H1791" s="5">
        <v>15</v>
      </c>
      <c r="I1791" s="5">
        <f>IFERROR(INDEX(Raw_Orders!H1791:H4219,MATCH(B1791,Raw_Orders!A1791:A4219,0)),0)</f>
        <v>17</v>
      </c>
      <c r="J1791" s="5" t="str">
        <f t="shared" si="108"/>
        <v>No</v>
      </c>
      <c r="K1791" s="5" t="str">
        <f t="shared" si="109"/>
        <v>N0</v>
      </c>
      <c r="L1791" s="5" t="str">
        <f t="shared" si="111"/>
        <v>No</v>
      </c>
      <c r="M1791" s="5">
        <f t="shared" si="110"/>
        <v>0</v>
      </c>
    </row>
    <row r="1792" spans="1:13" x14ac:dyDescent="0.3">
      <c r="A1792" s="2" t="s">
        <v>4421</v>
      </c>
      <c r="B1792" s="2" t="s">
        <v>1941</v>
      </c>
      <c r="C1792" s="2" t="s">
        <v>2614</v>
      </c>
      <c r="D1792" s="3">
        <v>45930</v>
      </c>
      <c r="E1792" s="3">
        <v>45938</v>
      </c>
      <c r="F1792" s="3">
        <v>45945</v>
      </c>
      <c r="G1792" s="2" t="s">
        <v>2627</v>
      </c>
      <c r="H1792" s="2">
        <v>31</v>
      </c>
      <c r="I1792" s="2">
        <f>IFERROR(INDEX(Raw_Orders!H1792:H4220,MATCH(B1792,Raw_Orders!A1792:A4220,0)),0)</f>
        <v>31</v>
      </c>
      <c r="J1792" s="2" t="str">
        <f t="shared" si="108"/>
        <v>No</v>
      </c>
      <c r="K1792" s="2" t="str">
        <f t="shared" si="109"/>
        <v>Yes</v>
      </c>
      <c r="L1792" s="2" t="str">
        <f t="shared" si="111"/>
        <v>No</v>
      </c>
      <c r="M1792" s="2">
        <f t="shared" si="110"/>
        <v>0</v>
      </c>
    </row>
    <row r="1793" spans="1:13" x14ac:dyDescent="0.3">
      <c r="A1793" s="5" t="s">
        <v>4422</v>
      </c>
      <c r="B1793" s="5" t="s">
        <v>1942</v>
      </c>
      <c r="C1793" s="5" t="s">
        <v>2604</v>
      </c>
      <c r="D1793" s="6">
        <v>45932</v>
      </c>
      <c r="E1793" s="6">
        <v>45937</v>
      </c>
      <c r="F1793" s="6">
        <v>45936</v>
      </c>
      <c r="G1793" s="5" t="s">
        <v>2633</v>
      </c>
      <c r="H1793" s="5">
        <v>57</v>
      </c>
      <c r="I1793" s="5">
        <f>IFERROR(INDEX(Raw_Orders!H1793:H4221,MATCH(B1793,Raw_Orders!A1793:A4221,0)),0)</f>
        <v>57</v>
      </c>
      <c r="J1793" s="5" t="str">
        <f t="shared" si="108"/>
        <v>Yes</v>
      </c>
      <c r="K1793" s="5" t="str">
        <f t="shared" si="109"/>
        <v>Yes</v>
      </c>
      <c r="L1793" s="5" t="str">
        <f t="shared" si="111"/>
        <v>Yes</v>
      </c>
      <c r="M1793" s="5">
        <f t="shared" si="110"/>
        <v>1</v>
      </c>
    </row>
    <row r="1794" spans="1:13" x14ac:dyDescent="0.3">
      <c r="A1794" s="2" t="s">
        <v>4423</v>
      </c>
      <c r="B1794" s="2" t="s">
        <v>1943</v>
      </c>
      <c r="C1794" s="2" t="s">
        <v>2606</v>
      </c>
      <c r="D1794" s="3">
        <v>45930</v>
      </c>
      <c r="E1794" s="3">
        <v>45937</v>
      </c>
      <c r="F1794" s="3">
        <v>45936</v>
      </c>
      <c r="G1794" s="2" t="s">
        <v>2629</v>
      </c>
      <c r="H1794" s="2">
        <v>59</v>
      </c>
      <c r="I1794" s="2">
        <f>IFERROR(INDEX(Raw_Orders!H1794:H4222,MATCH(B1794,Raw_Orders!A1794:A4222,0)),0)</f>
        <v>59</v>
      </c>
      <c r="J1794" s="2" t="str">
        <f t="shared" si="108"/>
        <v>Yes</v>
      </c>
      <c r="K1794" s="2" t="str">
        <f t="shared" si="109"/>
        <v>Yes</v>
      </c>
      <c r="L1794" s="2" t="str">
        <f t="shared" si="111"/>
        <v>Yes</v>
      </c>
      <c r="M1794" s="2">
        <f t="shared" si="110"/>
        <v>1</v>
      </c>
    </row>
    <row r="1795" spans="1:13" x14ac:dyDescent="0.3">
      <c r="A1795" s="5" t="s">
        <v>4424</v>
      </c>
      <c r="B1795" s="5" t="s">
        <v>1944</v>
      </c>
      <c r="C1795" s="5" t="s">
        <v>2616</v>
      </c>
      <c r="D1795" s="6">
        <v>45933</v>
      </c>
      <c r="E1795" s="6">
        <v>45934</v>
      </c>
      <c r="F1795" s="6">
        <v>45948</v>
      </c>
      <c r="G1795" s="5" t="s">
        <v>2633</v>
      </c>
      <c r="H1795" s="5">
        <v>17</v>
      </c>
      <c r="I1795" s="5">
        <f>IFERROR(INDEX(Raw_Orders!H1795:H4223,MATCH(B1795,Raw_Orders!A1795:A4223,0)),0)</f>
        <v>17</v>
      </c>
      <c r="J1795" s="5" t="str">
        <f t="shared" ref="J1795:J1858" si="112">IF(E1795&gt;=F1795,"Yes","No")</f>
        <v>No</v>
      </c>
      <c r="K1795" s="5" t="str">
        <f t="shared" ref="K1795:K1858" si="113">IF(H1795&gt;=I1795,"Yes","N0")</f>
        <v>Yes</v>
      </c>
      <c r="L1795" s="5" t="str">
        <f t="shared" si="111"/>
        <v>No</v>
      </c>
      <c r="M1795" s="5">
        <f t="shared" ref="M1795:M1858" si="114">IF(L1795="Yes",1,0)</f>
        <v>0</v>
      </c>
    </row>
    <row r="1796" spans="1:13" x14ac:dyDescent="0.3">
      <c r="A1796" s="2" t="s">
        <v>4425</v>
      </c>
      <c r="B1796" s="2" t="s">
        <v>1945</v>
      </c>
      <c r="C1796" s="2" t="s">
        <v>2616</v>
      </c>
      <c r="D1796" s="3">
        <v>45933</v>
      </c>
      <c r="E1796" s="3">
        <v>45935</v>
      </c>
      <c r="F1796" s="3">
        <v>45950</v>
      </c>
      <c r="G1796" s="2" t="s">
        <v>2631</v>
      </c>
      <c r="H1796" s="2">
        <v>26</v>
      </c>
      <c r="I1796" s="2">
        <f>IFERROR(INDEX(Raw_Orders!H1796:H4224,MATCH(B1796,Raw_Orders!A1796:A4224,0)),0)</f>
        <v>26</v>
      </c>
      <c r="J1796" s="2" t="str">
        <f t="shared" si="112"/>
        <v>No</v>
      </c>
      <c r="K1796" s="2" t="str">
        <f t="shared" si="113"/>
        <v>Yes</v>
      </c>
      <c r="L1796" s="2" t="str">
        <f t="shared" ref="L1796:L1859" si="115">IF(AND(J1796="Yes",K1796="Yes"),"Yes","No")</f>
        <v>No</v>
      </c>
      <c r="M1796" s="2">
        <f t="shared" si="114"/>
        <v>0</v>
      </c>
    </row>
    <row r="1797" spans="1:13" x14ac:dyDescent="0.3">
      <c r="A1797" s="5" t="s">
        <v>4426</v>
      </c>
      <c r="B1797" s="5" t="s">
        <v>1946</v>
      </c>
      <c r="C1797" s="5" t="s">
        <v>2606</v>
      </c>
      <c r="D1797" s="6">
        <v>45933</v>
      </c>
      <c r="E1797" s="6">
        <v>45935</v>
      </c>
      <c r="F1797" s="6">
        <v>45938</v>
      </c>
      <c r="G1797" s="5" t="s">
        <v>2629</v>
      </c>
      <c r="H1797" s="5">
        <v>42</v>
      </c>
      <c r="I1797" s="5">
        <f>IFERROR(INDEX(Raw_Orders!H1797:H4225,MATCH(B1797,Raw_Orders!A1797:A4225,0)),0)</f>
        <v>42</v>
      </c>
      <c r="J1797" s="5" t="str">
        <f t="shared" si="112"/>
        <v>No</v>
      </c>
      <c r="K1797" s="5" t="str">
        <f t="shared" si="113"/>
        <v>Yes</v>
      </c>
      <c r="L1797" s="5" t="str">
        <f t="shared" si="115"/>
        <v>No</v>
      </c>
      <c r="M1797" s="5">
        <f t="shared" si="114"/>
        <v>0</v>
      </c>
    </row>
    <row r="1798" spans="1:13" x14ac:dyDescent="0.3">
      <c r="A1798" s="2" t="s">
        <v>4427</v>
      </c>
      <c r="B1798" s="2" t="s">
        <v>1947</v>
      </c>
      <c r="C1798" s="2" t="s">
        <v>2608</v>
      </c>
      <c r="D1798" s="3">
        <v>45933</v>
      </c>
      <c r="E1798" s="3">
        <v>45939</v>
      </c>
      <c r="F1798" s="3">
        <v>45947</v>
      </c>
      <c r="G1798" s="2" t="s">
        <v>2629</v>
      </c>
      <c r="H1798" s="2">
        <v>28</v>
      </c>
      <c r="I1798" s="2">
        <f>IFERROR(INDEX(Raw_Orders!H1798:H4226,MATCH(B1798,Raw_Orders!A1798:A4226,0)),0)</f>
        <v>30</v>
      </c>
      <c r="J1798" s="2" t="str">
        <f t="shared" si="112"/>
        <v>No</v>
      </c>
      <c r="K1798" s="2" t="str">
        <f t="shared" si="113"/>
        <v>N0</v>
      </c>
      <c r="L1798" s="2" t="str">
        <f t="shared" si="115"/>
        <v>No</v>
      </c>
      <c r="M1798" s="2">
        <f t="shared" si="114"/>
        <v>0</v>
      </c>
    </row>
    <row r="1799" spans="1:13" x14ac:dyDescent="0.3">
      <c r="A1799" s="5" t="s">
        <v>4428</v>
      </c>
      <c r="B1799" s="5" t="s">
        <v>1948</v>
      </c>
      <c r="C1799" s="5" t="s">
        <v>2601</v>
      </c>
      <c r="D1799" s="6">
        <v>45933</v>
      </c>
      <c r="E1799" s="6">
        <v>45935</v>
      </c>
      <c r="F1799" s="6">
        <v>45937</v>
      </c>
      <c r="G1799" s="5" t="s">
        <v>2641</v>
      </c>
      <c r="H1799" s="5">
        <v>16</v>
      </c>
      <c r="I1799" s="5">
        <f>IFERROR(INDEX(Raw_Orders!H1799:H4227,MATCH(B1799,Raw_Orders!A1799:A4227,0)),0)</f>
        <v>16</v>
      </c>
      <c r="J1799" s="5" t="str">
        <f t="shared" si="112"/>
        <v>No</v>
      </c>
      <c r="K1799" s="5" t="str">
        <f t="shared" si="113"/>
        <v>Yes</v>
      </c>
      <c r="L1799" s="5" t="str">
        <f t="shared" si="115"/>
        <v>No</v>
      </c>
      <c r="M1799" s="5">
        <f t="shared" si="114"/>
        <v>0</v>
      </c>
    </row>
    <row r="1800" spans="1:13" x14ac:dyDescent="0.3">
      <c r="A1800" s="2" t="s">
        <v>4429</v>
      </c>
      <c r="B1800" s="2" t="s">
        <v>1949</v>
      </c>
      <c r="C1800" s="2" t="s">
        <v>2604</v>
      </c>
      <c r="D1800" s="3">
        <v>45934</v>
      </c>
      <c r="E1800" s="3">
        <v>45938</v>
      </c>
      <c r="F1800" s="3">
        <v>45940</v>
      </c>
      <c r="G1800" s="2" t="s">
        <v>2627</v>
      </c>
      <c r="H1800" s="2">
        <v>35</v>
      </c>
      <c r="I1800" s="2">
        <f>IFERROR(INDEX(Raw_Orders!H1800:H4228,MATCH(B1800,Raw_Orders!A1800:A4228,0)),0)</f>
        <v>37</v>
      </c>
      <c r="J1800" s="2" t="str">
        <f t="shared" si="112"/>
        <v>No</v>
      </c>
      <c r="K1800" s="2" t="str">
        <f t="shared" si="113"/>
        <v>N0</v>
      </c>
      <c r="L1800" s="2" t="str">
        <f t="shared" si="115"/>
        <v>No</v>
      </c>
      <c r="M1800" s="2">
        <f t="shared" si="114"/>
        <v>0</v>
      </c>
    </row>
    <row r="1801" spans="1:13" x14ac:dyDescent="0.3">
      <c r="A1801" s="5" t="s">
        <v>4430</v>
      </c>
      <c r="B1801" s="5" t="s">
        <v>1950</v>
      </c>
      <c r="C1801" s="5" t="s">
        <v>2604</v>
      </c>
      <c r="D1801" s="6">
        <v>45932</v>
      </c>
      <c r="E1801" s="6">
        <v>45935</v>
      </c>
      <c r="F1801" s="6">
        <v>45940</v>
      </c>
      <c r="G1801" s="5" t="s">
        <v>2627</v>
      </c>
      <c r="H1801" s="5">
        <v>26</v>
      </c>
      <c r="I1801" s="5">
        <f>IFERROR(INDEX(Raw_Orders!H1801:H4229,MATCH(B1801,Raw_Orders!A1801:A4229,0)),0)</f>
        <v>26</v>
      </c>
      <c r="J1801" s="5" t="str">
        <f t="shared" si="112"/>
        <v>No</v>
      </c>
      <c r="K1801" s="5" t="str">
        <f t="shared" si="113"/>
        <v>Yes</v>
      </c>
      <c r="L1801" s="5" t="str">
        <f t="shared" si="115"/>
        <v>No</v>
      </c>
      <c r="M1801" s="5">
        <f t="shared" si="114"/>
        <v>0</v>
      </c>
    </row>
    <row r="1802" spans="1:13" x14ac:dyDescent="0.3">
      <c r="A1802" s="2" t="s">
        <v>4431</v>
      </c>
      <c r="B1802" s="2" t="s">
        <v>1951</v>
      </c>
      <c r="C1802" s="2" t="s">
        <v>2606</v>
      </c>
      <c r="D1802" s="3">
        <v>45933</v>
      </c>
      <c r="E1802" s="3">
        <v>45936</v>
      </c>
      <c r="F1802" s="3">
        <v>45941</v>
      </c>
      <c r="G1802" s="2" t="s">
        <v>2631</v>
      </c>
      <c r="H1802" s="2">
        <v>17</v>
      </c>
      <c r="I1802" s="2">
        <f>IFERROR(INDEX(Raw_Orders!H1802:H4230,MATCH(B1802,Raw_Orders!A1802:A4230,0)),0)</f>
        <v>17</v>
      </c>
      <c r="J1802" s="2" t="str">
        <f t="shared" si="112"/>
        <v>No</v>
      </c>
      <c r="K1802" s="2" t="str">
        <f t="shared" si="113"/>
        <v>Yes</v>
      </c>
      <c r="L1802" s="2" t="str">
        <f t="shared" si="115"/>
        <v>No</v>
      </c>
      <c r="M1802" s="2">
        <f t="shared" si="114"/>
        <v>0</v>
      </c>
    </row>
    <row r="1803" spans="1:13" x14ac:dyDescent="0.3">
      <c r="A1803" s="5" t="s">
        <v>4432</v>
      </c>
      <c r="B1803" s="5" t="s">
        <v>1952</v>
      </c>
      <c r="C1803" s="5" t="s">
        <v>2606</v>
      </c>
      <c r="D1803" s="6">
        <v>45934</v>
      </c>
      <c r="E1803" s="6">
        <v>45936</v>
      </c>
      <c r="F1803" s="6">
        <v>45940</v>
      </c>
      <c r="G1803" s="5" t="s">
        <v>2629</v>
      </c>
      <c r="H1803" s="5">
        <v>37</v>
      </c>
      <c r="I1803" s="5">
        <f>IFERROR(INDEX(Raw_Orders!H1803:H4231,MATCH(B1803,Raw_Orders!A1803:A4231,0)),0)</f>
        <v>37</v>
      </c>
      <c r="J1803" s="5" t="str">
        <f t="shared" si="112"/>
        <v>No</v>
      </c>
      <c r="K1803" s="5" t="str">
        <f t="shared" si="113"/>
        <v>Yes</v>
      </c>
      <c r="L1803" s="5" t="str">
        <f t="shared" si="115"/>
        <v>No</v>
      </c>
      <c r="M1803" s="5">
        <f t="shared" si="114"/>
        <v>0</v>
      </c>
    </row>
    <row r="1804" spans="1:13" x14ac:dyDescent="0.3">
      <c r="A1804" s="2" t="s">
        <v>4433</v>
      </c>
      <c r="B1804" s="2" t="s">
        <v>1953</v>
      </c>
      <c r="C1804" s="2" t="s">
        <v>2608</v>
      </c>
      <c r="D1804" s="3">
        <v>45932</v>
      </c>
      <c r="E1804" s="3">
        <v>45937</v>
      </c>
      <c r="F1804" s="3">
        <v>45947</v>
      </c>
      <c r="G1804" s="2" t="s">
        <v>2631</v>
      </c>
      <c r="H1804" s="2">
        <v>8</v>
      </c>
      <c r="I1804" s="2">
        <f>IFERROR(INDEX(Raw_Orders!H1804:H4232,MATCH(B1804,Raw_Orders!A1804:A4232,0)),0)</f>
        <v>8</v>
      </c>
      <c r="J1804" s="2" t="str">
        <f t="shared" si="112"/>
        <v>No</v>
      </c>
      <c r="K1804" s="2" t="str">
        <f t="shared" si="113"/>
        <v>Yes</v>
      </c>
      <c r="L1804" s="2" t="str">
        <f t="shared" si="115"/>
        <v>No</v>
      </c>
      <c r="M1804" s="2">
        <f t="shared" si="114"/>
        <v>0</v>
      </c>
    </row>
    <row r="1805" spans="1:13" x14ac:dyDescent="0.3">
      <c r="A1805" s="5" t="s">
        <v>4434</v>
      </c>
      <c r="B1805" s="5" t="s">
        <v>1954</v>
      </c>
      <c r="C1805" s="5" t="s">
        <v>2598</v>
      </c>
      <c r="D1805" s="6">
        <v>45935</v>
      </c>
      <c r="E1805" s="6">
        <v>45939</v>
      </c>
      <c r="F1805" s="6">
        <v>45948</v>
      </c>
      <c r="G1805" s="5" t="s">
        <v>2641</v>
      </c>
      <c r="H1805" s="5">
        <v>22</v>
      </c>
      <c r="I1805" s="5">
        <f>IFERROR(INDEX(Raw_Orders!H1805:H4233,MATCH(B1805,Raw_Orders!A1805:A4233,0)),0)</f>
        <v>22</v>
      </c>
      <c r="J1805" s="5" t="str">
        <f t="shared" si="112"/>
        <v>No</v>
      </c>
      <c r="K1805" s="5" t="str">
        <f t="shared" si="113"/>
        <v>Yes</v>
      </c>
      <c r="L1805" s="5" t="str">
        <f t="shared" si="115"/>
        <v>No</v>
      </c>
      <c r="M1805" s="5">
        <f t="shared" si="114"/>
        <v>0</v>
      </c>
    </row>
    <row r="1806" spans="1:13" x14ac:dyDescent="0.3">
      <c r="A1806" s="2" t="s">
        <v>4435</v>
      </c>
      <c r="B1806" s="2" t="s">
        <v>1955</v>
      </c>
      <c r="C1806" s="2" t="s">
        <v>2601</v>
      </c>
      <c r="D1806" s="3">
        <v>45933</v>
      </c>
      <c r="E1806" s="3">
        <v>45940</v>
      </c>
      <c r="F1806" s="3">
        <v>45942</v>
      </c>
      <c r="G1806" s="2" t="s">
        <v>2633</v>
      </c>
      <c r="H1806" s="2">
        <v>7</v>
      </c>
      <c r="I1806" s="2">
        <f>IFERROR(INDEX(Raw_Orders!H1806:H4234,MATCH(B1806,Raw_Orders!A1806:A4234,0)),0)</f>
        <v>13</v>
      </c>
      <c r="J1806" s="2" t="str">
        <f t="shared" si="112"/>
        <v>No</v>
      </c>
      <c r="K1806" s="2" t="str">
        <f t="shared" si="113"/>
        <v>N0</v>
      </c>
      <c r="L1806" s="2" t="str">
        <f t="shared" si="115"/>
        <v>No</v>
      </c>
      <c r="M1806" s="2">
        <f t="shared" si="114"/>
        <v>0</v>
      </c>
    </row>
    <row r="1807" spans="1:13" x14ac:dyDescent="0.3">
      <c r="A1807" s="5" t="s">
        <v>4436</v>
      </c>
      <c r="B1807" s="5" t="s">
        <v>1956</v>
      </c>
      <c r="C1807" s="5" t="s">
        <v>2614</v>
      </c>
      <c r="D1807" s="6">
        <v>45935</v>
      </c>
      <c r="E1807" s="6">
        <v>45939</v>
      </c>
      <c r="F1807" s="6">
        <v>45953</v>
      </c>
      <c r="G1807" s="5" t="s">
        <v>2631</v>
      </c>
      <c r="H1807" s="5">
        <v>40</v>
      </c>
      <c r="I1807" s="5">
        <f>IFERROR(INDEX(Raw_Orders!H1807:H4235,MATCH(B1807,Raw_Orders!A1807:A4235,0)),0)</f>
        <v>40</v>
      </c>
      <c r="J1807" s="5" t="str">
        <f t="shared" si="112"/>
        <v>No</v>
      </c>
      <c r="K1807" s="5" t="str">
        <f t="shared" si="113"/>
        <v>Yes</v>
      </c>
      <c r="L1807" s="5" t="str">
        <f t="shared" si="115"/>
        <v>No</v>
      </c>
      <c r="M1807" s="5">
        <f t="shared" si="114"/>
        <v>0</v>
      </c>
    </row>
    <row r="1808" spans="1:13" x14ac:dyDescent="0.3">
      <c r="A1808" s="2" t="s">
        <v>4437</v>
      </c>
      <c r="B1808" s="2" t="s">
        <v>1957</v>
      </c>
      <c r="C1808" s="2" t="s">
        <v>2601</v>
      </c>
      <c r="D1808" s="3">
        <v>45934</v>
      </c>
      <c r="E1808" s="3">
        <v>45940</v>
      </c>
      <c r="F1808" s="3">
        <v>45939</v>
      </c>
      <c r="G1808" s="2" t="s">
        <v>2633</v>
      </c>
      <c r="H1808" s="2">
        <v>14</v>
      </c>
      <c r="I1808" s="2">
        <f>IFERROR(INDEX(Raw_Orders!H1808:H4236,MATCH(B1808,Raw_Orders!A1808:A4236,0)),0)</f>
        <v>14</v>
      </c>
      <c r="J1808" s="2" t="str">
        <f t="shared" si="112"/>
        <v>Yes</v>
      </c>
      <c r="K1808" s="2" t="str">
        <f t="shared" si="113"/>
        <v>Yes</v>
      </c>
      <c r="L1808" s="2" t="str">
        <f t="shared" si="115"/>
        <v>Yes</v>
      </c>
      <c r="M1808" s="2">
        <f t="shared" si="114"/>
        <v>1</v>
      </c>
    </row>
    <row r="1809" spans="1:13" x14ac:dyDescent="0.3">
      <c r="A1809" s="5" t="s">
        <v>4438</v>
      </c>
      <c r="B1809" s="5" t="s">
        <v>1958</v>
      </c>
      <c r="C1809" s="5" t="s">
        <v>2616</v>
      </c>
      <c r="D1809" s="6">
        <v>45934</v>
      </c>
      <c r="E1809" s="6">
        <v>45941</v>
      </c>
      <c r="F1809" s="6">
        <v>45949</v>
      </c>
      <c r="G1809" s="5" t="s">
        <v>2633</v>
      </c>
      <c r="H1809" s="5">
        <v>26</v>
      </c>
      <c r="I1809" s="5">
        <f>IFERROR(INDEX(Raw_Orders!H1809:H4237,MATCH(B1809,Raw_Orders!A1809:A4237,0)),0)</f>
        <v>26</v>
      </c>
      <c r="J1809" s="5" t="str">
        <f t="shared" si="112"/>
        <v>No</v>
      </c>
      <c r="K1809" s="5" t="str">
        <f t="shared" si="113"/>
        <v>Yes</v>
      </c>
      <c r="L1809" s="5" t="str">
        <f t="shared" si="115"/>
        <v>No</v>
      </c>
      <c r="M1809" s="5">
        <f t="shared" si="114"/>
        <v>0</v>
      </c>
    </row>
    <row r="1810" spans="1:13" x14ac:dyDescent="0.3">
      <c r="A1810" s="2" t="s">
        <v>4439</v>
      </c>
      <c r="B1810" s="2" t="s">
        <v>1959</v>
      </c>
      <c r="C1810" s="2" t="s">
        <v>2606</v>
      </c>
      <c r="D1810" s="3">
        <v>45933</v>
      </c>
      <c r="E1810" s="3">
        <v>45938</v>
      </c>
      <c r="F1810" s="3">
        <v>45939</v>
      </c>
      <c r="G1810" s="2" t="s">
        <v>2641</v>
      </c>
      <c r="H1810" s="2">
        <v>68</v>
      </c>
      <c r="I1810" s="2">
        <f>IFERROR(INDEX(Raw_Orders!H1810:H4238,MATCH(B1810,Raw_Orders!A1810:A4238,0)),0)</f>
        <v>68</v>
      </c>
      <c r="J1810" s="2" t="str">
        <f t="shared" si="112"/>
        <v>No</v>
      </c>
      <c r="K1810" s="2" t="str">
        <f t="shared" si="113"/>
        <v>Yes</v>
      </c>
      <c r="L1810" s="2" t="str">
        <f t="shared" si="115"/>
        <v>No</v>
      </c>
      <c r="M1810" s="2">
        <f t="shared" si="114"/>
        <v>0</v>
      </c>
    </row>
    <row r="1811" spans="1:13" x14ac:dyDescent="0.3">
      <c r="A1811" s="5" t="s">
        <v>4440</v>
      </c>
      <c r="B1811" s="5" t="s">
        <v>1960</v>
      </c>
      <c r="C1811" s="5" t="s">
        <v>2606</v>
      </c>
      <c r="D1811" s="6">
        <v>45933</v>
      </c>
      <c r="E1811" s="6">
        <v>45940</v>
      </c>
      <c r="F1811" s="6">
        <v>45943</v>
      </c>
      <c r="G1811" s="5" t="s">
        <v>2633</v>
      </c>
      <c r="H1811" s="5">
        <v>28</v>
      </c>
      <c r="I1811" s="5">
        <f>IFERROR(INDEX(Raw_Orders!H1811:H4239,MATCH(B1811,Raw_Orders!A1811:A4239,0)),0)</f>
        <v>28</v>
      </c>
      <c r="J1811" s="5" t="str">
        <f t="shared" si="112"/>
        <v>No</v>
      </c>
      <c r="K1811" s="5" t="str">
        <f t="shared" si="113"/>
        <v>Yes</v>
      </c>
      <c r="L1811" s="5" t="str">
        <f t="shared" si="115"/>
        <v>No</v>
      </c>
      <c r="M1811" s="5">
        <f t="shared" si="114"/>
        <v>0</v>
      </c>
    </row>
    <row r="1812" spans="1:13" x14ac:dyDescent="0.3">
      <c r="A1812" s="2" t="s">
        <v>4441</v>
      </c>
      <c r="B1812" s="2" t="s">
        <v>1961</v>
      </c>
      <c r="C1812" s="2" t="s">
        <v>2598</v>
      </c>
      <c r="D1812" s="3">
        <v>45934</v>
      </c>
      <c r="E1812" s="3">
        <v>45944</v>
      </c>
      <c r="F1812" s="3">
        <v>45947</v>
      </c>
      <c r="G1812" s="2" t="s">
        <v>2641</v>
      </c>
      <c r="H1812" s="2">
        <v>22</v>
      </c>
      <c r="I1812" s="2">
        <f>IFERROR(INDEX(Raw_Orders!H1812:H4240,MATCH(B1812,Raw_Orders!A1812:A4240,0)),0)</f>
        <v>22</v>
      </c>
      <c r="J1812" s="2" t="str">
        <f t="shared" si="112"/>
        <v>No</v>
      </c>
      <c r="K1812" s="2" t="str">
        <f t="shared" si="113"/>
        <v>Yes</v>
      </c>
      <c r="L1812" s="2" t="str">
        <f t="shared" si="115"/>
        <v>No</v>
      </c>
      <c r="M1812" s="2">
        <f t="shared" si="114"/>
        <v>0</v>
      </c>
    </row>
    <row r="1813" spans="1:13" x14ac:dyDescent="0.3">
      <c r="A1813" s="5" t="s">
        <v>4442</v>
      </c>
      <c r="B1813" s="5" t="s">
        <v>1962</v>
      </c>
      <c r="C1813" s="5" t="s">
        <v>2616</v>
      </c>
      <c r="D1813" s="6">
        <v>45936</v>
      </c>
      <c r="E1813" s="6">
        <v>45943</v>
      </c>
      <c r="F1813" s="6">
        <v>45952</v>
      </c>
      <c r="G1813" s="5" t="s">
        <v>2633</v>
      </c>
      <c r="H1813" s="5">
        <v>37</v>
      </c>
      <c r="I1813" s="5">
        <f>IFERROR(INDEX(Raw_Orders!H1813:H4241,MATCH(B1813,Raw_Orders!A1813:A4241,0)),0)</f>
        <v>37</v>
      </c>
      <c r="J1813" s="5" t="str">
        <f t="shared" si="112"/>
        <v>No</v>
      </c>
      <c r="K1813" s="5" t="str">
        <f t="shared" si="113"/>
        <v>Yes</v>
      </c>
      <c r="L1813" s="5" t="str">
        <f t="shared" si="115"/>
        <v>No</v>
      </c>
      <c r="M1813" s="5">
        <f t="shared" si="114"/>
        <v>0</v>
      </c>
    </row>
    <row r="1814" spans="1:13" x14ac:dyDescent="0.3">
      <c r="A1814" s="2" t="s">
        <v>4443</v>
      </c>
      <c r="B1814" s="2" t="s">
        <v>1963</v>
      </c>
      <c r="C1814" s="2" t="s">
        <v>2604</v>
      </c>
      <c r="D1814" s="3">
        <v>45936</v>
      </c>
      <c r="E1814" s="3">
        <v>45937</v>
      </c>
      <c r="F1814" s="3">
        <v>45940</v>
      </c>
      <c r="G1814" s="2" t="s">
        <v>2631</v>
      </c>
      <c r="H1814" s="2">
        <v>30</v>
      </c>
      <c r="I1814" s="2">
        <f>IFERROR(INDEX(Raw_Orders!H1814:H4242,MATCH(B1814,Raw_Orders!A1814:A4242,0)),0)</f>
        <v>30</v>
      </c>
      <c r="J1814" s="2" t="str">
        <f t="shared" si="112"/>
        <v>No</v>
      </c>
      <c r="K1814" s="2" t="str">
        <f t="shared" si="113"/>
        <v>Yes</v>
      </c>
      <c r="L1814" s="2" t="str">
        <f t="shared" si="115"/>
        <v>No</v>
      </c>
      <c r="M1814" s="2">
        <f t="shared" si="114"/>
        <v>0</v>
      </c>
    </row>
    <row r="1815" spans="1:13" x14ac:dyDescent="0.3">
      <c r="A1815" s="5" t="s">
        <v>4444</v>
      </c>
      <c r="B1815" s="5" t="s">
        <v>1964</v>
      </c>
      <c r="C1815" s="5" t="s">
        <v>2606</v>
      </c>
      <c r="D1815" s="6">
        <v>45935</v>
      </c>
      <c r="E1815" s="6">
        <v>45938</v>
      </c>
      <c r="F1815" s="6">
        <v>45941</v>
      </c>
      <c r="G1815" s="5" t="s">
        <v>2633</v>
      </c>
      <c r="H1815" s="5">
        <v>58</v>
      </c>
      <c r="I1815" s="5">
        <f>IFERROR(INDEX(Raw_Orders!H1815:H4243,MATCH(B1815,Raw_Orders!A1815:A4243,0)),0)</f>
        <v>58</v>
      </c>
      <c r="J1815" s="5" t="str">
        <f t="shared" si="112"/>
        <v>No</v>
      </c>
      <c r="K1815" s="5" t="str">
        <f t="shared" si="113"/>
        <v>Yes</v>
      </c>
      <c r="L1815" s="5" t="str">
        <f t="shared" si="115"/>
        <v>No</v>
      </c>
      <c r="M1815" s="5">
        <f t="shared" si="114"/>
        <v>0</v>
      </c>
    </row>
    <row r="1816" spans="1:13" x14ac:dyDescent="0.3">
      <c r="A1816" s="2" t="s">
        <v>4445</v>
      </c>
      <c r="B1816" s="2" t="s">
        <v>1965</v>
      </c>
      <c r="C1816" s="2" t="s">
        <v>2606</v>
      </c>
      <c r="D1816" s="3">
        <v>45935</v>
      </c>
      <c r="E1816" s="3">
        <v>45937</v>
      </c>
      <c r="F1816" s="3">
        <v>45945</v>
      </c>
      <c r="G1816" s="2" t="s">
        <v>2633</v>
      </c>
      <c r="H1816" s="2">
        <v>25</v>
      </c>
      <c r="I1816" s="2">
        <f>IFERROR(INDEX(Raw_Orders!H1816:H4244,MATCH(B1816,Raw_Orders!A1816:A4244,0)),0)</f>
        <v>25</v>
      </c>
      <c r="J1816" s="2" t="str">
        <f t="shared" si="112"/>
        <v>No</v>
      </c>
      <c r="K1816" s="2" t="str">
        <f t="shared" si="113"/>
        <v>Yes</v>
      </c>
      <c r="L1816" s="2" t="str">
        <f t="shared" si="115"/>
        <v>No</v>
      </c>
      <c r="M1816" s="2">
        <f t="shared" si="114"/>
        <v>0</v>
      </c>
    </row>
    <row r="1817" spans="1:13" x14ac:dyDescent="0.3">
      <c r="A1817" s="5" t="s">
        <v>4446</v>
      </c>
      <c r="B1817" s="5" t="s">
        <v>1966</v>
      </c>
      <c r="C1817" s="5" t="s">
        <v>2611</v>
      </c>
      <c r="D1817" s="6">
        <v>45935</v>
      </c>
      <c r="E1817" s="6">
        <v>45943</v>
      </c>
      <c r="F1817" s="6">
        <v>45944</v>
      </c>
      <c r="G1817" s="5" t="s">
        <v>2629</v>
      </c>
      <c r="H1817" s="5">
        <v>22</v>
      </c>
      <c r="I1817" s="5">
        <f>IFERROR(INDEX(Raw_Orders!H1817:H4245,MATCH(B1817,Raw_Orders!A1817:A4245,0)),0)</f>
        <v>22</v>
      </c>
      <c r="J1817" s="5" t="str">
        <f t="shared" si="112"/>
        <v>No</v>
      </c>
      <c r="K1817" s="5" t="str">
        <f t="shared" si="113"/>
        <v>Yes</v>
      </c>
      <c r="L1817" s="5" t="str">
        <f t="shared" si="115"/>
        <v>No</v>
      </c>
      <c r="M1817" s="5">
        <f t="shared" si="114"/>
        <v>0</v>
      </c>
    </row>
    <row r="1818" spans="1:13" x14ac:dyDescent="0.3">
      <c r="A1818" s="2" t="s">
        <v>4447</v>
      </c>
      <c r="B1818" s="2" t="s">
        <v>1967</v>
      </c>
      <c r="C1818" s="2" t="s">
        <v>2601</v>
      </c>
      <c r="D1818" s="3">
        <v>45936</v>
      </c>
      <c r="E1818" s="3">
        <v>45941</v>
      </c>
      <c r="F1818" s="3">
        <v>45941</v>
      </c>
      <c r="G1818" s="2" t="s">
        <v>2641</v>
      </c>
      <c r="H1818" s="2">
        <v>27</v>
      </c>
      <c r="I1818" s="2">
        <f>IFERROR(INDEX(Raw_Orders!H1818:H4246,MATCH(B1818,Raw_Orders!A1818:A4246,0)),0)</f>
        <v>30</v>
      </c>
      <c r="J1818" s="2" t="str">
        <f t="shared" si="112"/>
        <v>Yes</v>
      </c>
      <c r="K1818" s="2" t="str">
        <f t="shared" si="113"/>
        <v>N0</v>
      </c>
      <c r="L1818" s="2" t="str">
        <f t="shared" si="115"/>
        <v>No</v>
      </c>
      <c r="M1818" s="2">
        <f t="shared" si="114"/>
        <v>0</v>
      </c>
    </row>
    <row r="1819" spans="1:13" x14ac:dyDescent="0.3">
      <c r="A1819" s="5" t="s">
        <v>4448</v>
      </c>
      <c r="B1819" s="5" t="s">
        <v>1968</v>
      </c>
      <c r="C1819" s="5" t="s">
        <v>2601</v>
      </c>
      <c r="D1819" s="6">
        <v>45936</v>
      </c>
      <c r="E1819" s="6">
        <v>45942</v>
      </c>
      <c r="F1819" s="6">
        <v>45940</v>
      </c>
      <c r="G1819" s="5" t="s">
        <v>2629</v>
      </c>
      <c r="H1819" s="5">
        <v>41</v>
      </c>
      <c r="I1819" s="5">
        <f>IFERROR(INDEX(Raw_Orders!H1819:H4247,MATCH(B1819,Raw_Orders!A1819:A4247,0)),0)</f>
        <v>41</v>
      </c>
      <c r="J1819" s="5" t="str">
        <f t="shared" si="112"/>
        <v>Yes</v>
      </c>
      <c r="K1819" s="5" t="str">
        <f t="shared" si="113"/>
        <v>Yes</v>
      </c>
      <c r="L1819" s="5" t="str">
        <f t="shared" si="115"/>
        <v>Yes</v>
      </c>
      <c r="M1819" s="5">
        <f t="shared" si="114"/>
        <v>1</v>
      </c>
    </row>
    <row r="1820" spans="1:13" x14ac:dyDescent="0.3">
      <c r="A1820" s="2" t="s">
        <v>4449</v>
      </c>
      <c r="B1820" s="2" t="s">
        <v>1969</v>
      </c>
      <c r="C1820" s="2" t="s">
        <v>2616</v>
      </c>
      <c r="D1820" s="3">
        <v>45936</v>
      </c>
      <c r="E1820" s="3">
        <v>45941</v>
      </c>
      <c r="F1820" s="3">
        <v>45951</v>
      </c>
      <c r="G1820" s="2" t="s">
        <v>2633</v>
      </c>
      <c r="H1820" s="2">
        <v>12</v>
      </c>
      <c r="I1820" s="2">
        <f>IFERROR(INDEX(Raw_Orders!H1820:H4248,MATCH(B1820,Raw_Orders!A1820:A4248,0)),0)</f>
        <v>19</v>
      </c>
      <c r="J1820" s="2" t="str">
        <f t="shared" si="112"/>
        <v>No</v>
      </c>
      <c r="K1820" s="2" t="str">
        <f t="shared" si="113"/>
        <v>N0</v>
      </c>
      <c r="L1820" s="2" t="str">
        <f t="shared" si="115"/>
        <v>No</v>
      </c>
      <c r="M1820" s="2">
        <f t="shared" si="114"/>
        <v>0</v>
      </c>
    </row>
    <row r="1821" spans="1:13" x14ac:dyDescent="0.3">
      <c r="A1821" s="5" t="s">
        <v>4450</v>
      </c>
      <c r="B1821" s="5" t="s">
        <v>1970</v>
      </c>
      <c r="C1821" s="5" t="s">
        <v>2604</v>
      </c>
      <c r="D1821" s="6">
        <v>45937</v>
      </c>
      <c r="E1821" s="6">
        <v>45943</v>
      </c>
      <c r="F1821" s="6">
        <v>45941</v>
      </c>
      <c r="G1821" s="5" t="s">
        <v>2641</v>
      </c>
      <c r="H1821" s="5">
        <v>63</v>
      </c>
      <c r="I1821" s="5">
        <f>IFERROR(INDEX(Raw_Orders!H1821:H4249,MATCH(B1821,Raw_Orders!A1821:A4249,0)),0)</f>
        <v>63</v>
      </c>
      <c r="J1821" s="5" t="str">
        <f t="shared" si="112"/>
        <v>Yes</v>
      </c>
      <c r="K1821" s="5" t="str">
        <f t="shared" si="113"/>
        <v>Yes</v>
      </c>
      <c r="L1821" s="5" t="str">
        <f t="shared" si="115"/>
        <v>Yes</v>
      </c>
      <c r="M1821" s="5">
        <f t="shared" si="114"/>
        <v>1</v>
      </c>
    </row>
    <row r="1822" spans="1:13" x14ac:dyDescent="0.3">
      <c r="A1822" s="2" t="s">
        <v>4451</v>
      </c>
      <c r="B1822" s="2" t="s">
        <v>1971</v>
      </c>
      <c r="C1822" s="2" t="s">
        <v>2616</v>
      </c>
      <c r="D1822" s="3">
        <v>45935</v>
      </c>
      <c r="E1822" s="3">
        <v>45945</v>
      </c>
      <c r="F1822" s="3">
        <v>45949</v>
      </c>
      <c r="G1822" s="2" t="s">
        <v>2627</v>
      </c>
      <c r="H1822" s="2">
        <v>25</v>
      </c>
      <c r="I1822" s="2">
        <f>IFERROR(INDEX(Raw_Orders!H1822:H4250,MATCH(B1822,Raw_Orders!A1822:A4250,0)),0)</f>
        <v>25</v>
      </c>
      <c r="J1822" s="2" t="str">
        <f t="shared" si="112"/>
        <v>No</v>
      </c>
      <c r="K1822" s="2" t="str">
        <f t="shared" si="113"/>
        <v>Yes</v>
      </c>
      <c r="L1822" s="2" t="str">
        <f t="shared" si="115"/>
        <v>No</v>
      </c>
      <c r="M1822" s="2">
        <f t="shared" si="114"/>
        <v>0</v>
      </c>
    </row>
    <row r="1823" spans="1:13" x14ac:dyDescent="0.3">
      <c r="A1823" s="5" t="s">
        <v>4452</v>
      </c>
      <c r="B1823" s="5" t="s">
        <v>1972</v>
      </c>
      <c r="C1823" s="5" t="s">
        <v>2606</v>
      </c>
      <c r="D1823" s="6">
        <v>45937</v>
      </c>
      <c r="E1823" s="6">
        <v>45940</v>
      </c>
      <c r="F1823" s="6">
        <v>45945</v>
      </c>
      <c r="G1823" s="5" t="s">
        <v>2631</v>
      </c>
      <c r="H1823" s="5">
        <v>12</v>
      </c>
      <c r="I1823" s="5">
        <f>IFERROR(INDEX(Raw_Orders!H1823:H4251,MATCH(B1823,Raw_Orders!A1823:A4251,0)),0)</f>
        <v>12</v>
      </c>
      <c r="J1823" s="5" t="str">
        <f t="shared" si="112"/>
        <v>No</v>
      </c>
      <c r="K1823" s="5" t="str">
        <f t="shared" si="113"/>
        <v>Yes</v>
      </c>
      <c r="L1823" s="5" t="str">
        <f t="shared" si="115"/>
        <v>No</v>
      </c>
      <c r="M1823" s="5">
        <f t="shared" si="114"/>
        <v>0</v>
      </c>
    </row>
    <row r="1824" spans="1:13" x14ac:dyDescent="0.3">
      <c r="A1824" s="2" t="s">
        <v>4453</v>
      </c>
      <c r="B1824" s="2" t="s">
        <v>1973</v>
      </c>
      <c r="C1824" s="2" t="s">
        <v>2608</v>
      </c>
      <c r="D1824" s="3">
        <v>45937</v>
      </c>
      <c r="E1824" s="3">
        <v>45939</v>
      </c>
      <c r="F1824" s="3">
        <v>45950</v>
      </c>
      <c r="G1824" s="2" t="s">
        <v>2629</v>
      </c>
      <c r="H1824" s="2">
        <v>33</v>
      </c>
      <c r="I1824" s="2">
        <f>IFERROR(INDEX(Raw_Orders!H1824:H4252,MATCH(B1824,Raw_Orders!A1824:A4252,0)),0)</f>
        <v>33</v>
      </c>
      <c r="J1824" s="2" t="str">
        <f t="shared" si="112"/>
        <v>No</v>
      </c>
      <c r="K1824" s="2" t="str">
        <f t="shared" si="113"/>
        <v>Yes</v>
      </c>
      <c r="L1824" s="2" t="str">
        <f t="shared" si="115"/>
        <v>No</v>
      </c>
      <c r="M1824" s="2">
        <f t="shared" si="114"/>
        <v>0</v>
      </c>
    </row>
    <row r="1825" spans="1:13" x14ac:dyDescent="0.3">
      <c r="A1825" s="5" t="s">
        <v>4454</v>
      </c>
      <c r="B1825" s="5" t="s">
        <v>1974</v>
      </c>
      <c r="C1825" s="5" t="s">
        <v>2608</v>
      </c>
      <c r="D1825" s="6">
        <v>45936</v>
      </c>
      <c r="E1825" s="6">
        <v>45943</v>
      </c>
      <c r="F1825" s="6">
        <v>45953</v>
      </c>
      <c r="G1825" s="5" t="s">
        <v>2633</v>
      </c>
      <c r="H1825" s="5">
        <v>8</v>
      </c>
      <c r="I1825" s="5">
        <f>IFERROR(INDEX(Raw_Orders!H1825:H4253,MATCH(B1825,Raw_Orders!A1825:A4253,0)),0)</f>
        <v>9</v>
      </c>
      <c r="J1825" s="5" t="str">
        <f t="shared" si="112"/>
        <v>No</v>
      </c>
      <c r="K1825" s="5" t="str">
        <f t="shared" si="113"/>
        <v>N0</v>
      </c>
      <c r="L1825" s="5" t="str">
        <f t="shared" si="115"/>
        <v>No</v>
      </c>
      <c r="M1825" s="5">
        <f t="shared" si="114"/>
        <v>0</v>
      </c>
    </row>
    <row r="1826" spans="1:13" x14ac:dyDescent="0.3">
      <c r="A1826" s="2" t="s">
        <v>4455</v>
      </c>
      <c r="B1826" s="2" t="s">
        <v>1975</v>
      </c>
      <c r="C1826" s="2" t="s">
        <v>2608</v>
      </c>
      <c r="D1826" s="3">
        <v>45937</v>
      </c>
      <c r="E1826" s="3">
        <v>45944</v>
      </c>
      <c r="F1826" s="3">
        <v>45950</v>
      </c>
      <c r="G1826" s="2" t="s">
        <v>2627</v>
      </c>
      <c r="H1826" s="2">
        <v>12</v>
      </c>
      <c r="I1826" s="2">
        <f>IFERROR(INDEX(Raw_Orders!H1826:H4254,MATCH(B1826,Raw_Orders!A1826:A4254,0)),0)</f>
        <v>15</v>
      </c>
      <c r="J1826" s="2" t="str">
        <f t="shared" si="112"/>
        <v>No</v>
      </c>
      <c r="K1826" s="2" t="str">
        <f t="shared" si="113"/>
        <v>N0</v>
      </c>
      <c r="L1826" s="2" t="str">
        <f t="shared" si="115"/>
        <v>No</v>
      </c>
      <c r="M1826" s="2">
        <f t="shared" si="114"/>
        <v>0</v>
      </c>
    </row>
    <row r="1827" spans="1:13" x14ac:dyDescent="0.3">
      <c r="A1827" s="5" t="s">
        <v>4456</v>
      </c>
      <c r="B1827" s="5" t="s">
        <v>1976</v>
      </c>
      <c r="C1827" s="5" t="s">
        <v>2614</v>
      </c>
      <c r="D1827" s="6">
        <v>45936</v>
      </c>
      <c r="E1827" s="6">
        <v>45941</v>
      </c>
      <c r="F1827" s="6">
        <v>45952</v>
      </c>
      <c r="G1827" s="5" t="s">
        <v>2641</v>
      </c>
      <c r="H1827" s="5">
        <v>21</v>
      </c>
      <c r="I1827" s="5">
        <f>IFERROR(INDEX(Raw_Orders!H1827:H4255,MATCH(B1827,Raw_Orders!A1827:A4255,0)),0)</f>
        <v>21</v>
      </c>
      <c r="J1827" s="5" t="str">
        <f t="shared" si="112"/>
        <v>No</v>
      </c>
      <c r="K1827" s="5" t="str">
        <f t="shared" si="113"/>
        <v>Yes</v>
      </c>
      <c r="L1827" s="5" t="str">
        <f t="shared" si="115"/>
        <v>No</v>
      </c>
      <c r="M1827" s="5">
        <f t="shared" si="114"/>
        <v>0</v>
      </c>
    </row>
    <row r="1828" spans="1:13" x14ac:dyDescent="0.3">
      <c r="A1828" s="2" t="s">
        <v>4457</v>
      </c>
      <c r="B1828" s="2" t="s">
        <v>1977</v>
      </c>
      <c r="C1828" s="2" t="s">
        <v>2616</v>
      </c>
      <c r="D1828" s="3">
        <v>45937</v>
      </c>
      <c r="E1828" s="3">
        <v>45945</v>
      </c>
      <c r="F1828" s="3">
        <v>45954</v>
      </c>
      <c r="G1828" s="2" t="s">
        <v>2631</v>
      </c>
      <c r="H1828" s="2">
        <v>15</v>
      </c>
      <c r="I1828" s="2">
        <f>IFERROR(INDEX(Raw_Orders!H1828:H4256,MATCH(B1828,Raw_Orders!A1828:A4256,0)),0)</f>
        <v>15</v>
      </c>
      <c r="J1828" s="2" t="str">
        <f t="shared" si="112"/>
        <v>No</v>
      </c>
      <c r="K1828" s="2" t="str">
        <f t="shared" si="113"/>
        <v>Yes</v>
      </c>
      <c r="L1828" s="2" t="str">
        <f t="shared" si="115"/>
        <v>No</v>
      </c>
      <c r="M1828" s="2">
        <f t="shared" si="114"/>
        <v>0</v>
      </c>
    </row>
    <row r="1829" spans="1:13" x14ac:dyDescent="0.3">
      <c r="A1829" s="5" t="s">
        <v>4458</v>
      </c>
      <c r="B1829" s="5" t="s">
        <v>1978</v>
      </c>
      <c r="C1829" s="5" t="s">
        <v>2616</v>
      </c>
      <c r="D1829" s="6">
        <v>45937</v>
      </c>
      <c r="E1829" s="6">
        <v>45939</v>
      </c>
      <c r="F1829" s="6">
        <v>45952</v>
      </c>
      <c r="G1829" s="5" t="s">
        <v>2631</v>
      </c>
      <c r="H1829" s="5">
        <v>30</v>
      </c>
      <c r="I1829" s="5">
        <f>IFERROR(INDEX(Raw_Orders!H1829:H4257,MATCH(B1829,Raw_Orders!A1829:A4257,0)),0)</f>
        <v>30</v>
      </c>
      <c r="J1829" s="5" t="str">
        <f t="shared" si="112"/>
        <v>No</v>
      </c>
      <c r="K1829" s="5" t="str">
        <f t="shared" si="113"/>
        <v>Yes</v>
      </c>
      <c r="L1829" s="5" t="str">
        <f t="shared" si="115"/>
        <v>No</v>
      </c>
      <c r="M1829" s="5">
        <f t="shared" si="114"/>
        <v>0</v>
      </c>
    </row>
    <row r="1830" spans="1:13" x14ac:dyDescent="0.3">
      <c r="A1830" s="2" t="s">
        <v>4459</v>
      </c>
      <c r="B1830" s="2" t="s">
        <v>1979</v>
      </c>
      <c r="C1830" s="2" t="s">
        <v>2606</v>
      </c>
      <c r="D1830" s="3">
        <v>45938</v>
      </c>
      <c r="E1830" s="3">
        <v>45945</v>
      </c>
      <c r="F1830" s="3">
        <v>45943</v>
      </c>
      <c r="G1830" s="2" t="s">
        <v>2641</v>
      </c>
      <c r="H1830" s="2">
        <v>31</v>
      </c>
      <c r="I1830" s="2">
        <f>IFERROR(INDEX(Raw_Orders!H1830:H4258,MATCH(B1830,Raw_Orders!A1830:A4258,0)),0)</f>
        <v>31</v>
      </c>
      <c r="J1830" s="2" t="str">
        <f t="shared" si="112"/>
        <v>Yes</v>
      </c>
      <c r="K1830" s="2" t="str">
        <f t="shared" si="113"/>
        <v>Yes</v>
      </c>
      <c r="L1830" s="2" t="str">
        <f t="shared" si="115"/>
        <v>Yes</v>
      </c>
      <c r="M1830" s="2">
        <f t="shared" si="114"/>
        <v>1</v>
      </c>
    </row>
    <row r="1831" spans="1:13" x14ac:dyDescent="0.3">
      <c r="A1831" s="5" t="s">
        <v>4460</v>
      </c>
      <c r="B1831" s="5" t="s">
        <v>1980</v>
      </c>
      <c r="C1831" s="5" t="s">
        <v>2606</v>
      </c>
      <c r="D1831" s="6">
        <v>45936</v>
      </c>
      <c r="E1831" s="6">
        <v>45942</v>
      </c>
      <c r="F1831" s="6">
        <v>45942</v>
      </c>
      <c r="G1831" s="5" t="s">
        <v>2627</v>
      </c>
      <c r="H1831" s="5">
        <v>50</v>
      </c>
      <c r="I1831" s="5">
        <f>IFERROR(INDEX(Raw_Orders!H1831:H4259,MATCH(B1831,Raw_Orders!A1831:A4259,0)),0)</f>
        <v>50</v>
      </c>
      <c r="J1831" s="5" t="str">
        <f t="shared" si="112"/>
        <v>Yes</v>
      </c>
      <c r="K1831" s="5" t="str">
        <f t="shared" si="113"/>
        <v>Yes</v>
      </c>
      <c r="L1831" s="5" t="str">
        <f t="shared" si="115"/>
        <v>Yes</v>
      </c>
      <c r="M1831" s="5">
        <f t="shared" si="114"/>
        <v>1</v>
      </c>
    </row>
    <row r="1832" spans="1:13" x14ac:dyDescent="0.3">
      <c r="A1832" s="2" t="s">
        <v>4461</v>
      </c>
      <c r="B1832" s="2" t="s">
        <v>1981</v>
      </c>
      <c r="C1832" s="2" t="s">
        <v>2608</v>
      </c>
      <c r="D1832" s="3">
        <v>45938</v>
      </c>
      <c r="E1832" s="3">
        <v>45941</v>
      </c>
      <c r="F1832" s="3">
        <v>45953</v>
      </c>
      <c r="G1832" s="2" t="s">
        <v>2627</v>
      </c>
      <c r="H1832" s="2">
        <v>41</v>
      </c>
      <c r="I1832" s="2">
        <f>IFERROR(INDEX(Raw_Orders!H1832:H4260,MATCH(B1832,Raw_Orders!A1832:A4260,0)),0)</f>
        <v>41</v>
      </c>
      <c r="J1832" s="2" t="str">
        <f t="shared" si="112"/>
        <v>No</v>
      </c>
      <c r="K1832" s="2" t="str">
        <f t="shared" si="113"/>
        <v>Yes</v>
      </c>
      <c r="L1832" s="2" t="str">
        <f t="shared" si="115"/>
        <v>No</v>
      </c>
      <c r="M1832" s="2">
        <f t="shared" si="114"/>
        <v>0</v>
      </c>
    </row>
    <row r="1833" spans="1:13" x14ac:dyDescent="0.3">
      <c r="A1833" s="5" t="s">
        <v>4462</v>
      </c>
      <c r="B1833" s="5" t="s">
        <v>1982</v>
      </c>
      <c r="C1833" s="5" t="s">
        <v>2608</v>
      </c>
      <c r="D1833" s="6">
        <v>45937</v>
      </c>
      <c r="E1833" s="6">
        <v>45945</v>
      </c>
      <c r="F1833" s="6">
        <v>45951</v>
      </c>
      <c r="G1833" s="5" t="s">
        <v>2641</v>
      </c>
      <c r="H1833" s="5">
        <v>9</v>
      </c>
      <c r="I1833" s="5">
        <f>IFERROR(INDEX(Raw_Orders!H1833:H4261,MATCH(B1833,Raw_Orders!A1833:A4261,0)),0)</f>
        <v>9</v>
      </c>
      <c r="J1833" s="5" t="str">
        <f t="shared" si="112"/>
        <v>No</v>
      </c>
      <c r="K1833" s="5" t="str">
        <f t="shared" si="113"/>
        <v>Yes</v>
      </c>
      <c r="L1833" s="5" t="str">
        <f t="shared" si="115"/>
        <v>No</v>
      </c>
      <c r="M1833" s="5">
        <f t="shared" si="114"/>
        <v>0</v>
      </c>
    </row>
    <row r="1834" spans="1:13" x14ac:dyDescent="0.3">
      <c r="A1834" s="2" t="s">
        <v>4463</v>
      </c>
      <c r="B1834" s="2" t="s">
        <v>1983</v>
      </c>
      <c r="C1834" s="2" t="s">
        <v>2608</v>
      </c>
      <c r="D1834" s="3">
        <v>45936</v>
      </c>
      <c r="E1834" s="3">
        <v>45941</v>
      </c>
      <c r="F1834" s="3">
        <v>45948</v>
      </c>
      <c r="G1834" s="2" t="s">
        <v>2631</v>
      </c>
      <c r="H1834" s="2">
        <v>15</v>
      </c>
      <c r="I1834" s="2">
        <f>IFERROR(INDEX(Raw_Orders!H1834:H4262,MATCH(B1834,Raw_Orders!A1834:A4262,0)),0)</f>
        <v>15</v>
      </c>
      <c r="J1834" s="2" t="str">
        <f t="shared" si="112"/>
        <v>No</v>
      </c>
      <c r="K1834" s="2" t="str">
        <f t="shared" si="113"/>
        <v>Yes</v>
      </c>
      <c r="L1834" s="2" t="str">
        <f t="shared" si="115"/>
        <v>No</v>
      </c>
      <c r="M1834" s="2">
        <f t="shared" si="114"/>
        <v>0</v>
      </c>
    </row>
    <row r="1835" spans="1:13" x14ac:dyDescent="0.3">
      <c r="A1835" s="5" t="s">
        <v>4464</v>
      </c>
      <c r="B1835" s="5" t="s">
        <v>1984</v>
      </c>
      <c r="C1835" s="5" t="s">
        <v>2611</v>
      </c>
      <c r="D1835" s="6">
        <v>45939</v>
      </c>
      <c r="E1835" s="6">
        <v>45941</v>
      </c>
      <c r="F1835" s="6">
        <v>45947</v>
      </c>
      <c r="G1835" s="5" t="s">
        <v>2627</v>
      </c>
      <c r="H1835" s="5">
        <v>19</v>
      </c>
      <c r="I1835" s="5">
        <f>IFERROR(INDEX(Raw_Orders!H1835:H4263,MATCH(B1835,Raw_Orders!A1835:A4263,0)),0)</f>
        <v>19</v>
      </c>
      <c r="J1835" s="5" t="str">
        <f t="shared" si="112"/>
        <v>No</v>
      </c>
      <c r="K1835" s="5" t="str">
        <f t="shared" si="113"/>
        <v>Yes</v>
      </c>
      <c r="L1835" s="5" t="str">
        <f t="shared" si="115"/>
        <v>No</v>
      </c>
      <c r="M1835" s="5">
        <f t="shared" si="114"/>
        <v>0</v>
      </c>
    </row>
    <row r="1836" spans="1:13" x14ac:dyDescent="0.3">
      <c r="A1836" s="2" t="s">
        <v>4465</v>
      </c>
      <c r="B1836" s="2" t="s">
        <v>1985</v>
      </c>
      <c r="C1836" s="2" t="s">
        <v>2601</v>
      </c>
      <c r="D1836" s="3">
        <v>45937</v>
      </c>
      <c r="E1836" s="3">
        <v>45946</v>
      </c>
      <c r="F1836" s="3">
        <v>45942</v>
      </c>
      <c r="G1836" s="2" t="s">
        <v>2633</v>
      </c>
      <c r="H1836" s="2">
        <v>14</v>
      </c>
      <c r="I1836" s="2">
        <f>IFERROR(INDEX(Raw_Orders!H1836:H4264,MATCH(B1836,Raw_Orders!A1836:A4264,0)),0)</f>
        <v>14</v>
      </c>
      <c r="J1836" s="2" t="str">
        <f t="shared" si="112"/>
        <v>Yes</v>
      </c>
      <c r="K1836" s="2" t="str">
        <f t="shared" si="113"/>
        <v>Yes</v>
      </c>
      <c r="L1836" s="2" t="str">
        <f t="shared" si="115"/>
        <v>Yes</v>
      </c>
      <c r="M1836" s="2">
        <f t="shared" si="114"/>
        <v>1</v>
      </c>
    </row>
    <row r="1837" spans="1:13" x14ac:dyDescent="0.3">
      <c r="A1837" s="5" t="s">
        <v>4466</v>
      </c>
      <c r="B1837" s="5" t="s">
        <v>1986</v>
      </c>
      <c r="C1837" s="5" t="s">
        <v>2614</v>
      </c>
      <c r="D1837" s="6">
        <v>45937</v>
      </c>
      <c r="E1837" s="6">
        <v>45946</v>
      </c>
      <c r="F1837" s="6">
        <v>45952</v>
      </c>
      <c r="G1837" s="5" t="s">
        <v>2641</v>
      </c>
      <c r="H1837" s="5">
        <v>48</v>
      </c>
      <c r="I1837" s="5">
        <f>IFERROR(INDEX(Raw_Orders!H1837:H4265,MATCH(B1837,Raw_Orders!A1837:A4265,0)),0)</f>
        <v>48</v>
      </c>
      <c r="J1837" s="5" t="str">
        <f t="shared" si="112"/>
        <v>No</v>
      </c>
      <c r="K1837" s="5" t="str">
        <f t="shared" si="113"/>
        <v>Yes</v>
      </c>
      <c r="L1837" s="5" t="str">
        <f t="shared" si="115"/>
        <v>No</v>
      </c>
      <c r="M1837" s="5">
        <f t="shared" si="114"/>
        <v>0</v>
      </c>
    </row>
    <row r="1838" spans="1:13" x14ac:dyDescent="0.3">
      <c r="A1838" s="2" t="s">
        <v>4467</v>
      </c>
      <c r="B1838" s="2" t="s">
        <v>1987</v>
      </c>
      <c r="C1838" s="2" t="s">
        <v>2614</v>
      </c>
      <c r="D1838" s="3">
        <v>45938</v>
      </c>
      <c r="E1838" s="3">
        <v>45947</v>
      </c>
      <c r="F1838" s="3">
        <v>45954</v>
      </c>
      <c r="G1838" s="2" t="s">
        <v>2633</v>
      </c>
      <c r="H1838" s="2">
        <v>17</v>
      </c>
      <c r="I1838" s="2">
        <f>IFERROR(INDEX(Raw_Orders!H1838:H4266,MATCH(B1838,Raw_Orders!A1838:A4266,0)),0)</f>
        <v>17</v>
      </c>
      <c r="J1838" s="2" t="str">
        <f t="shared" si="112"/>
        <v>No</v>
      </c>
      <c r="K1838" s="2" t="str">
        <f t="shared" si="113"/>
        <v>Yes</v>
      </c>
      <c r="L1838" s="2" t="str">
        <f t="shared" si="115"/>
        <v>No</v>
      </c>
      <c r="M1838" s="2">
        <f t="shared" si="114"/>
        <v>0</v>
      </c>
    </row>
    <row r="1839" spans="1:13" x14ac:dyDescent="0.3">
      <c r="A1839" s="5" t="s">
        <v>4468</v>
      </c>
      <c r="B1839" s="5" t="s">
        <v>1988</v>
      </c>
      <c r="C1839" s="5" t="s">
        <v>2606</v>
      </c>
      <c r="D1839" s="6">
        <v>45937</v>
      </c>
      <c r="E1839" s="6">
        <v>45942</v>
      </c>
      <c r="F1839" s="6">
        <v>45945</v>
      </c>
      <c r="G1839" s="5" t="s">
        <v>2627</v>
      </c>
      <c r="H1839" s="5">
        <v>72</v>
      </c>
      <c r="I1839" s="5">
        <f>IFERROR(INDEX(Raw_Orders!H1839:H4267,MATCH(B1839,Raw_Orders!A1839:A4267,0)),0)</f>
        <v>72</v>
      </c>
      <c r="J1839" s="5" t="str">
        <f t="shared" si="112"/>
        <v>No</v>
      </c>
      <c r="K1839" s="5" t="str">
        <f t="shared" si="113"/>
        <v>Yes</v>
      </c>
      <c r="L1839" s="5" t="str">
        <f t="shared" si="115"/>
        <v>No</v>
      </c>
      <c r="M1839" s="5">
        <f t="shared" si="114"/>
        <v>0</v>
      </c>
    </row>
    <row r="1840" spans="1:13" x14ac:dyDescent="0.3">
      <c r="A1840" s="2" t="s">
        <v>4469</v>
      </c>
      <c r="B1840" s="2" t="s">
        <v>1989</v>
      </c>
      <c r="C1840" s="2" t="s">
        <v>2608</v>
      </c>
      <c r="D1840" s="3">
        <v>45937</v>
      </c>
      <c r="E1840" s="3">
        <v>45944</v>
      </c>
      <c r="F1840" s="3">
        <v>45949</v>
      </c>
      <c r="G1840" s="2" t="s">
        <v>2631</v>
      </c>
      <c r="H1840" s="2">
        <v>59</v>
      </c>
      <c r="I1840" s="2">
        <f>IFERROR(INDEX(Raw_Orders!H1840:H4268,MATCH(B1840,Raw_Orders!A1840:A4268,0)),0)</f>
        <v>59</v>
      </c>
      <c r="J1840" s="2" t="str">
        <f t="shared" si="112"/>
        <v>No</v>
      </c>
      <c r="K1840" s="2" t="str">
        <f t="shared" si="113"/>
        <v>Yes</v>
      </c>
      <c r="L1840" s="2" t="str">
        <f t="shared" si="115"/>
        <v>No</v>
      </c>
      <c r="M1840" s="2">
        <f t="shared" si="114"/>
        <v>0</v>
      </c>
    </row>
    <row r="1841" spans="1:13" x14ac:dyDescent="0.3">
      <c r="A1841" s="5" t="s">
        <v>4470</v>
      </c>
      <c r="B1841" s="5" t="s">
        <v>1990</v>
      </c>
      <c r="C1841" s="5" t="s">
        <v>2608</v>
      </c>
      <c r="D1841" s="6">
        <v>45937</v>
      </c>
      <c r="E1841" s="6">
        <v>45947</v>
      </c>
      <c r="F1841" s="6">
        <v>45949</v>
      </c>
      <c r="G1841" s="5" t="s">
        <v>2631</v>
      </c>
      <c r="H1841" s="5">
        <v>8</v>
      </c>
      <c r="I1841" s="5">
        <f>IFERROR(INDEX(Raw_Orders!H1841:H4269,MATCH(B1841,Raw_Orders!A1841:A4269,0)),0)</f>
        <v>8</v>
      </c>
      <c r="J1841" s="5" t="str">
        <f t="shared" si="112"/>
        <v>No</v>
      </c>
      <c r="K1841" s="5" t="str">
        <f t="shared" si="113"/>
        <v>Yes</v>
      </c>
      <c r="L1841" s="5" t="str">
        <f t="shared" si="115"/>
        <v>No</v>
      </c>
      <c r="M1841" s="5">
        <f t="shared" si="114"/>
        <v>0</v>
      </c>
    </row>
    <row r="1842" spans="1:13" x14ac:dyDescent="0.3">
      <c r="A1842" s="2" t="s">
        <v>4471</v>
      </c>
      <c r="B1842" s="2" t="s">
        <v>1991</v>
      </c>
      <c r="C1842" s="2" t="s">
        <v>2608</v>
      </c>
      <c r="D1842" s="3">
        <v>45938</v>
      </c>
      <c r="E1842" s="3">
        <v>45945</v>
      </c>
      <c r="F1842" s="3">
        <v>45950</v>
      </c>
      <c r="G1842" s="2" t="s">
        <v>2627</v>
      </c>
      <c r="H1842" s="2">
        <v>7</v>
      </c>
      <c r="I1842" s="2">
        <f>IFERROR(INDEX(Raw_Orders!H1842:H4270,MATCH(B1842,Raw_Orders!A1842:A4270,0)),0)</f>
        <v>7</v>
      </c>
      <c r="J1842" s="2" t="str">
        <f t="shared" si="112"/>
        <v>No</v>
      </c>
      <c r="K1842" s="2" t="str">
        <f t="shared" si="113"/>
        <v>Yes</v>
      </c>
      <c r="L1842" s="2" t="str">
        <f t="shared" si="115"/>
        <v>No</v>
      </c>
      <c r="M1842" s="2">
        <f t="shared" si="114"/>
        <v>0</v>
      </c>
    </row>
    <row r="1843" spans="1:13" x14ac:dyDescent="0.3">
      <c r="A1843" s="5" t="s">
        <v>4472</v>
      </c>
      <c r="B1843" s="5" t="s">
        <v>1992</v>
      </c>
      <c r="C1843" s="5" t="s">
        <v>2598</v>
      </c>
      <c r="D1843" s="6">
        <v>45939</v>
      </c>
      <c r="E1843" s="6">
        <v>45945</v>
      </c>
      <c r="F1843" s="6">
        <v>45952</v>
      </c>
      <c r="G1843" s="5" t="s">
        <v>2641</v>
      </c>
      <c r="H1843" s="5">
        <v>42</v>
      </c>
      <c r="I1843" s="5">
        <f>IFERROR(INDEX(Raw_Orders!H1843:H4271,MATCH(B1843,Raw_Orders!A1843:A4271,0)),0)</f>
        <v>42</v>
      </c>
      <c r="J1843" s="5" t="str">
        <f t="shared" si="112"/>
        <v>No</v>
      </c>
      <c r="K1843" s="5" t="str">
        <f t="shared" si="113"/>
        <v>Yes</v>
      </c>
      <c r="L1843" s="5" t="str">
        <f t="shared" si="115"/>
        <v>No</v>
      </c>
      <c r="M1843" s="5">
        <f t="shared" si="114"/>
        <v>0</v>
      </c>
    </row>
    <row r="1844" spans="1:13" x14ac:dyDescent="0.3">
      <c r="A1844" s="2" t="s">
        <v>4473</v>
      </c>
      <c r="B1844" s="2" t="s">
        <v>1993</v>
      </c>
      <c r="C1844" s="2" t="s">
        <v>2598</v>
      </c>
      <c r="D1844" s="3">
        <v>45938</v>
      </c>
      <c r="E1844" s="3">
        <v>45946</v>
      </c>
      <c r="F1844" s="3">
        <v>45951</v>
      </c>
      <c r="G1844" s="2" t="s">
        <v>2633</v>
      </c>
      <c r="H1844" s="2">
        <v>42</v>
      </c>
      <c r="I1844" s="2">
        <f>IFERROR(INDEX(Raw_Orders!H1844:H4272,MATCH(B1844,Raw_Orders!A1844:A4272,0)),0)</f>
        <v>42</v>
      </c>
      <c r="J1844" s="2" t="str">
        <f t="shared" si="112"/>
        <v>No</v>
      </c>
      <c r="K1844" s="2" t="str">
        <f t="shared" si="113"/>
        <v>Yes</v>
      </c>
      <c r="L1844" s="2" t="str">
        <f t="shared" si="115"/>
        <v>No</v>
      </c>
      <c r="M1844" s="2">
        <f t="shared" si="114"/>
        <v>0</v>
      </c>
    </row>
    <row r="1845" spans="1:13" x14ac:dyDescent="0.3">
      <c r="A1845" s="5" t="s">
        <v>4474</v>
      </c>
      <c r="B1845" s="5" t="s">
        <v>1994</v>
      </c>
      <c r="C1845" s="5" t="s">
        <v>2614</v>
      </c>
      <c r="D1845" s="6">
        <v>45938</v>
      </c>
      <c r="E1845" s="6">
        <v>45941</v>
      </c>
      <c r="F1845" s="6">
        <v>45951</v>
      </c>
      <c r="G1845" s="5" t="s">
        <v>2629</v>
      </c>
      <c r="H1845" s="5">
        <v>35</v>
      </c>
      <c r="I1845" s="5">
        <f>IFERROR(INDEX(Raw_Orders!H1845:H4273,MATCH(B1845,Raw_Orders!A1845:A4273,0)),0)</f>
        <v>35</v>
      </c>
      <c r="J1845" s="5" t="str">
        <f t="shared" si="112"/>
        <v>No</v>
      </c>
      <c r="K1845" s="5" t="str">
        <f t="shared" si="113"/>
        <v>Yes</v>
      </c>
      <c r="L1845" s="5" t="str">
        <f t="shared" si="115"/>
        <v>No</v>
      </c>
      <c r="M1845" s="5">
        <f t="shared" si="114"/>
        <v>0</v>
      </c>
    </row>
    <row r="1846" spans="1:13" x14ac:dyDescent="0.3">
      <c r="A1846" s="2" t="s">
        <v>4475</v>
      </c>
      <c r="B1846" s="2" t="s">
        <v>1995</v>
      </c>
      <c r="C1846" s="2" t="s">
        <v>2614</v>
      </c>
      <c r="D1846" s="3">
        <v>45939</v>
      </c>
      <c r="E1846" s="3">
        <v>45943</v>
      </c>
      <c r="F1846" s="3">
        <v>45953</v>
      </c>
      <c r="G1846" s="2" t="s">
        <v>2633</v>
      </c>
      <c r="H1846" s="2">
        <v>11</v>
      </c>
      <c r="I1846" s="2">
        <f>IFERROR(INDEX(Raw_Orders!H1846:H4274,MATCH(B1846,Raw_Orders!A1846:A4274,0)),0)</f>
        <v>19</v>
      </c>
      <c r="J1846" s="2" t="str">
        <f t="shared" si="112"/>
        <v>No</v>
      </c>
      <c r="K1846" s="2" t="str">
        <f t="shared" si="113"/>
        <v>N0</v>
      </c>
      <c r="L1846" s="2" t="str">
        <f t="shared" si="115"/>
        <v>No</v>
      </c>
      <c r="M1846" s="2">
        <f t="shared" si="114"/>
        <v>0</v>
      </c>
    </row>
    <row r="1847" spans="1:13" x14ac:dyDescent="0.3">
      <c r="A1847" s="5" t="s">
        <v>4476</v>
      </c>
      <c r="B1847" s="5" t="s">
        <v>1996</v>
      </c>
      <c r="C1847" s="5" t="s">
        <v>2616</v>
      </c>
      <c r="D1847" s="6">
        <v>45940</v>
      </c>
      <c r="E1847" s="6">
        <v>45945</v>
      </c>
      <c r="F1847" s="6">
        <v>45956</v>
      </c>
      <c r="G1847" s="5" t="s">
        <v>2633</v>
      </c>
      <c r="H1847" s="5">
        <v>18</v>
      </c>
      <c r="I1847" s="5">
        <f>IFERROR(INDEX(Raw_Orders!H1847:H4275,MATCH(B1847,Raw_Orders!A1847:A4275,0)),0)</f>
        <v>18</v>
      </c>
      <c r="J1847" s="5" t="str">
        <f t="shared" si="112"/>
        <v>No</v>
      </c>
      <c r="K1847" s="5" t="str">
        <f t="shared" si="113"/>
        <v>Yes</v>
      </c>
      <c r="L1847" s="5" t="str">
        <f t="shared" si="115"/>
        <v>No</v>
      </c>
      <c r="M1847" s="5">
        <f t="shared" si="114"/>
        <v>0</v>
      </c>
    </row>
    <row r="1848" spans="1:13" x14ac:dyDescent="0.3">
      <c r="A1848" s="2" t="s">
        <v>4477</v>
      </c>
      <c r="B1848" s="2" t="s">
        <v>1997</v>
      </c>
      <c r="C1848" s="2" t="s">
        <v>2604</v>
      </c>
      <c r="D1848" s="3">
        <v>45939</v>
      </c>
      <c r="E1848" s="3">
        <v>45948</v>
      </c>
      <c r="F1848" s="3">
        <v>45947</v>
      </c>
      <c r="G1848" s="2" t="s">
        <v>2641</v>
      </c>
      <c r="H1848" s="2">
        <v>31</v>
      </c>
      <c r="I1848" s="2">
        <f>IFERROR(INDEX(Raw_Orders!H1848:H4276,MATCH(B1848,Raw_Orders!A1848:A4276,0)),0)</f>
        <v>31</v>
      </c>
      <c r="J1848" s="2" t="str">
        <f t="shared" si="112"/>
        <v>Yes</v>
      </c>
      <c r="K1848" s="2" t="str">
        <f t="shared" si="113"/>
        <v>Yes</v>
      </c>
      <c r="L1848" s="2" t="str">
        <f t="shared" si="115"/>
        <v>Yes</v>
      </c>
      <c r="M1848" s="2">
        <f t="shared" si="114"/>
        <v>1</v>
      </c>
    </row>
    <row r="1849" spans="1:13" x14ac:dyDescent="0.3">
      <c r="A1849" s="5" t="s">
        <v>4478</v>
      </c>
      <c r="B1849" s="5" t="s">
        <v>1998</v>
      </c>
      <c r="C1849" s="5" t="s">
        <v>2606</v>
      </c>
      <c r="D1849" s="6">
        <v>45940</v>
      </c>
      <c r="E1849" s="6">
        <v>45941</v>
      </c>
      <c r="F1849" s="6">
        <v>45945</v>
      </c>
      <c r="G1849" s="5" t="s">
        <v>2627</v>
      </c>
      <c r="H1849" s="5">
        <v>19</v>
      </c>
      <c r="I1849" s="5">
        <f>IFERROR(INDEX(Raw_Orders!H1849:H4277,MATCH(B1849,Raw_Orders!A1849:A4277,0)),0)</f>
        <v>19</v>
      </c>
      <c r="J1849" s="5" t="str">
        <f t="shared" si="112"/>
        <v>No</v>
      </c>
      <c r="K1849" s="5" t="str">
        <f t="shared" si="113"/>
        <v>Yes</v>
      </c>
      <c r="L1849" s="5" t="str">
        <f t="shared" si="115"/>
        <v>No</v>
      </c>
      <c r="M1849" s="5">
        <f t="shared" si="114"/>
        <v>0</v>
      </c>
    </row>
    <row r="1850" spans="1:13" x14ac:dyDescent="0.3">
      <c r="A1850" s="2" t="s">
        <v>4479</v>
      </c>
      <c r="B1850" s="2" t="s">
        <v>1999</v>
      </c>
      <c r="C1850" s="2" t="s">
        <v>2606</v>
      </c>
      <c r="D1850" s="3">
        <v>45940</v>
      </c>
      <c r="E1850" s="3">
        <v>45945</v>
      </c>
      <c r="F1850" s="3">
        <v>45948</v>
      </c>
      <c r="G1850" s="2" t="s">
        <v>2629</v>
      </c>
      <c r="H1850" s="2">
        <v>55</v>
      </c>
      <c r="I1850" s="2">
        <f>IFERROR(INDEX(Raw_Orders!H1850:H4278,MATCH(B1850,Raw_Orders!A1850:A4278,0)),0)</f>
        <v>55</v>
      </c>
      <c r="J1850" s="2" t="str">
        <f t="shared" si="112"/>
        <v>No</v>
      </c>
      <c r="K1850" s="2" t="str">
        <f t="shared" si="113"/>
        <v>Yes</v>
      </c>
      <c r="L1850" s="2" t="str">
        <f t="shared" si="115"/>
        <v>No</v>
      </c>
      <c r="M1850" s="2">
        <f t="shared" si="114"/>
        <v>0</v>
      </c>
    </row>
    <row r="1851" spans="1:13" x14ac:dyDescent="0.3">
      <c r="A1851" s="5" t="s">
        <v>4480</v>
      </c>
      <c r="B1851" s="5" t="s">
        <v>2000</v>
      </c>
      <c r="C1851" s="5" t="s">
        <v>2606</v>
      </c>
      <c r="D1851" s="6">
        <v>45938</v>
      </c>
      <c r="E1851" s="6">
        <v>45945</v>
      </c>
      <c r="F1851" s="6">
        <v>45944</v>
      </c>
      <c r="G1851" s="5" t="s">
        <v>2641</v>
      </c>
      <c r="H1851" s="5">
        <v>32</v>
      </c>
      <c r="I1851" s="5">
        <f>IFERROR(INDEX(Raw_Orders!H1851:H4279,MATCH(B1851,Raw_Orders!A1851:A4279,0)),0)</f>
        <v>32</v>
      </c>
      <c r="J1851" s="5" t="str">
        <f t="shared" si="112"/>
        <v>Yes</v>
      </c>
      <c r="K1851" s="5" t="str">
        <f t="shared" si="113"/>
        <v>Yes</v>
      </c>
      <c r="L1851" s="5" t="str">
        <f t="shared" si="115"/>
        <v>Yes</v>
      </c>
      <c r="M1851" s="5">
        <f t="shared" si="114"/>
        <v>1</v>
      </c>
    </row>
    <row r="1852" spans="1:13" x14ac:dyDescent="0.3">
      <c r="A1852" s="2" t="s">
        <v>4481</v>
      </c>
      <c r="B1852" s="2" t="s">
        <v>2001</v>
      </c>
      <c r="C1852" s="2" t="s">
        <v>2608</v>
      </c>
      <c r="D1852" s="3">
        <v>45939</v>
      </c>
      <c r="E1852" s="3">
        <v>45945</v>
      </c>
      <c r="F1852" s="3">
        <v>45954</v>
      </c>
      <c r="G1852" s="2" t="s">
        <v>2627</v>
      </c>
      <c r="H1852" s="2">
        <v>9</v>
      </c>
      <c r="I1852" s="2">
        <f>IFERROR(INDEX(Raw_Orders!H1852:H4280,MATCH(B1852,Raw_Orders!A1852:A4280,0)),0)</f>
        <v>9</v>
      </c>
      <c r="J1852" s="2" t="str">
        <f t="shared" si="112"/>
        <v>No</v>
      </c>
      <c r="K1852" s="2" t="str">
        <f t="shared" si="113"/>
        <v>Yes</v>
      </c>
      <c r="L1852" s="2" t="str">
        <f t="shared" si="115"/>
        <v>No</v>
      </c>
      <c r="M1852" s="2">
        <f t="shared" si="114"/>
        <v>0</v>
      </c>
    </row>
    <row r="1853" spans="1:13" x14ac:dyDescent="0.3">
      <c r="A1853" s="5" t="s">
        <v>4482</v>
      </c>
      <c r="B1853" s="5" t="s">
        <v>2002</v>
      </c>
      <c r="C1853" s="5" t="s">
        <v>2598</v>
      </c>
      <c r="D1853" s="6">
        <v>45941</v>
      </c>
      <c r="E1853" s="6">
        <v>45949</v>
      </c>
      <c r="F1853" s="6">
        <v>45954</v>
      </c>
      <c r="G1853" s="5" t="s">
        <v>2641</v>
      </c>
      <c r="H1853" s="5">
        <v>48</v>
      </c>
      <c r="I1853" s="5">
        <f>IFERROR(INDEX(Raw_Orders!H1853:H4281,MATCH(B1853,Raw_Orders!A1853:A4281,0)),0)</f>
        <v>48</v>
      </c>
      <c r="J1853" s="5" t="str">
        <f t="shared" si="112"/>
        <v>No</v>
      </c>
      <c r="K1853" s="5" t="str">
        <f t="shared" si="113"/>
        <v>Yes</v>
      </c>
      <c r="L1853" s="5" t="str">
        <f t="shared" si="115"/>
        <v>No</v>
      </c>
      <c r="M1853" s="5">
        <f t="shared" si="114"/>
        <v>0</v>
      </c>
    </row>
    <row r="1854" spans="1:13" x14ac:dyDescent="0.3">
      <c r="A1854" s="2" t="s">
        <v>4483</v>
      </c>
      <c r="B1854" s="2" t="s">
        <v>2003</v>
      </c>
      <c r="C1854" s="2" t="s">
        <v>2598</v>
      </c>
      <c r="D1854" s="3">
        <v>45940</v>
      </c>
      <c r="E1854" s="3">
        <v>45942</v>
      </c>
      <c r="F1854" s="3">
        <v>45955</v>
      </c>
      <c r="G1854" s="2" t="s">
        <v>2641</v>
      </c>
      <c r="H1854" s="2">
        <v>14</v>
      </c>
      <c r="I1854" s="2">
        <f>IFERROR(INDEX(Raw_Orders!H1854:H4282,MATCH(B1854,Raw_Orders!A1854:A4282,0)),0)</f>
        <v>19</v>
      </c>
      <c r="J1854" s="2" t="str">
        <f t="shared" si="112"/>
        <v>No</v>
      </c>
      <c r="K1854" s="2" t="str">
        <f t="shared" si="113"/>
        <v>N0</v>
      </c>
      <c r="L1854" s="2" t="str">
        <f t="shared" si="115"/>
        <v>No</v>
      </c>
      <c r="M1854" s="2">
        <f t="shared" si="114"/>
        <v>0</v>
      </c>
    </row>
    <row r="1855" spans="1:13" x14ac:dyDescent="0.3">
      <c r="A1855" s="5" t="s">
        <v>4484</v>
      </c>
      <c r="B1855" s="5" t="s">
        <v>2004</v>
      </c>
      <c r="C1855" s="5" t="s">
        <v>2601</v>
      </c>
      <c r="D1855" s="6">
        <v>45940</v>
      </c>
      <c r="E1855" s="6">
        <v>45948</v>
      </c>
      <c r="F1855" s="6">
        <v>45945</v>
      </c>
      <c r="G1855" s="5" t="s">
        <v>2633</v>
      </c>
      <c r="H1855" s="5">
        <v>27</v>
      </c>
      <c r="I1855" s="5">
        <f>IFERROR(INDEX(Raw_Orders!H1855:H4283,MATCH(B1855,Raw_Orders!A1855:A4283,0)),0)</f>
        <v>27</v>
      </c>
      <c r="J1855" s="5" t="str">
        <f t="shared" si="112"/>
        <v>Yes</v>
      </c>
      <c r="K1855" s="5" t="str">
        <f t="shared" si="113"/>
        <v>Yes</v>
      </c>
      <c r="L1855" s="5" t="str">
        <f t="shared" si="115"/>
        <v>Yes</v>
      </c>
      <c r="M1855" s="5">
        <f t="shared" si="114"/>
        <v>1</v>
      </c>
    </row>
    <row r="1856" spans="1:13" x14ac:dyDescent="0.3">
      <c r="A1856" s="2" t="s">
        <v>4485</v>
      </c>
      <c r="B1856" s="2" t="s">
        <v>2005</v>
      </c>
      <c r="C1856" s="2" t="s">
        <v>2616</v>
      </c>
      <c r="D1856" s="3">
        <v>45939</v>
      </c>
      <c r="E1856" s="3">
        <v>45947</v>
      </c>
      <c r="F1856" s="3">
        <v>45954</v>
      </c>
      <c r="G1856" s="2" t="s">
        <v>2631</v>
      </c>
      <c r="H1856" s="2">
        <v>20</v>
      </c>
      <c r="I1856" s="2">
        <f>IFERROR(INDEX(Raw_Orders!H1856:H4284,MATCH(B1856,Raw_Orders!A1856:A4284,0)),0)</f>
        <v>20</v>
      </c>
      <c r="J1856" s="2" t="str">
        <f t="shared" si="112"/>
        <v>No</v>
      </c>
      <c r="K1856" s="2" t="str">
        <f t="shared" si="113"/>
        <v>Yes</v>
      </c>
      <c r="L1856" s="2" t="str">
        <f t="shared" si="115"/>
        <v>No</v>
      </c>
      <c r="M1856" s="2">
        <f t="shared" si="114"/>
        <v>0</v>
      </c>
    </row>
    <row r="1857" spans="1:13" x14ac:dyDescent="0.3">
      <c r="A1857" s="5" t="s">
        <v>4486</v>
      </c>
      <c r="B1857" s="5" t="s">
        <v>2006</v>
      </c>
      <c r="C1857" s="5" t="s">
        <v>2604</v>
      </c>
      <c r="D1857" s="6">
        <v>45939</v>
      </c>
      <c r="E1857" s="6">
        <v>45947</v>
      </c>
      <c r="F1857" s="6">
        <v>45942</v>
      </c>
      <c r="G1857" s="5" t="s">
        <v>2629</v>
      </c>
      <c r="H1857" s="5">
        <v>27</v>
      </c>
      <c r="I1857" s="5">
        <f>IFERROR(INDEX(Raw_Orders!H1857:H4285,MATCH(B1857,Raw_Orders!A1857:A4285,0)),0)</f>
        <v>27</v>
      </c>
      <c r="J1857" s="5" t="str">
        <f t="shared" si="112"/>
        <v>Yes</v>
      </c>
      <c r="K1857" s="5" t="str">
        <f t="shared" si="113"/>
        <v>Yes</v>
      </c>
      <c r="L1857" s="5" t="str">
        <f t="shared" si="115"/>
        <v>Yes</v>
      </c>
      <c r="M1857" s="5">
        <f t="shared" si="114"/>
        <v>1</v>
      </c>
    </row>
    <row r="1858" spans="1:13" x14ac:dyDescent="0.3">
      <c r="A1858" s="2" t="s">
        <v>4487</v>
      </c>
      <c r="B1858" s="2" t="s">
        <v>2007</v>
      </c>
      <c r="C1858" s="2" t="s">
        <v>2608</v>
      </c>
      <c r="D1858" s="3">
        <v>45939</v>
      </c>
      <c r="E1858" s="3">
        <v>45949</v>
      </c>
      <c r="F1858" s="3">
        <v>45952</v>
      </c>
      <c r="G1858" s="2" t="s">
        <v>2631</v>
      </c>
      <c r="H1858" s="2">
        <v>5</v>
      </c>
      <c r="I1858" s="2">
        <f>IFERROR(INDEX(Raw_Orders!H1858:H4286,MATCH(B1858,Raw_Orders!A1858:A4286,0)),0)</f>
        <v>5</v>
      </c>
      <c r="J1858" s="2" t="str">
        <f t="shared" si="112"/>
        <v>No</v>
      </c>
      <c r="K1858" s="2" t="str">
        <f t="shared" si="113"/>
        <v>Yes</v>
      </c>
      <c r="L1858" s="2" t="str">
        <f t="shared" si="115"/>
        <v>No</v>
      </c>
      <c r="M1858" s="2">
        <f t="shared" si="114"/>
        <v>0</v>
      </c>
    </row>
    <row r="1859" spans="1:13" x14ac:dyDescent="0.3">
      <c r="A1859" s="5" t="s">
        <v>4488</v>
      </c>
      <c r="B1859" s="5" t="s">
        <v>2008</v>
      </c>
      <c r="C1859" s="5" t="s">
        <v>2608</v>
      </c>
      <c r="D1859" s="6">
        <v>45939</v>
      </c>
      <c r="E1859" s="6">
        <v>45947</v>
      </c>
      <c r="F1859" s="6">
        <v>45952</v>
      </c>
      <c r="G1859" s="5" t="s">
        <v>2627</v>
      </c>
      <c r="H1859" s="5">
        <v>8</v>
      </c>
      <c r="I1859" s="5">
        <f>IFERROR(INDEX(Raw_Orders!H1859:H4287,MATCH(B1859,Raw_Orders!A1859:A4287,0)),0)</f>
        <v>8</v>
      </c>
      <c r="J1859" s="5" t="str">
        <f t="shared" ref="J1859:J1922" si="116">IF(E1859&gt;=F1859,"Yes","No")</f>
        <v>No</v>
      </c>
      <c r="K1859" s="5" t="str">
        <f t="shared" ref="K1859:K1922" si="117">IF(H1859&gt;=I1859,"Yes","N0")</f>
        <v>Yes</v>
      </c>
      <c r="L1859" s="5" t="str">
        <f t="shared" si="115"/>
        <v>No</v>
      </c>
      <c r="M1859" s="5">
        <f t="shared" ref="M1859:M1922" si="118">IF(L1859="Yes",1,0)</f>
        <v>0</v>
      </c>
    </row>
    <row r="1860" spans="1:13" x14ac:dyDescent="0.3">
      <c r="A1860" s="2" t="s">
        <v>4489</v>
      </c>
      <c r="B1860" s="2" t="s">
        <v>2009</v>
      </c>
      <c r="C1860" s="2" t="s">
        <v>2598</v>
      </c>
      <c r="D1860" s="3">
        <v>45940</v>
      </c>
      <c r="E1860" s="3">
        <v>45945</v>
      </c>
      <c r="F1860" s="3">
        <v>45953</v>
      </c>
      <c r="G1860" s="2" t="s">
        <v>2631</v>
      </c>
      <c r="H1860" s="2">
        <v>52</v>
      </c>
      <c r="I1860" s="2">
        <f>IFERROR(INDEX(Raw_Orders!H1860:H4288,MATCH(B1860,Raw_Orders!A1860:A4288,0)),0)</f>
        <v>52</v>
      </c>
      <c r="J1860" s="2" t="str">
        <f t="shared" si="116"/>
        <v>No</v>
      </c>
      <c r="K1860" s="2" t="str">
        <f t="shared" si="117"/>
        <v>Yes</v>
      </c>
      <c r="L1860" s="2" t="str">
        <f t="shared" ref="L1860:L1923" si="119">IF(AND(J1860="Yes",K1860="Yes"),"Yes","No")</f>
        <v>No</v>
      </c>
      <c r="M1860" s="2">
        <f t="shared" si="118"/>
        <v>0</v>
      </c>
    </row>
    <row r="1861" spans="1:13" x14ac:dyDescent="0.3">
      <c r="A1861" s="5" t="s">
        <v>4490</v>
      </c>
      <c r="B1861" s="5" t="s">
        <v>2010</v>
      </c>
      <c r="C1861" s="5" t="s">
        <v>2598</v>
      </c>
      <c r="D1861" s="6">
        <v>45940</v>
      </c>
      <c r="E1861" s="6">
        <v>45943</v>
      </c>
      <c r="F1861" s="6">
        <v>45955</v>
      </c>
      <c r="G1861" s="5" t="s">
        <v>2629</v>
      </c>
      <c r="H1861" s="5">
        <v>8</v>
      </c>
      <c r="I1861" s="5">
        <f>IFERROR(INDEX(Raw_Orders!H1861:H4289,MATCH(B1861,Raw_Orders!A1861:A4289,0)),0)</f>
        <v>14</v>
      </c>
      <c r="J1861" s="5" t="str">
        <f t="shared" si="116"/>
        <v>No</v>
      </c>
      <c r="K1861" s="5" t="str">
        <f t="shared" si="117"/>
        <v>N0</v>
      </c>
      <c r="L1861" s="5" t="str">
        <f t="shared" si="119"/>
        <v>No</v>
      </c>
      <c r="M1861" s="5">
        <f t="shared" si="118"/>
        <v>0</v>
      </c>
    </row>
    <row r="1862" spans="1:13" x14ac:dyDescent="0.3">
      <c r="A1862" s="2" t="s">
        <v>4491</v>
      </c>
      <c r="B1862" s="2" t="s">
        <v>2011</v>
      </c>
      <c r="C1862" s="2" t="s">
        <v>2601</v>
      </c>
      <c r="D1862" s="3">
        <v>45942</v>
      </c>
      <c r="E1862" s="3">
        <v>45948</v>
      </c>
      <c r="F1862" s="3">
        <v>45946</v>
      </c>
      <c r="G1862" s="2" t="s">
        <v>2633</v>
      </c>
      <c r="H1862" s="2">
        <v>42</v>
      </c>
      <c r="I1862" s="2">
        <f>IFERROR(INDEX(Raw_Orders!H1862:H4290,MATCH(B1862,Raw_Orders!A1862:A4290,0)),0)</f>
        <v>43</v>
      </c>
      <c r="J1862" s="2" t="str">
        <f t="shared" si="116"/>
        <v>Yes</v>
      </c>
      <c r="K1862" s="2" t="str">
        <f t="shared" si="117"/>
        <v>N0</v>
      </c>
      <c r="L1862" s="2" t="str">
        <f t="shared" si="119"/>
        <v>No</v>
      </c>
      <c r="M1862" s="2">
        <f t="shared" si="118"/>
        <v>0</v>
      </c>
    </row>
    <row r="1863" spans="1:13" x14ac:dyDescent="0.3">
      <c r="A1863" s="5" t="s">
        <v>4492</v>
      </c>
      <c r="B1863" s="5" t="s">
        <v>2012</v>
      </c>
      <c r="C1863" s="5" t="s">
        <v>2604</v>
      </c>
      <c r="D1863" s="6">
        <v>45940</v>
      </c>
      <c r="E1863" s="6">
        <v>45945</v>
      </c>
      <c r="F1863" s="6">
        <v>45944</v>
      </c>
      <c r="G1863" s="5" t="s">
        <v>2641</v>
      </c>
      <c r="H1863" s="5">
        <v>47</v>
      </c>
      <c r="I1863" s="5">
        <f>IFERROR(INDEX(Raw_Orders!H1863:H4291,MATCH(B1863,Raw_Orders!A1863:A4291,0)),0)</f>
        <v>47</v>
      </c>
      <c r="J1863" s="5" t="str">
        <f t="shared" si="116"/>
        <v>Yes</v>
      </c>
      <c r="K1863" s="5" t="str">
        <f t="shared" si="117"/>
        <v>Yes</v>
      </c>
      <c r="L1863" s="5" t="str">
        <f t="shared" si="119"/>
        <v>Yes</v>
      </c>
      <c r="M1863" s="5">
        <f t="shared" si="118"/>
        <v>1</v>
      </c>
    </row>
    <row r="1864" spans="1:13" x14ac:dyDescent="0.3">
      <c r="A1864" s="2" t="s">
        <v>4493</v>
      </c>
      <c r="B1864" s="2" t="s">
        <v>2013</v>
      </c>
      <c r="C1864" s="2" t="s">
        <v>2606</v>
      </c>
      <c r="D1864" s="3">
        <v>45942</v>
      </c>
      <c r="E1864" s="3">
        <v>45947</v>
      </c>
      <c r="F1864" s="3">
        <v>45947</v>
      </c>
      <c r="G1864" s="2" t="s">
        <v>2641</v>
      </c>
      <c r="H1864" s="2">
        <v>50</v>
      </c>
      <c r="I1864" s="2">
        <f>IFERROR(INDEX(Raw_Orders!H1864:H4292,MATCH(B1864,Raw_Orders!A1864:A4292,0)),0)</f>
        <v>50</v>
      </c>
      <c r="J1864" s="2" t="str">
        <f t="shared" si="116"/>
        <v>Yes</v>
      </c>
      <c r="K1864" s="2" t="str">
        <f t="shared" si="117"/>
        <v>Yes</v>
      </c>
      <c r="L1864" s="2" t="str">
        <f t="shared" si="119"/>
        <v>Yes</v>
      </c>
      <c r="M1864" s="2">
        <f t="shared" si="118"/>
        <v>1</v>
      </c>
    </row>
    <row r="1865" spans="1:13" x14ac:dyDescent="0.3">
      <c r="A1865" s="5" t="s">
        <v>4494</v>
      </c>
      <c r="B1865" s="5" t="s">
        <v>2014</v>
      </c>
      <c r="C1865" s="5" t="s">
        <v>2608</v>
      </c>
      <c r="D1865" s="6">
        <v>45940</v>
      </c>
      <c r="E1865" s="6">
        <v>45945</v>
      </c>
      <c r="F1865" s="6">
        <v>45954</v>
      </c>
      <c r="G1865" s="5" t="s">
        <v>2633</v>
      </c>
      <c r="H1865" s="5">
        <v>13</v>
      </c>
      <c r="I1865" s="5">
        <f>IFERROR(INDEX(Raw_Orders!H1865:H4293,MATCH(B1865,Raw_Orders!A1865:A4293,0)),0)</f>
        <v>13</v>
      </c>
      <c r="J1865" s="5" t="str">
        <f t="shared" si="116"/>
        <v>No</v>
      </c>
      <c r="K1865" s="5" t="str">
        <f t="shared" si="117"/>
        <v>Yes</v>
      </c>
      <c r="L1865" s="5" t="str">
        <f t="shared" si="119"/>
        <v>No</v>
      </c>
      <c r="M1865" s="5">
        <f t="shared" si="118"/>
        <v>0</v>
      </c>
    </row>
    <row r="1866" spans="1:13" x14ac:dyDescent="0.3">
      <c r="A1866" s="2" t="s">
        <v>4495</v>
      </c>
      <c r="B1866" s="2" t="s">
        <v>2015</v>
      </c>
      <c r="C1866" s="2" t="s">
        <v>2608</v>
      </c>
      <c r="D1866" s="3">
        <v>45940</v>
      </c>
      <c r="E1866" s="3">
        <v>45947</v>
      </c>
      <c r="F1866" s="3">
        <v>45953</v>
      </c>
      <c r="G1866" s="2" t="s">
        <v>2627</v>
      </c>
      <c r="H1866" s="2">
        <v>9</v>
      </c>
      <c r="I1866" s="2">
        <f>IFERROR(INDEX(Raw_Orders!H1866:H4294,MATCH(B1866,Raw_Orders!A1866:A4294,0)),0)</f>
        <v>9</v>
      </c>
      <c r="J1866" s="2" t="str">
        <f t="shared" si="116"/>
        <v>No</v>
      </c>
      <c r="K1866" s="2" t="str">
        <f t="shared" si="117"/>
        <v>Yes</v>
      </c>
      <c r="L1866" s="2" t="str">
        <f t="shared" si="119"/>
        <v>No</v>
      </c>
      <c r="M1866" s="2">
        <f t="shared" si="118"/>
        <v>0</v>
      </c>
    </row>
    <row r="1867" spans="1:13" x14ac:dyDescent="0.3">
      <c r="A1867" s="5" t="s">
        <v>4496</v>
      </c>
      <c r="B1867" s="5" t="s">
        <v>2016</v>
      </c>
      <c r="C1867" s="5" t="s">
        <v>2614</v>
      </c>
      <c r="D1867" s="6">
        <v>45942</v>
      </c>
      <c r="E1867" s="6">
        <v>45947</v>
      </c>
      <c r="F1867" s="6">
        <v>45958</v>
      </c>
      <c r="G1867" s="5" t="s">
        <v>2641</v>
      </c>
      <c r="H1867" s="5">
        <v>35</v>
      </c>
      <c r="I1867" s="5">
        <f>IFERROR(INDEX(Raw_Orders!H1867:H4295,MATCH(B1867,Raw_Orders!A1867:A4295,0)),0)</f>
        <v>35</v>
      </c>
      <c r="J1867" s="5" t="str">
        <f t="shared" si="116"/>
        <v>No</v>
      </c>
      <c r="K1867" s="5" t="str">
        <f t="shared" si="117"/>
        <v>Yes</v>
      </c>
      <c r="L1867" s="5" t="str">
        <f t="shared" si="119"/>
        <v>No</v>
      </c>
      <c r="M1867" s="5">
        <f t="shared" si="118"/>
        <v>0</v>
      </c>
    </row>
    <row r="1868" spans="1:13" x14ac:dyDescent="0.3">
      <c r="A1868" s="2" t="s">
        <v>4497</v>
      </c>
      <c r="B1868" s="2" t="s">
        <v>2017</v>
      </c>
      <c r="C1868" s="2" t="s">
        <v>2601</v>
      </c>
      <c r="D1868" s="3">
        <v>45942</v>
      </c>
      <c r="E1868" s="3">
        <v>45949</v>
      </c>
      <c r="F1868" s="3">
        <v>45947</v>
      </c>
      <c r="G1868" s="2" t="s">
        <v>2627</v>
      </c>
      <c r="H1868" s="2">
        <v>30</v>
      </c>
      <c r="I1868" s="2">
        <f>IFERROR(INDEX(Raw_Orders!H1868:H4296,MATCH(B1868,Raw_Orders!A1868:A4296,0)),0)</f>
        <v>30</v>
      </c>
      <c r="J1868" s="2" t="str">
        <f t="shared" si="116"/>
        <v>Yes</v>
      </c>
      <c r="K1868" s="2" t="str">
        <f t="shared" si="117"/>
        <v>Yes</v>
      </c>
      <c r="L1868" s="2" t="str">
        <f t="shared" si="119"/>
        <v>Yes</v>
      </c>
      <c r="M1868" s="2">
        <f t="shared" si="118"/>
        <v>1</v>
      </c>
    </row>
    <row r="1869" spans="1:13" x14ac:dyDescent="0.3">
      <c r="A1869" s="5" t="s">
        <v>4498</v>
      </c>
      <c r="B1869" s="5" t="s">
        <v>2018</v>
      </c>
      <c r="C1869" s="5" t="s">
        <v>2614</v>
      </c>
      <c r="D1869" s="6">
        <v>45943</v>
      </c>
      <c r="E1869" s="6">
        <v>45950</v>
      </c>
      <c r="F1869" s="6">
        <v>45957</v>
      </c>
      <c r="G1869" s="5" t="s">
        <v>2633</v>
      </c>
      <c r="H1869" s="5">
        <v>19</v>
      </c>
      <c r="I1869" s="5">
        <f>IFERROR(INDEX(Raw_Orders!H1869:H4297,MATCH(B1869,Raw_Orders!A1869:A4297,0)),0)</f>
        <v>19</v>
      </c>
      <c r="J1869" s="5" t="str">
        <f t="shared" si="116"/>
        <v>No</v>
      </c>
      <c r="K1869" s="5" t="str">
        <f t="shared" si="117"/>
        <v>Yes</v>
      </c>
      <c r="L1869" s="5" t="str">
        <f t="shared" si="119"/>
        <v>No</v>
      </c>
      <c r="M1869" s="5">
        <f t="shared" si="118"/>
        <v>0</v>
      </c>
    </row>
    <row r="1870" spans="1:13" x14ac:dyDescent="0.3">
      <c r="A1870" s="2" t="s">
        <v>4499</v>
      </c>
      <c r="B1870" s="2" t="s">
        <v>2019</v>
      </c>
      <c r="C1870" s="2" t="s">
        <v>2604</v>
      </c>
      <c r="D1870" s="3">
        <v>45942</v>
      </c>
      <c r="E1870" s="3">
        <v>45946</v>
      </c>
      <c r="F1870" s="3">
        <v>45947</v>
      </c>
      <c r="G1870" s="2" t="s">
        <v>2629</v>
      </c>
      <c r="H1870" s="2">
        <v>20</v>
      </c>
      <c r="I1870" s="2">
        <f>IFERROR(INDEX(Raw_Orders!H1870:H4298,MATCH(B1870,Raw_Orders!A1870:A4298,0)),0)</f>
        <v>20</v>
      </c>
      <c r="J1870" s="2" t="str">
        <f t="shared" si="116"/>
        <v>No</v>
      </c>
      <c r="K1870" s="2" t="str">
        <f t="shared" si="117"/>
        <v>Yes</v>
      </c>
      <c r="L1870" s="2" t="str">
        <f t="shared" si="119"/>
        <v>No</v>
      </c>
      <c r="M1870" s="2">
        <f t="shared" si="118"/>
        <v>0</v>
      </c>
    </row>
    <row r="1871" spans="1:13" x14ac:dyDescent="0.3">
      <c r="A1871" s="5" t="s">
        <v>4500</v>
      </c>
      <c r="B1871" s="5" t="s">
        <v>2020</v>
      </c>
      <c r="C1871" s="5" t="s">
        <v>2604</v>
      </c>
      <c r="D1871" s="6">
        <v>45942</v>
      </c>
      <c r="E1871" s="6">
        <v>45949</v>
      </c>
      <c r="F1871" s="6">
        <v>45946</v>
      </c>
      <c r="G1871" s="5" t="s">
        <v>2631</v>
      </c>
      <c r="H1871" s="5">
        <v>45</v>
      </c>
      <c r="I1871" s="5">
        <f>IFERROR(INDEX(Raw_Orders!H1871:H4299,MATCH(B1871,Raw_Orders!A1871:A4299,0)),0)</f>
        <v>45</v>
      </c>
      <c r="J1871" s="5" t="str">
        <f t="shared" si="116"/>
        <v>Yes</v>
      </c>
      <c r="K1871" s="5" t="str">
        <f t="shared" si="117"/>
        <v>Yes</v>
      </c>
      <c r="L1871" s="5" t="str">
        <f t="shared" si="119"/>
        <v>Yes</v>
      </c>
      <c r="M1871" s="5">
        <f t="shared" si="118"/>
        <v>1</v>
      </c>
    </row>
    <row r="1872" spans="1:13" x14ac:dyDescent="0.3">
      <c r="A1872" s="2" t="s">
        <v>4501</v>
      </c>
      <c r="B1872" s="2" t="s">
        <v>2021</v>
      </c>
      <c r="C1872" s="2" t="s">
        <v>2606</v>
      </c>
      <c r="D1872" s="3">
        <v>45941</v>
      </c>
      <c r="E1872" s="3">
        <v>45950</v>
      </c>
      <c r="F1872" s="3">
        <v>45947</v>
      </c>
      <c r="G1872" s="2" t="s">
        <v>2629</v>
      </c>
      <c r="H1872" s="2">
        <v>33</v>
      </c>
      <c r="I1872" s="2">
        <f>IFERROR(INDEX(Raw_Orders!H1872:H4300,MATCH(B1872,Raw_Orders!A1872:A4300,0)),0)</f>
        <v>33</v>
      </c>
      <c r="J1872" s="2" t="str">
        <f t="shared" si="116"/>
        <v>Yes</v>
      </c>
      <c r="K1872" s="2" t="str">
        <f t="shared" si="117"/>
        <v>Yes</v>
      </c>
      <c r="L1872" s="2" t="str">
        <f t="shared" si="119"/>
        <v>Yes</v>
      </c>
      <c r="M1872" s="2">
        <f t="shared" si="118"/>
        <v>1</v>
      </c>
    </row>
    <row r="1873" spans="1:13" x14ac:dyDescent="0.3">
      <c r="A1873" s="5" t="s">
        <v>4502</v>
      </c>
      <c r="B1873" s="5" t="s">
        <v>2022</v>
      </c>
      <c r="C1873" s="5" t="s">
        <v>2608</v>
      </c>
      <c r="D1873" s="6">
        <v>45942</v>
      </c>
      <c r="E1873" s="6">
        <v>45945</v>
      </c>
      <c r="F1873" s="6">
        <v>45957</v>
      </c>
      <c r="G1873" s="5" t="s">
        <v>2627</v>
      </c>
      <c r="H1873" s="5">
        <v>6</v>
      </c>
      <c r="I1873" s="5">
        <f>IFERROR(INDEX(Raw_Orders!H1873:H4301,MATCH(B1873,Raw_Orders!A1873:A4301,0)),0)</f>
        <v>6</v>
      </c>
      <c r="J1873" s="5" t="str">
        <f t="shared" si="116"/>
        <v>No</v>
      </c>
      <c r="K1873" s="5" t="str">
        <f t="shared" si="117"/>
        <v>Yes</v>
      </c>
      <c r="L1873" s="5" t="str">
        <f t="shared" si="119"/>
        <v>No</v>
      </c>
      <c r="M1873" s="5">
        <f t="shared" si="118"/>
        <v>0</v>
      </c>
    </row>
    <row r="1874" spans="1:13" x14ac:dyDescent="0.3">
      <c r="A1874" s="2" t="s">
        <v>4503</v>
      </c>
      <c r="B1874" s="2" t="s">
        <v>2023</v>
      </c>
      <c r="C1874" s="2" t="s">
        <v>2598</v>
      </c>
      <c r="D1874" s="3">
        <v>45944</v>
      </c>
      <c r="E1874" s="3">
        <v>45952</v>
      </c>
      <c r="F1874" s="3">
        <v>45957</v>
      </c>
      <c r="G1874" s="2" t="s">
        <v>2627</v>
      </c>
      <c r="H1874" s="2">
        <v>41</v>
      </c>
      <c r="I1874" s="2">
        <f>IFERROR(INDEX(Raw_Orders!H1874:H4302,MATCH(B1874,Raw_Orders!A1874:A4302,0)),0)</f>
        <v>41</v>
      </c>
      <c r="J1874" s="2" t="str">
        <f t="shared" si="116"/>
        <v>No</v>
      </c>
      <c r="K1874" s="2" t="str">
        <f t="shared" si="117"/>
        <v>Yes</v>
      </c>
      <c r="L1874" s="2" t="str">
        <f t="shared" si="119"/>
        <v>No</v>
      </c>
      <c r="M1874" s="2">
        <f t="shared" si="118"/>
        <v>0</v>
      </c>
    </row>
    <row r="1875" spans="1:13" x14ac:dyDescent="0.3">
      <c r="A1875" s="5" t="s">
        <v>4504</v>
      </c>
      <c r="B1875" s="5" t="s">
        <v>2024</v>
      </c>
      <c r="C1875" s="5" t="s">
        <v>2611</v>
      </c>
      <c r="D1875" s="6">
        <v>45942</v>
      </c>
      <c r="E1875" s="6">
        <v>45951</v>
      </c>
      <c r="F1875" s="6">
        <v>45949</v>
      </c>
      <c r="G1875" s="5" t="s">
        <v>2629</v>
      </c>
      <c r="H1875" s="5">
        <v>64</v>
      </c>
      <c r="I1875" s="5">
        <f>IFERROR(INDEX(Raw_Orders!H1875:H4303,MATCH(B1875,Raw_Orders!A1875:A4303,0)),0)</f>
        <v>64</v>
      </c>
      <c r="J1875" s="5" t="str">
        <f t="shared" si="116"/>
        <v>Yes</v>
      </c>
      <c r="K1875" s="5" t="str">
        <f t="shared" si="117"/>
        <v>Yes</v>
      </c>
      <c r="L1875" s="5" t="str">
        <f t="shared" si="119"/>
        <v>Yes</v>
      </c>
      <c r="M1875" s="5">
        <f t="shared" si="118"/>
        <v>1</v>
      </c>
    </row>
    <row r="1876" spans="1:13" x14ac:dyDescent="0.3">
      <c r="A1876" s="2" t="s">
        <v>4505</v>
      </c>
      <c r="B1876" s="2" t="s">
        <v>2025</v>
      </c>
      <c r="C1876" s="2" t="s">
        <v>2614</v>
      </c>
      <c r="D1876" s="3">
        <v>45943</v>
      </c>
      <c r="E1876" s="3">
        <v>45947</v>
      </c>
      <c r="F1876" s="3">
        <v>45961</v>
      </c>
      <c r="G1876" s="2" t="s">
        <v>2633</v>
      </c>
      <c r="H1876" s="2">
        <v>17</v>
      </c>
      <c r="I1876" s="2">
        <f>IFERROR(INDEX(Raw_Orders!H1876:H4304,MATCH(B1876,Raw_Orders!A1876:A4304,0)),0)</f>
        <v>17</v>
      </c>
      <c r="J1876" s="2" t="str">
        <f t="shared" si="116"/>
        <v>No</v>
      </c>
      <c r="K1876" s="2" t="str">
        <f t="shared" si="117"/>
        <v>Yes</v>
      </c>
      <c r="L1876" s="2" t="str">
        <f t="shared" si="119"/>
        <v>No</v>
      </c>
      <c r="M1876" s="2">
        <f t="shared" si="118"/>
        <v>0</v>
      </c>
    </row>
    <row r="1877" spans="1:13" x14ac:dyDescent="0.3">
      <c r="A1877" s="5" t="s">
        <v>4506</v>
      </c>
      <c r="B1877" s="5" t="s">
        <v>2026</v>
      </c>
      <c r="C1877" s="5" t="s">
        <v>2614</v>
      </c>
      <c r="D1877" s="6">
        <v>45943</v>
      </c>
      <c r="E1877" s="6">
        <v>45949</v>
      </c>
      <c r="F1877" s="6">
        <v>45961</v>
      </c>
      <c r="G1877" s="5" t="s">
        <v>2641</v>
      </c>
      <c r="H1877" s="5">
        <v>26</v>
      </c>
      <c r="I1877" s="5">
        <f>IFERROR(INDEX(Raw_Orders!H1877:H4305,MATCH(B1877,Raw_Orders!A1877:A4305,0)),0)</f>
        <v>26</v>
      </c>
      <c r="J1877" s="5" t="str">
        <f t="shared" si="116"/>
        <v>No</v>
      </c>
      <c r="K1877" s="5" t="str">
        <f t="shared" si="117"/>
        <v>Yes</v>
      </c>
      <c r="L1877" s="5" t="str">
        <f t="shared" si="119"/>
        <v>No</v>
      </c>
      <c r="M1877" s="5">
        <f t="shared" si="118"/>
        <v>0</v>
      </c>
    </row>
    <row r="1878" spans="1:13" x14ac:dyDescent="0.3">
      <c r="A1878" s="2" t="s">
        <v>4507</v>
      </c>
      <c r="B1878" s="2" t="s">
        <v>2027</v>
      </c>
      <c r="C1878" s="2" t="s">
        <v>2616</v>
      </c>
      <c r="D1878" s="3">
        <v>45942</v>
      </c>
      <c r="E1878" s="3">
        <v>45952</v>
      </c>
      <c r="F1878" s="3">
        <v>45961</v>
      </c>
      <c r="G1878" s="2" t="s">
        <v>2633</v>
      </c>
      <c r="H1878" s="2">
        <v>13</v>
      </c>
      <c r="I1878" s="2">
        <f>IFERROR(INDEX(Raw_Orders!H1878:H4306,MATCH(B1878,Raw_Orders!A1878:A4306,0)),0)</f>
        <v>13</v>
      </c>
      <c r="J1878" s="2" t="str">
        <f t="shared" si="116"/>
        <v>No</v>
      </c>
      <c r="K1878" s="2" t="str">
        <f t="shared" si="117"/>
        <v>Yes</v>
      </c>
      <c r="L1878" s="2" t="str">
        <f t="shared" si="119"/>
        <v>No</v>
      </c>
      <c r="M1878" s="2">
        <f t="shared" si="118"/>
        <v>0</v>
      </c>
    </row>
    <row r="1879" spans="1:13" x14ac:dyDescent="0.3">
      <c r="A1879" s="5" t="s">
        <v>4508</v>
      </c>
      <c r="B1879" s="5" t="s">
        <v>2028</v>
      </c>
      <c r="C1879" s="5" t="s">
        <v>2606</v>
      </c>
      <c r="D1879" s="6">
        <v>45943</v>
      </c>
      <c r="E1879" s="6">
        <v>45950</v>
      </c>
      <c r="F1879" s="6">
        <v>45949</v>
      </c>
      <c r="G1879" s="5" t="s">
        <v>2627</v>
      </c>
      <c r="H1879" s="5">
        <v>42</v>
      </c>
      <c r="I1879" s="5">
        <f>IFERROR(INDEX(Raw_Orders!H1879:H4307,MATCH(B1879,Raw_Orders!A1879:A4307,0)),0)</f>
        <v>50</v>
      </c>
      <c r="J1879" s="5" t="str">
        <f t="shared" si="116"/>
        <v>Yes</v>
      </c>
      <c r="K1879" s="5" t="str">
        <f t="shared" si="117"/>
        <v>N0</v>
      </c>
      <c r="L1879" s="5" t="str">
        <f t="shared" si="119"/>
        <v>No</v>
      </c>
      <c r="M1879" s="5">
        <f t="shared" si="118"/>
        <v>0</v>
      </c>
    </row>
    <row r="1880" spans="1:13" x14ac:dyDescent="0.3">
      <c r="A1880" s="2" t="s">
        <v>4509</v>
      </c>
      <c r="B1880" s="2" t="s">
        <v>2029</v>
      </c>
      <c r="C1880" s="2" t="s">
        <v>2608</v>
      </c>
      <c r="D1880" s="3">
        <v>45942</v>
      </c>
      <c r="E1880" s="3">
        <v>45952</v>
      </c>
      <c r="F1880" s="3">
        <v>45955</v>
      </c>
      <c r="G1880" s="2" t="s">
        <v>2627</v>
      </c>
      <c r="H1880" s="2">
        <v>48</v>
      </c>
      <c r="I1880" s="2">
        <f>IFERROR(INDEX(Raw_Orders!H1880:H4308,MATCH(B1880,Raw_Orders!A1880:A4308,0)),0)</f>
        <v>48</v>
      </c>
      <c r="J1880" s="2" t="str">
        <f t="shared" si="116"/>
        <v>No</v>
      </c>
      <c r="K1880" s="2" t="str">
        <f t="shared" si="117"/>
        <v>Yes</v>
      </c>
      <c r="L1880" s="2" t="str">
        <f t="shared" si="119"/>
        <v>No</v>
      </c>
      <c r="M1880" s="2">
        <f t="shared" si="118"/>
        <v>0</v>
      </c>
    </row>
    <row r="1881" spans="1:13" x14ac:dyDescent="0.3">
      <c r="A1881" s="5" t="s">
        <v>4510</v>
      </c>
      <c r="B1881" s="5" t="s">
        <v>2030</v>
      </c>
      <c r="C1881" s="5" t="s">
        <v>2604</v>
      </c>
      <c r="D1881" s="6">
        <v>45944</v>
      </c>
      <c r="E1881" s="6">
        <v>45946</v>
      </c>
      <c r="F1881" s="6">
        <v>45948</v>
      </c>
      <c r="G1881" s="5" t="s">
        <v>2627</v>
      </c>
      <c r="H1881" s="5">
        <v>19</v>
      </c>
      <c r="I1881" s="5">
        <f>IFERROR(INDEX(Raw_Orders!H1881:H4309,MATCH(B1881,Raw_Orders!A1881:A4309,0)),0)</f>
        <v>19</v>
      </c>
      <c r="J1881" s="5" t="str">
        <f t="shared" si="116"/>
        <v>No</v>
      </c>
      <c r="K1881" s="5" t="str">
        <f t="shared" si="117"/>
        <v>Yes</v>
      </c>
      <c r="L1881" s="5" t="str">
        <f t="shared" si="119"/>
        <v>No</v>
      </c>
      <c r="M1881" s="5">
        <f t="shared" si="118"/>
        <v>0</v>
      </c>
    </row>
    <row r="1882" spans="1:13" x14ac:dyDescent="0.3">
      <c r="A1882" s="2" t="s">
        <v>4511</v>
      </c>
      <c r="B1882" s="2" t="s">
        <v>2031</v>
      </c>
      <c r="C1882" s="2" t="s">
        <v>2606</v>
      </c>
      <c r="D1882" s="3">
        <v>45944</v>
      </c>
      <c r="E1882" s="3">
        <v>45953</v>
      </c>
      <c r="F1882" s="3">
        <v>45952</v>
      </c>
      <c r="G1882" s="2" t="s">
        <v>2641</v>
      </c>
      <c r="H1882" s="2">
        <v>17</v>
      </c>
      <c r="I1882" s="2">
        <f>IFERROR(INDEX(Raw_Orders!H1882:H4310,MATCH(B1882,Raw_Orders!A1882:A4310,0)),0)</f>
        <v>17</v>
      </c>
      <c r="J1882" s="2" t="str">
        <f t="shared" si="116"/>
        <v>Yes</v>
      </c>
      <c r="K1882" s="2" t="str">
        <f t="shared" si="117"/>
        <v>Yes</v>
      </c>
      <c r="L1882" s="2" t="str">
        <f t="shared" si="119"/>
        <v>Yes</v>
      </c>
      <c r="M1882" s="2">
        <f t="shared" si="118"/>
        <v>1</v>
      </c>
    </row>
    <row r="1883" spans="1:13" x14ac:dyDescent="0.3">
      <c r="A1883" s="5" t="s">
        <v>4512</v>
      </c>
      <c r="B1883" s="5" t="s">
        <v>2032</v>
      </c>
      <c r="C1883" s="5" t="s">
        <v>2606</v>
      </c>
      <c r="D1883" s="6">
        <v>45943</v>
      </c>
      <c r="E1883" s="6">
        <v>45950</v>
      </c>
      <c r="F1883" s="6">
        <v>45950</v>
      </c>
      <c r="G1883" s="5" t="s">
        <v>2629</v>
      </c>
      <c r="H1883" s="5">
        <v>71</v>
      </c>
      <c r="I1883" s="5">
        <f>IFERROR(INDEX(Raw_Orders!H1883:H4311,MATCH(B1883,Raw_Orders!A1883:A4311,0)),0)</f>
        <v>71</v>
      </c>
      <c r="J1883" s="5" t="str">
        <f t="shared" si="116"/>
        <v>Yes</v>
      </c>
      <c r="K1883" s="5" t="str">
        <f t="shared" si="117"/>
        <v>Yes</v>
      </c>
      <c r="L1883" s="5" t="str">
        <f t="shared" si="119"/>
        <v>Yes</v>
      </c>
      <c r="M1883" s="5">
        <f t="shared" si="118"/>
        <v>1</v>
      </c>
    </row>
    <row r="1884" spans="1:13" x14ac:dyDescent="0.3">
      <c r="A1884" s="2" t="s">
        <v>4513</v>
      </c>
      <c r="B1884" s="2" t="s">
        <v>2033</v>
      </c>
      <c r="C1884" s="2" t="s">
        <v>2608</v>
      </c>
      <c r="D1884" s="3">
        <v>45945</v>
      </c>
      <c r="E1884" s="3">
        <v>45949</v>
      </c>
      <c r="F1884" s="3">
        <v>45962</v>
      </c>
      <c r="G1884" s="2" t="s">
        <v>2627</v>
      </c>
      <c r="H1884" s="2">
        <v>29</v>
      </c>
      <c r="I1884" s="2">
        <f>IFERROR(INDEX(Raw_Orders!H1884:H4312,MATCH(B1884,Raw_Orders!A1884:A4312,0)),0)</f>
        <v>29</v>
      </c>
      <c r="J1884" s="2" t="str">
        <f t="shared" si="116"/>
        <v>No</v>
      </c>
      <c r="K1884" s="2" t="str">
        <f t="shared" si="117"/>
        <v>Yes</v>
      </c>
      <c r="L1884" s="2" t="str">
        <f t="shared" si="119"/>
        <v>No</v>
      </c>
      <c r="M1884" s="2">
        <f t="shared" si="118"/>
        <v>0</v>
      </c>
    </row>
    <row r="1885" spans="1:13" x14ac:dyDescent="0.3">
      <c r="A1885" s="5" t="s">
        <v>4514</v>
      </c>
      <c r="B1885" s="5" t="s">
        <v>2034</v>
      </c>
      <c r="C1885" s="5" t="s">
        <v>2608</v>
      </c>
      <c r="D1885" s="6">
        <v>45943</v>
      </c>
      <c r="E1885" s="6">
        <v>45951</v>
      </c>
      <c r="F1885" s="6">
        <v>45956</v>
      </c>
      <c r="G1885" s="5" t="s">
        <v>2629</v>
      </c>
      <c r="H1885" s="5">
        <v>6</v>
      </c>
      <c r="I1885" s="5">
        <f>IFERROR(INDEX(Raw_Orders!H1885:H4313,MATCH(B1885,Raw_Orders!A1885:A4313,0)),0)</f>
        <v>6</v>
      </c>
      <c r="J1885" s="5" t="str">
        <f t="shared" si="116"/>
        <v>No</v>
      </c>
      <c r="K1885" s="5" t="str">
        <f t="shared" si="117"/>
        <v>Yes</v>
      </c>
      <c r="L1885" s="5" t="str">
        <f t="shared" si="119"/>
        <v>No</v>
      </c>
      <c r="M1885" s="5">
        <f t="shared" si="118"/>
        <v>0</v>
      </c>
    </row>
    <row r="1886" spans="1:13" x14ac:dyDescent="0.3">
      <c r="A1886" s="2" t="s">
        <v>4515</v>
      </c>
      <c r="B1886" s="2" t="s">
        <v>2035</v>
      </c>
      <c r="C1886" s="2" t="s">
        <v>2614</v>
      </c>
      <c r="D1886" s="3">
        <v>45946</v>
      </c>
      <c r="E1886" s="3">
        <v>45954</v>
      </c>
      <c r="F1886" s="3">
        <v>45960</v>
      </c>
      <c r="G1886" s="2" t="s">
        <v>2627</v>
      </c>
      <c r="H1886" s="2">
        <v>15</v>
      </c>
      <c r="I1886" s="2">
        <f>IFERROR(INDEX(Raw_Orders!H1886:H4314,MATCH(B1886,Raw_Orders!A1886:A4314,0)),0)</f>
        <v>15</v>
      </c>
      <c r="J1886" s="2" t="str">
        <f t="shared" si="116"/>
        <v>No</v>
      </c>
      <c r="K1886" s="2" t="str">
        <f t="shared" si="117"/>
        <v>Yes</v>
      </c>
      <c r="L1886" s="2" t="str">
        <f t="shared" si="119"/>
        <v>No</v>
      </c>
      <c r="M1886" s="2">
        <f t="shared" si="118"/>
        <v>0</v>
      </c>
    </row>
    <row r="1887" spans="1:13" x14ac:dyDescent="0.3">
      <c r="A1887" s="5" t="s">
        <v>4516</v>
      </c>
      <c r="B1887" s="5" t="s">
        <v>2036</v>
      </c>
      <c r="C1887" s="5" t="s">
        <v>2616</v>
      </c>
      <c r="D1887" s="6">
        <v>45944</v>
      </c>
      <c r="E1887" s="6">
        <v>45951</v>
      </c>
      <c r="F1887" s="6">
        <v>45959</v>
      </c>
      <c r="G1887" s="5" t="s">
        <v>2629</v>
      </c>
      <c r="H1887" s="5">
        <v>35</v>
      </c>
      <c r="I1887" s="5">
        <f>IFERROR(INDEX(Raw_Orders!H1887:H4315,MATCH(B1887,Raw_Orders!A1887:A4315,0)),0)</f>
        <v>35</v>
      </c>
      <c r="J1887" s="5" t="str">
        <f t="shared" si="116"/>
        <v>No</v>
      </c>
      <c r="K1887" s="5" t="str">
        <f t="shared" si="117"/>
        <v>Yes</v>
      </c>
      <c r="L1887" s="5" t="str">
        <f t="shared" si="119"/>
        <v>No</v>
      </c>
      <c r="M1887" s="5">
        <f t="shared" si="118"/>
        <v>0</v>
      </c>
    </row>
    <row r="1888" spans="1:13" x14ac:dyDescent="0.3">
      <c r="A1888" s="2" t="s">
        <v>4517</v>
      </c>
      <c r="B1888" s="2" t="s">
        <v>2037</v>
      </c>
      <c r="C1888" s="2" t="s">
        <v>2606</v>
      </c>
      <c r="D1888" s="3">
        <v>45946</v>
      </c>
      <c r="E1888" s="3">
        <v>45951</v>
      </c>
      <c r="F1888" s="3">
        <v>45954</v>
      </c>
      <c r="G1888" s="2" t="s">
        <v>2641</v>
      </c>
      <c r="H1888" s="2">
        <v>29</v>
      </c>
      <c r="I1888" s="2">
        <f>IFERROR(INDEX(Raw_Orders!H1888:H4316,MATCH(B1888,Raw_Orders!A1888:A4316,0)),0)</f>
        <v>29</v>
      </c>
      <c r="J1888" s="2" t="str">
        <f t="shared" si="116"/>
        <v>No</v>
      </c>
      <c r="K1888" s="2" t="str">
        <f t="shared" si="117"/>
        <v>Yes</v>
      </c>
      <c r="L1888" s="2" t="str">
        <f t="shared" si="119"/>
        <v>No</v>
      </c>
      <c r="M1888" s="2">
        <f t="shared" si="118"/>
        <v>0</v>
      </c>
    </row>
    <row r="1889" spans="1:13" x14ac:dyDescent="0.3">
      <c r="A1889" s="5" t="s">
        <v>4518</v>
      </c>
      <c r="B1889" s="5" t="s">
        <v>2038</v>
      </c>
      <c r="C1889" s="5" t="s">
        <v>2608</v>
      </c>
      <c r="D1889" s="6">
        <v>45945</v>
      </c>
      <c r="E1889" s="6">
        <v>45949</v>
      </c>
      <c r="F1889" s="6">
        <v>45958</v>
      </c>
      <c r="G1889" s="5" t="s">
        <v>2627</v>
      </c>
      <c r="H1889" s="5">
        <v>4</v>
      </c>
      <c r="I1889" s="5">
        <f>IFERROR(INDEX(Raw_Orders!H1889:H4317,MATCH(B1889,Raw_Orders!A1889:A4317,0)),0)</f>
        <v>4</v>
      </c>
      <c r="J1889" s="5" t="str">
        <f t="shared" si="116"/>
        <v>No</v>
      </c>
      <c r="K1889" s="5" t="str">
        <f t="shared" si="117"/>
        <v>Yes</v>
      </c>
      <c r="L1889" s="5" t="str">
        <f t="shared" si="119"/>
        <v>No</v>
      </c>
      <c r="M1889" s="5">
        <f t="shared" si="118"/>
        <v>0</v>
      </c>
    </row>
    <row r="1890" spans="1:13" x14ac:dyDescent="0.3">
      <c r="A1890" s="2" t="s">
        <v>4519</v>
      </c>
      <c r="B1890" s="2" t="s">
        <v>2039</v>
      </c>
      <c r="C1890" s="2" t="s">
        <v>2611</v>
      </c>
      <c r="D1890" s="3">
        <v>45947</v>
      </c>
      <c r="E1890" s="3">
        <v>45952</v>
      </c>
      <c r="F1890" s="3">
        <v>45954</v>
      </c>
      <c r="G1890" s="2" t="s">
        <v>2629</v>
      </c>
      <c r="H1890" s="2">
        <v>45</v>
      </c>
      <c r="I1890" s="2">
        <f>IFERROR(INDEX(Raw_Orders!H1890:H4318,MATCH(B1890,Raw_Orders!A1890:A4318,0)),0)</f>
        <v>45</v>
      </c>
      <c r="J1890" s="2" t="str">
        <f t="shared" si="116"/>
        <v>No</v>
      </c>
      <c r="K1890" s="2" t="str">
        <f t="shared" si="117"/>
        <v>Yes</v>
      </c>
      <c r="L1890" s="2" t="str">
        <f t="shared" si="119"/>
        <v>No</v>
      </c>
      <c r="M1890" s="2">
        <f t="shared" si="118"/>
        <v>0</v>
      </c>
    </row>
    <row r="1891" spans="1:13" x14ac:dyDescent="0.3">
      <c r="A1891" s="5" t="s">
        <v>4520</v>
      </c>
      <c r="B1891" s="5" t="s">
        <v>2040</v>
      </c>
      <c r="C1891" s="5" t="s">
        <v>2598</v>
      </c>
      <c r="D1891" s="6">
        <v>45947</v>
      </c>
      <c r="E1891" s="6">
        <v>45954</v>
      </c>
      <c r="F1891" s="6">
        <v>45961</v>
      </c>
      <c r="G1891" s="5" t="s">
        <v>2629</v>
      </c>
      <c r="H1891" s="5">
        <v>34</v>
      </c>
      <c r="I1891" s="5">
        <f>IFERROR(INDEX(Raw_Orders!H1891:H4319,MATCH(B1891,Raw_Orders!A1891:A4319,0)),0)</f>
        <v>36</v>
      </c>
      <c r="J1891" s="5" t="str">
        <f t="shared" si="116"/>
        <v>No</v>
      </c>
      <c r="K1891" s="5" t="str">
        <f t="shared" si="117"/>
        <v>N0</v>
      </c>
      <c r="L1891" s="5" t="str">
        <f t="shared" si="119"/>
        <v>No</v>
      </c>
      <c r="M1891" s="5">
        <f t="shared" si="118"/>
        <v>0</v>
      </c>
    </row>
    <row r="1892" spans="1:13" x14ac:dyDescent="0.3">
      <c r="A1892" s="2" t="s">
        <v>4521</v>
      </c>
      <c r="B1892" s="2" t="s">
        <v>2041</v>
      </c>
      <c r="C1892" s="2" t="s">
        <v>2604</v>
      </c>
      <c r="D1892" s="3">
        <v>45946</v>
      </c>
      <c r="E1892" s="3">
        <v>45955</v>
      </c>
      <c r="F1892" s="3">
        <v>45951</v>
      </c>
      <c r="G1892" s="2" t="s">
        <v>2641</v>
      </c>
      <c r="H1892" s="2">
        <v>72</v>
      </c>
      <c r="I1892" s="2">
        <f>IFERROR(INDEX(Raw_Orders!H1892:H4320,MATCH(B1892,Raw_Orders!A1892:A4320,0)),0)</f>
        <v>72</v>
      </c>
      <c r="J1892" s="2" t="str">
        <f t="shared" si="116"/>
        <v>Yes</v>
      </c>
      <c r="K1892" s="2" t="str">
        <f t="shared" si="117"/>
        <v>Yes</v>
      </c>
      <c r="L1892" s="2" t="str">
        <f t="shared" si="119"/>
        <v>Yes</v>
      </c>
      <c r="M1892" s="2">
        <f t="shared" si="118"/>
        <v>1</v>
      </c>
    </row>
    <row r="1893" spans="1:13" x14ac:dyDescent="0.3">
      <c r="A1893" s="5" t="s">
        <v>4522</v>
      </c>
      <c r="B1893" s="5" t="s">
        <v>2042</v>
      </c>
      <c r="C1893" s="5" t="s">
        <v>2606</v>
      </c>
      <c r="D1893" s="6">
        <v>45946</v>
      </c>
      <c r="E1893" s="6">
        <v>45949</v>
      </c>
      <c r="F1893" s="6">
        <v>45951</v>
      </c>
      <c r="G1893" s="5" t="s">
        <v>2641</v>
      </c>
      <c r="H1893" s="5">
        <v>37</v>
      </c>
      <c r="I1893" s="5">
        <f>IFERROR(INDEX(Raw_Orders!H1893:H4321,MATCH(B1893,Raw_Orders!A1893:A4321,0)),0)</f>
        <v>37</v>
      </c>
      <c r="J1893" s="5" t="str">
        <f t="shared" si="116"/>
        <v>No</v>
      </c>
      <c r="K1893" s="5" t="str">
        <f t="shared" si="117"/>
        <v>Yes</v>
      </c>
      <c r="L1893" s="5" t="str">
        <f t="shared" si="119"/>
        <v>No</v>
      </c>
      <c r="M1893" s="5">
        <f t="shared" si="118"/>
        <v>0</v>
      </c>
    </row>
    <row r="1894" spans="1:13" x14ac:dyDescent="0.3">
      <c r="A1894" s="2" t="s">
        <v>4523</v>
      </c>
      <c r="B1894" s="2" t="s">
        <v>2043</v>
      </c>
      <c r="C1894" s="2" t="s">
        <v>2606</v>
      </c>
      <c r="D1894" s="3">
        <v>45945</v>
      </c>
      <c r="E1894" s="3">
        <v>45949</v>
      </c>
      <c r="F1894" s="3">
        <v>45951</v>
      </c>
      <c r="G1894" s="2" t="s">
        <v>2631</v>
      </c>
      <c r="H1894" s="2">
        <v>50</v>
      </c>
      <c r="I1894" s="2">
        <f>IFERROR(INDEX(Raw_Orders!H1894:H4322,MATCH(B1894,Raw_Orders!A1894:A4322,0)),0)</f>
        <v>50</v>
      </c>
      <c r="J1894" s="2" t="str">
        <f t="shared" si="116"/>
        <v>No</v>
      </c>
      <c r="K1894" s="2" t="str">
        <f t="shared" si="117"/>
        <v>Yes</v>
      </c>
      <c r="L1894" s="2" t="str">
        <f t="shared" si="119"/>
        <v>No</v>
      </c>
      <c r="M1894" s="2">
        <f t="shared" si="118"/>
        <v>0</v>
      </c>
    </row>
    <row r="1895" spans="1:13" x14ac:dyDescent="0.3">
      <c r="A1895" s="5" t="s">
        <v>4524</v>
      </c>
      <c r="B1895" s="5" t="s">
        <v>2044</v>
      </c>
      <c r="C1895" s="5" t="s">
        <v>2606</v>
      </c>
      <c r="D1895" s="6">
        <v>45947</v>
      </c>
      <c r="E1895" s="6">
        <v>45955</v>
      </c>
      <c r="F1895" s="6">
        <v>45953</v>
      </c>
      <c r="G1895" s="5" t="s">
        <v>2633</v>
      </c>
      <c r="H1895" s="5">
        <v>37</v>
      </c>
      <c r="I1895" s="5">
        <f>IFERROR(INDEX(Raw_Orders!H1895:H4323,MATCH(B1895,Raw_Orders!A1895:A4323,0)),0)</f>
        <v>41</v>
      </c>
      <c r="J1895" s="5" t="str">
        <f t="shared" si="116"/>
        <v>Yes</v>
      </c>
      <c r="K1895" s="5" t="str">
        <f t="shared" si="117"/>
        <v>N0</v>
      </c>
      <c r="L1895" s="5" t="str">
        <f t="shared" si="119"/>
        <v>No</v>
      </c>
      <c r="M1895" s="5">
        <f t="shared" si="118"/>
        <v>0</v>
      </c>
    </row>
    <row r="1896" spans="1:13" x14ac:dyDescent="0.3">
      <c r="A1896" s="2" t="s">
        <v>4525</v>
      </c>
      <c r="B1896" s="2" t="s">
        <v>2045</v>
      </c>
      <c r="C1896" s="2" t="s">
        <v>2611</v>
      </c>
      <c r="D1896" s="3">
        <v>45946</v>
      </c>
      <c r="E1896" s="3">
        <v>45955</v>
      </c>
      <c r="F1896" s="3">
        <v>45953</v>
      </c>
      <c r="G1896" s="2" t="s">
        <v>2629</v>
      </c>
      <c r="H1896" s="2">
        <v>23</v>
      </c>
      <c r="I1896" s="2">
        <f>IFERROR(INDEX(Raw_Orders!H1896:H4324,MATCH(B1896,Raw_Orders!A1896:A4324,0)),0)</f>
        <v>24</v>
      </c>
      <c r="J1896" s="2" t="str">
        <f t="shared" si="116"/>
        <v>Yes</v>
      </c>
      <c r="K1896" s="2" t="str">
        <f t="shared" si="117"/>
        <v>N0</v>
      </c>
      <c r="L1896" s="2" t="str">
        <f t="shared" si="119"/>
        <v>No</v>
      </c>
      <c r="M1896" s="2">
        <f t="shared" si="118"/>
        <v>0</v>
      </c>
    </row>
    <row r="1897" spans="1:13" x14ac:dyDescent="0.3">
      <c r="A1897" s="5" t="s">
        <v>4526</v>
      </c>
      <c r="B1897" s="5" t="s">
        <v>2046</v>
      </c>
      <c r="C1897" s="5" t="s">
        <v>2601</v>
      </c>
      <c r="D1897" s="6">
        <v>45946</v>
      </c>
      <c r="E1897" s="6">
        <v>45950</v>
      </c>
      <c r="F1897" s="6">
        <v>45950</v>
      </c>
      <c r="G1897" s="5" t="s">
        <v>2631</v>
      </c>
      <c r="H1897" s="5">
        <v>50</v>
      </c>
      <c r="I1897" s="5">
        <f>IFERROR(INDEX(Raw_Orders!H1897:H4325,MATCH(B1897,Raw_Orders!A1897:A4325,0)),0)</f>
        <v>50</v>
      </c>
      <c r="J1897" s="5" t="str">
        <f t="shared" si="116"/>
        <v>Yes</v>
      </c>
      <c r="K1897" s="5" t="str">
        <f t="shared" si="117"/>
        <v>Yes</v>
      </c>
      <c r="L1897" s="5" t="str">
        <f t="shared" si="119"/>
        <v>Yes</v>
      </c>
      <c r="M1897" s="5">
        <f t="shared" si="118"/>
        <v>1</v>
      </c>
    </row>
    <row r="1898" spans="1:13" x14ac:dyDescent="0.3">
      <c r="A1898" s="2" t="s">
        <v>4527</v>
      </c>
      <c r="B1898" s="2" t="s">
        <v>2047</v>
      </c>
      <c r="C1898" s="2" t="s">
        <v>2616</v>
      </c>
      <c r="D1898" s="3">
        <v>45947</v>
      </c>
      <c r="E1898" s="3">
        <v>45952</v>
      </c>
      <c r="F1898" s="3">
        <v>45963</v>
      </c>
      <c r="G1898" s="2" t="s">
        <v>2633</v>
      </c>
      <c r="H1898" s="2">
        <v>17</v>
      </c>
      <c r="I1898" s="2">
        <f>IFERROR(INDEX(Raw_Orders!H1898:H4326,MATCH(B1898,Raw_Orders!A1898:A4326,0)),0)</f>
        <v>17</v>
      </c>
      <c r="J1898" s="2" t="str">
        <f t="shared" si="116"/>
        <v>No</v>
      </c>
      <c r="K1898" s="2" t="str">
        <f t="shared" si="117"/>
        <v>Yes</v>
      </c>
      <c r="L1898" s="2" t="str">
        <f t="shared" si="119"/>
        <v>No</v>
      </c>
      <c r="M1898" s="2">
        <f t="shared" si="118"/>
        <v>0</v>
      </c>
    </row>
    <row r="1899" spans="1:13" x14ac:dyDescent="0.3">
      <c r="A1899" s="5" t="s">
        <v>4528</v>
      </c>
      <c r="B1899" s="5" t="s">
        <v>2048</v>
      </c>
      <c r="C1899" s="5" t="s">
        <v>2604</v>
      </c>
      <c r="D1899" s="6">
        <v>45947</v>
      </c>
      <c r="E1899" s="6">
        <v>45953</v>
      </c>
      <c r="F1899" s="6">
        <v>45953</v>
      </c>
      <c r="G1899" s="5" t="s">
        <v>2641</v>
      </c>
      <c r="H1899" s="5">
        <v>78</v>
      </c>
      <c r="I1899" s="5">
        <f>IFERROR(INDEX(Raw_Orders!H1899:H4327,MATCH(B1899,Raw_Orders!A1899:A4327,0)),0)</f>
        <v>78</v>
      </c>
      <c r="J1899" s="5" t="str">
        <f t="shared" si="116"/>
        <v>Yes</v>
      </c>
      <c r="K1899" s="5" t="str">
        <f t="shared" si="117"/>
        <v>Yes</v>
      </c>
      <c r="L1899" s="5" t="str">
        <f t="shared" si="119"/>
        <v>Yes</v>
      </c>
      <c r="M1899" s="5">
        <f t="shared" si="118"/>
        <v>1</v>
      </c>
    </row>
    <row r="1900" spans="1:13" x14ac:dyDescent="0.3">
      <c r="A1900" s="2" t="s">
        <v>4529</v>
      </c>
      <c r="B1900" s="2" t="s">
        <v>2049</v>
      </c>
      <c r="C1900" s="2" t="s">
        <v>2604</v>
      </c>
      <c r="D1900" s="3">
        <v>45946</v>
      </c>
      <c r="E1900" s="3">
        <v>45950</v>
      </c>
      <c r="F1900" s="3">
        <v>45949</v>
      </c>
      <c r="G1900" s="2" t="s">
        <v>2629</v>
      </c>
      <c r="H1900" s="2">
        <v>30</v>
      </c>
      <c r="I1900" s="2">
        <f>IFERROR(INDEX(Raw_Orders!H1900:H4328,MATCH(B1900,Raw_Orders!A1900:A4328,0)),0)</f>
        <v>30</v>
      </c>
      <c r="J1900" s="2" t="str">
        <f t="shared" si="116"/>
        <v>Yes</v>
      </c>
      <c r="K1900" s="2" t="str">
        <f t="shared" si="117"/>
        <v>Yes</v>
      </c>
      <c r="L1900" s="2" t="str">
        <f t="shared" si="119"/>
        <v>Yes</v>
      </c>
      <c r="M1900" s="2">
        <f t="shared" si="118"/>
        <v>1</v>
      </c>
    </row>
    <row r="1901" spans="1:13" x14ac:dyDescent="0.3">
      <c r="A1901" s="5" t="s">
        <v>4530</v>
      </c>
      <c r="B1901" s="5" t="s">
        <v>2050</v>
      </c>
      <c r="C1901" s="5" t="s">
        <v>2606</v>
      </c>
      <c r="D1901" s="6">
        <v>45948</v>
      </c>
      <c r="E1901" s="6">
        <v>45952</v>
      </c>
      <c r="F1901" s="6">
        <v>45958</v>
      </c>
      <c r="G1901" s="5" t="s">
        <v>2629</v>
      </c>
      <c r="H1901" s="5">
        <v>76</v>
      </c>
      <c r="I1901" s="5">
        <f>IFERROR(INDEX(Raw_Orders!H1901:H4329,MATCH(B1901,Raw_Orders!A1901:A4329,0)),0)</f>
        <v>76</v>
      </c>
      <c r="J1901" s="5" t="str">
        <f t="shared" si="116"/>
        <v>No</v>
      </c>
      <c r="K1901" s="5" t="str">
        <f t="shared" si="117"/>
        <v>Yes</v>
      </c>
      <c r="L1901" s="5" t="str">
        <f t="shared" si="119"/>
        <v>No</v>
      </c>
      <c r="M1901" s="5">
        <f t="shared" si="118"/>
        <v>0</v>
      </c>
    </row>
    <row r="1902" spans="1:13" x14ac:dyDescent="0.3">
      <c r="A1902" s="2" t="s">
        <v>4531</v>
      </c>
      <c r="B1902" s="2" t="s">
        <v>2051</v>
      </c>
      <c r="C1902" s="2" t="s">
        <v>2608</v>
      </c>
      <c r="D1902" s="3">
        <v>45946</v>
      </c>
      <c r="E1902" s="3">
        <v>45950</v>
      </c>
      <c r="F1902" s="3">
        <v>45959</v>
      </c>
      <c r="G1902" s="2" t="s">
        <v>2641</v>
      </c>
      <c r="H1902" s="2">
        <v>6</v>
      </c>
      <c r="I1902" s="2">
        <f>IFERROR(INDEX(Raw_Orders!H1902:H4330,MATCH(B1902,Raw_Orders!A1902:A4330,0)),0)</f>
        <v>6</v>
      </c>
      <c r="J1902" s="2" t="str">
        <f t="shared" si="116"/>
        <v>No</v>
      </c>
      <c r="K1902" s="2" t="str">
        <f t="shared" si="117"/>
        <v>Yes</v>
      </c>
      <c r="L1902" s="2" t="str">
        <f t="shared" si="119"/>
        <v>No</v>
      </c>
      <c r="M1902" s="2">
        <f t="shared" si="118"/>
        <v>0</v>
      </c>
    </row>
    <row r="1903" spans="1:13" x14ac:dyDescent="0.3">
      <c r="A1903" s="5" t="s">
        <v>4532</v>
      </c>
      <c r="B1903" s="5" t="s">
        <v>2052</v>
      </c>
      <c r="C1903" s="5" t="s">
        <v>2598</v>
      </c>
      <c r="D1903" s="6">
        <v>45948</v>
      </c>
      <c r="E1903" s="6">
        <v>45953</v>
      </c>
      <c r="F1903" s="6">
        <v>45965</v>
      </c>
      <c r="G1903" s="5" t="s">
        <v>2627</v>
      </c>
      <c r="H1903" s="5">
        <v>34</v>
      </c>
      <c r="I1903" s="5">
        <f>IFERROR(INDEX(Raw_Orders!H1903:H4331,MATCH(B1903,Raw_Orders!A1903:A4331,0)),0)</f>
        <v>34</v>
      </c>
      <c r="J1903" s="5" t="str">
        <f t="shared" si="116"/>
        <v>No</v>
      </c>
      <c r="K1903" s="5" t="str">
        <f t="shared" si="117"/>
        <v>Yes</v>
      </c>
      <c r="L1903" s="5" t="str">
        <f t="shared" si="119"/>
        <v>No</v>
      </c>
      <c r="M1903" s="5">
        <f t="shared" si="118"/>
        <v>0</v>
      </c>
    </row>
    <row r="1904" spans="1:13" x14ac:dyDescent="0.3">
      <c r="A1904" s="2" t="s">
        <v>4533</v>
      </c>
      <c r="B1904" s="2" t="s">
        <v>2053</v>
      </c>
      <c r="C1904" s="2" t="s">
        <v>2611</v>
      </c>
      <c r="D1904" s="3">
        <v>45947</v>
      </c>
      <c r="E1904" s="3">
        <v>45951</v>
      </c>
      <c r="F1904" s="3">
        <v>45958</v>
      </c>
      <c r="G1904" s="2" t="s">
        <v>2633</v>
      </c>
      <c r="H1904" s="2">
        <v>29</v>
      </c>
      <c r="I1904" s="2">
        <f>IFERROR(INDEX(Raw_Orders!H1904:H4332,MATCH(B1904,Raw_Orders!A1904:A4332,0)),0)</f>
        <v>29</v>
      </c>
      <c r="J1904" s="2" t="str">
        <f t="shared" si="116"/>
        <v>No</v>
      </c>
      <c r="K1904" s="2" t="str">
        <f t="shared" si="117"/>
        <v>Yes</v>
      </c>
      <c r="L1904" s="2" t="str">
        <f t="shared" si="119"/>
        <v>No</v>
      </c>
      <c r="M1904" s="2">
        <f t="shared" si="118"/>
        <v>0</v>
      </c>
    </row>
    <row r="1905" spans="1:13" x14ac:dyDescent="0.3">
      <c r="A1905" s="5" t="s">
        <v>4534</v>
      </c>
      <c r="B1905" s="5" t="s">
        <v>2054</v>
      </c>
      <c r="C1905" s="5" t="s">
        <v>2614</v>
      </c>
      <c r="D1905" s="6">
        <v>45947</v>
      </c>
      <c r="E1905" s="6">
        <v>45957</v>
      </c>
      <c r="F1905" s="6">
        <v>45963</v>
      </c>
      <c r="G1905" s="5" t="s">
        <v>2631</v>
      </c>
      <c r="H1905" s="5">
        <v>17</v>
      </c>
      <c r="I1905" s="5">
        <f>IFERROR(INDEX(Raw_Orders!H1905:H4333,MATCH(B1905,Raw_Orders!A1905:A4333,0)),0)</f>
        <v>17</v>
      </c>
      <c r="J1905" s="5" t="str">
        <f t="shared" si="116"/>
        <v>No</v>
      </c>
      <c r="K1905" s="5" t="str">
        <f t="shared" si="117"/>
        <v>Yes</v>
      </c>
      <c r="L1905" s="5" t="str">
        <f t="shared" si="119"/>
        <v>No</v>
      </c>
      <c r="M1905" s="5">
        <f t="shared" si="118"/>
        <v>0</v>
      </c>
    </row>
    <row r="1906" spans="1:13" x14ac:dyDescent="0.3">
      <c r="A1906" s="2" t="s">
        <v>4535</v>
      </c>
      <c r="B1906" s="2" t="s">
        <v>2055</v>
      </c>
      <c r="C1906" s="2" t="s">
        <v>2616</v>
      </c>
      <c r="D1906" s="3">
        <v>45947</v>
      </c>
      <c r="E1906" s="3">
        <v>45954</v>
      </c>
      <c r="F1906" s="3">
        <v>45962</v>
      </c>
      <c r="G1906" s="2" t="s">
        <v>2631</v>
      </c>
      <c r="H1906" s="2">
        <v>29</v>
      </c>
      <c r="I1906" s="2">
        <f>IFERROR(INDEX(Raw_Orders!H1906:H4334,MATCH(B1906,Raw_Orders!A1906:A4334,0)),0)</f>
        <v>29</v>
      </c>
      <c r="J1906" s="2" t="str">
        <f t="shared" si="116"/>
        <v>No</v>
      </c>
      <c r="K1906" s="2" t="str">
        <f t="shared" si="117"/>
        <v>Yes</v>
      </c>
      <c r="L1906" s="2" t="str">
        <f t="shared" si="119"/>
        <v>No</v>
      </c>
      <c r="M1906" s="2">
        <f t="shared" si="118"/>
        <v>0</v>
      </c>
    </row>
    <row r="1907" spans="1:13" x14ac:dyDescent="0.3">
      <c r="A1907" s="5" t="s">
        <v>4536</v>
      </c>
      <c r="B1907" s="5" t="s">
        <v>2056</v>
      </c>
      <c r="C1907" s="5" t="s">
        <v>2616</v>
      </c>
      <c r="D1907" s="6">
        <v>45949</v>
      </c>
      <c r="E1907" s="6">
        <v>45954</v>
      </c>
      <c r="F1907" s="6">
        <v>45968</v>
      </c>
      <c r="G1907" s="5" t="s">
        <v>2633</v>
      </c>
      <c r="H1907" s="5">
        <v>24</v>
      </c>
      <c r="I1907" s="5">
        <f>IFERROR(INDEX(Raw_Orders!H1907:H4335,MATCH(B1907,Raw_Orders!A1907:A4335,0)),0)</f>
        <v>24</v>
      </c>
      <c r="J1907" s="5" t="str">
        <f t="shared" si="116"/>
        <v>No</v>
      </c>
      <c r="K1907" s="5" t="str">
        <f t="shared" si="117"/>
        <v>Yes</v>
      </c>
      <c r="L1907" s="5" t="str">
        <f t="shared" si="119"/>
        <v>No</v>
      </c>
      <c r="M1907" s="5">
        <f t="shared" si="118"/>
        <v>0</v>
      </c>
    </row>
    <row r="1908" spans="1:13" x14ac:dyDescent="0.3">
      <c r="A1908" s="2" t="s">
        <v>4537</v>
      </c>
      <c r="B1908" s="2" t="s">
        <v>2057</v>
      </c>
      <c r="C1908" s="2" t="s">
        <v>2606</v>
      </c>
      <c r="D1908" s="3">
        <v>45949</v>
      </c>
      <c r="E1908" s="3">
        <v>45950</v>
      </c>
      <c r="F1908" s="3">
        <v>45955</v>
      </c>
      <c r="G1908" s="2" t="s">
        <v>2629</v>
      </c>
      <c r="H1908" s="2">
        <v>48</v>
      </c>
      <c r="I1908" s="2">
        <f>IFERROR(INDEX(Raw_Orders!H1908:H4336,MATCH(B1908,Raw_Orders!A1908:A4336,0)),0)</f>
        <v>48</v>
      </c>
      <c r="J1908" s="2" t="str">
        <f t="shared" si="116"/>
        <v>No</v>
      </c>
      <c r="K1908" s="2" t="str">
        <f t="shared" si="117"/>
        <v>Yes</v>
      </c>
      <c r="L1908" s="2" t="str">
        <f t="shared" si="119"/>
        <v>No</v>
      </c>
      <c r="M1908" s="2">
        <f t="shared" si="118"/>
        <v>0</v>
      </c>
    </row>
    <row r="1909" spans="1:13" x14ac:dyDescent="0.3">
      <c r="A1909" s="5" t="s">
        <v>4538</v>
      </c>
      <c r="B1909" s="5" t="s">
        <v>2058</v>
      </c>
      <c r="C1909" s="5" t="s">
        <v>2606</v>
      </c>
      <c r="D1909" s="6">
        <v>45949</v>
      </c>
      <c r="E1909" s="6">
        <v>45956</v>
      </c>
      <c r="F1909" s="6">
        <v>45955</v>
      </c>
      <c r="G1909" s="5" t="s">
        <v>2629</v>
      </c>
      <c r="H1909" s="5">
        <v>18</v>
      </c>
      <c r="I1909" s="5">
        <f>IFERROR(INDEX(Raw_Orders!H1909:H4337,MATCH(B1909,Raw_Orders!A1909:A4337,0)),0)</f>
        <v>25</v>
      </c>
      <c r="J1909" s="5" t="str">
        <f t="shared" si="116"/>
        <v>Yes</v>
      </c>
      <c r="K1909" s="5" t="str">
        <f t="shared" si="117"/>
        <v>N0</v>
      </c>
      <c r="L1909" s="5" t="str">
        <f t="shared" si="119"/>
        <v>No</v>
      </c>
      <c r="M1909" s="5">
        <f t="shared" si="118"/>
        <v>0</v>
      </c>
    </row>
    <row r="1910" spans="1:13" x14ac:dyDescent="0.3">
      <c r="A1910" s="2" t="s">
        <v>4539</v>
      </c>
      <c r="B1910" s="2" t="s">
        <v>2059</v>
      </c>
      <c r="C1910" s="2" t="s">
        <v>2608</v>
      </c>
      <c r="D1910" s="3">
        <v>45948</v>
      </c>
      <c r="E1910" s="3">
        <v>45952</v>
      </c>
      <c r="F1910" s="3">
        <v>45963</v>
      </c>
      <c r="G1910" s="2" t="s">
        <v>2641</v>
      </c>
      <c r="H1910" s="2">
        <v>39</v>
      </c>
      <c r="I1910" s="2">
        <f>IFERROR(INDEX(Raw_Orders!H1910:H4338,MATCH(B1910,Raw_Orders!A1910:A4338,0)),0)</f>
        <v>39</v>
      </c>
      <c r="J1910" s="2" t="str">
        <f t="shared" si="116"/>
        <v>No</v>
      </c>
      <c r="K1910" s="2" t="str">
        <f t="shared" si="117"/>
        <v>Yes</v>
      </c>
      <c r="L1910" s="2" t="str">
        <f t="shared" si="119"/>
        <v>No</v>
      </c>
      <c r="M1910" s="2">
        <f t="shared" si="118"/>
        <v>0</v>
      </c>
    </row>
    <row r="1911" spans="1:13" x14ac:dyDescent="0.3">
      <c r="A1911" s="5" t="s">
        <v>4540</v>
      </c>
      <c r="B1911" s="5" t="s">
        <v>2060</v>
      </c>
      <c r="C1911" s="5" t="s">
        <v>2608</v>
      </c>
      <c r="D1911" s="6">
        <v>45948</v>
      </c>
      <c r="E1911" s="6">
        <v>45954</v>
      </c>
      <c r="F1911" s="6">
        <v>45961</v>
      </c>
      <c r="G1911" s="5" t="s">
        <v>2633</v>
      </c>
      <c r="H1911" s="5">
        <v>8</v>
      </c>
      <c r="I1911" s="5">
        <f>IFERROR(INDEX(Raw_Orders!H1911:H4339,MATCH(B1911,Raw_Orders!A1911:A4339,0)),0)</f>
        <v>8</v>
      </c>
      <c r="J1911" s="5" t="str">
        <f t="shared" si="116"/>
        <v>No</v>
      </c>
      <c r="K1911" s="5" t="str">
        <f t="shared" si="117"/>
        <v>Yes</v>
      </c>
      <c r="L1911" s="5" t="str">
        <f t="shared" si="119"/>
        <v>No</v>
      </c>
      <c r="M1911" s="5">
        <f t="shared" si="118"/>
        <v>0</v>
      </c>
    </row>
    <row r="1912" spans="1:13" x14ac:dyDescent="0.3">
      <c r="A1912" s="2" t="s">
        <v>4541</v>
      </c>
      <c r="B1912" s="2" t="s">
        <v>2061</v>
      </c>
      <c r="C1912" s="2" t="s">
        <v>2598</v>
      </c>
      <c r="D1912" s="3">
        <v>45949</v>
      </c>
      <c r="E1912" s="3">
        <v>45953</v>
      </c>
      <c r="F1912" s="3">
        <v>45961</v>
      </c>
      <c r="G1912" s="2" t="s">
        <v>2633</v>
      </c>
      <c r="H1912" s="2">
        <v>34</v>
      </c>
      <c r="I1912" s="2">
        <f>IFERROR(INDEX(Raw_Orders!H1912:H4340,MATCH(B1912,Raw_Orders!A1912:A4340,0)),0)</f>
        <v>35</v>
      </c>
      <c r="J1912" s="2" t="str">
        <f t="shared" si="116"/>
        <v>No</v>
      </c>
      <c r="K1912" s="2" t="str">
        <f t="shared" si="117"/>
        <v>N0</v>
      </c>
      <c r="L1912" s="2" t="str">
        <f t="shared" si="119"/>
        <v>No</v>
      </c>
      <c r="M1912" s="2">
        <f t="shared" si="118"/>
        <v>0</v>
      </c>
    </row>
    <row r="1913" spans="1:13" x14ac:dyDescent="0.3">
      <c r="A1913" s="5" t="s">
        <v>4542</v>
      </c>
      <c r="B1913" s="5" t="s">
        <v>2062</v>
      </c>
      <c r="C1913" s="5" t="s">
        <v>2611</v>
      </c>
      <c r="D1913" s="6">
        <v>45950</v>
      </c>
      <c r="E1913" s="6">
        <v>45957</v>
      </c>
      <c r="F1913" s="6">
        <v>45957</v>
      </c>
      <c r="G1913" s="5" t="s">
        <v>2627</v>
      </c>
      <c r="H1913" s="5">
        <v>31</v>
      </c>
      <c r="I1913" s="5">
        <f>IFERROR(INDEX(Raw_Orders!H1913:H4341,MATCH(B1913,Raw_Orders!A1913:A4341,0)),0)</f>
        <v>31</v>
      </c>
      <c r="J1913" s="5" t="str">
        <f t="shared" si="116"/>
        <v>Yes</v>
      </c>
      <c r="K1913" s="5" t="str">
        <f t="shared" si="117"/>
        <v>Yes</v>
      </c>
      <c r="L1913" s="5" t="str">
        <f t="shared" si="119"/>
        <v>Yes</v>
      </c>
      <c r="M1913" s="5">
        <f t="shared" si="118"/>
        <v>1</v>
      </c>
    </row>
    <row r="1914" spans="1:13" x14ac:dyDescent="0.3">
      <c r="A1914" s="2" t="s">
        <v>4543</v>
      </c>
      <c r="B1914" s="2" t="s">
        <v>2063</v>
      </c>
      <c r="C1914" s="2" t="s">
        <v>2601</v>
      </c>
      <c r="D1914" s="3">
        <v>45948</v>
      </c>
      <c r="E1914" s="3">
        <v>45957</v>
      </c>
      <c r="F1914" s="3">
        <v>45953</v>
      </c>
      <c r="G1914" s="2" t="s">
        <v>2627</v>
      </c>
      <c r="H1914" s="2">
        <v>33</v>
      </c>
      <c r="I1914" s="2">
        <f>IFERROR(INDEX(Raw_Orders!H1914:H4342,MATCH(B1914,Raw_Orders!A1914:A4342,0)),0)</f>
        <v>33</v>
      </c>
      <c r="J1914" s="2" t="str">
        <f t="shared" si="116"/>
        <v>Yes</v>
      </c>
      <c r="K1914" s="2" t="str">
        <f t="shared" si="117"/>
        <v>Yes</v>
      </c>
      <c r="L1914" s="2" t="str">
        <f t="shared" si="119"/>
        <v>Yes</v>
      </c>
      <c r="M1914" s="2">
        <f t="shared" si="118"/>
        <v>1</v>
      </c>
    </row>
    <row r="1915" spans="1:13" x14ac:dyDescent="0.3">
      <c r="A1915" s="5" t="s">
        <v>4544</v>
      </c>
      <c r="B1915" s="5" t="s">
        <v>2064</v>
      </c>
      <c r="C1915" s="5" t="s">
        <v>2614</v>
      </c>
      <c r="D1915" s="6">
        <v>45948</v>
      </c>
      <c r="E1915" s="6">
        <v>45955</v>
      </c>
      <c r="F1915" s="6">
        <v>45962</v>
      </c>
      <c r="G1915" s="5" t="s">
        <v>2629</v>
      </c>
      <c r="H1915" s="5">
        <v>25</v>
      </c>
      <c r="I1915" s="5">
        <f>IFERROR(INDEX(Raw_Orders!H1915:H4343,MATCH(B1915,Raw_Orders!A1915:A4343,0)),0)</f>
        <v>25</v>
      </c>
      <c r="J1915" s="5" t="str">
        <f t="shared" si="116"/>
        <v>No</v>
      </c>
      <c r="K1915" s="5" t="str">
        <f t="shared" si="117"/>
        <v>Yes</v>
      </c>
      <c r="L1915" s="5" t="str">
        <f t="shared" si="119"/>
        <v>No</v>
      </c>
      <c r="M1915" s="5">
        <f t="shared" si="118"/>
        <v>0</v>
      </c>
    </row>
    <row r="1916" spans="1:13" x14ac:dyDescent="0.3">
      <c r="A1916" s="2" t="s">
        <v>4545</v>
      </c>
      <c r="B1916" s="2" t="s">
        <v>2065</v>
      </c>
      <c r="C1916" s="2" t="s">
        <v>2614</v>
      </c>
      <c r="D1916" s="3">
        <v>45950</v>
      </c>
      <c r="E1916" s="3">
        <v>45956</v>
      </c>
      <c r="F1916" s="3">
        <v>45968</v>
      </c>
      <c r="G1916" s="2" t="s">
        <v>2627</v>
      </c>
      <c r="H1916" s="2">
        <v>14</v>
      </c>
      <c r="I1916" s="2">
        <f>IFERROR(INDEX(Raw_Orders!H1916:H4344,MATCH(B1916,Raw_Orders!A1916:A4344,0)),0)</f>
        <v>14</v>
      </c>
      <c r="J1916" s="2" t="str">
        <f t="shared" si="116"/>
        <v>No</v>
      </c>
      <c r="K1916" s="2" t="str">
        <f t="shared" si="117"/>
        <v>Yes</v>
      </c>
      <c r="L1916" s="2" t="str">
        <f t="shared" si="119"/>
        <v>No</v>
      </c>
      <c r="M1916" s="2">
        <f t="shared" si="118"/>
        <v>0</v>
      </c>
    </row>
    <row r="1917" spans="1:13" x14ac:dyDescent="0.3">
      <c r="A1917" s="5" t="s">
        <v>4546</v>
      </c>
      <c r="B1917" s="5" t="s">
        <v>2066</v>
      </c>
      <c r="C1917" s="5" t="s">
        <v>2604</v>
      </c>
      <c r="D1917" s="6">
        <v>45949</v>
      </c>
      <c r="E1917" s="6">
        <v>45957</v>
      </c>
      <c r="F1917" s="6">
        <v>45952</v>
      </c>
      <c r="G1917" s="5" t="s">
        <v>2631</v>
      </c>
      <c r="H1917" s="5">
        <v>26</v>
      </c>
      <c r="I1917" s="5">
        <f>IFERROR(INDEX(Raw_Orders!H1917:H4345,MATCH(B1917,Raw_Orders!A1917:A4345,0)),0)</f>
        <v>26</v>
      </c>
      <c r="J1917" s="5" t="str">
        <f t="shared" si="116"/>
        <v>Yes</v>
      </c>
      <c r="K1917" s="5" t="str">
        <f t="shared" si="117"/>
        <v>Yes</v>
      </c>
      <c r="L1917" s="5" t="str">
        <f t="shared" si="119"/>
        <v>Yes</v>
      </c>
      <c r="M1917" s="5">
        <f t="shared" si="118"/>
        <v>1</v>
      </c>
    </row>
    <row r="1918" spans="1:13" x14ac:dyDescent="0.3">
      <c r="A1918" s="2" t="s">
        <v>4547</v>
      </c>
      <c r="B1918" s="2" t="s">
        <v>2067</v>
      </c>
      <c r="C1918" s="2" t="s">
        <v>2616</v>
      </c>
      <c r="D1918" s="3">
        <v>45948</v>
      </c>
      <c r="E1918" s="3">
        <v>45957</v>
      </c>
      <c r="F1918" s="3">
        <v>45965</v>
      </c>
      <c r="G1918" s="2" t="s">
        <v>2629</v>
      </c>
      <c r="H1918" s="2">
        <v>53</v>
      </c>
      <c r="I1918" s="2">
        <f>IFERROR(INDEX(Raw_Orders!H1918:H4346,MATCH(B1918,Raw_Orders!A1918:A4346,0)),0)</f>
        <v>55</v>
      </c>
      <c r="J1918" s="2" t="str">
        <f t="shared" si="116"/>
        <v>No</v>
      </c>
      <c r="K1918" s="2" t="str">
        <f t="shared" si="117"/>
        <v>N0</v>
      </c>
      <c r="L1918" s="2" t="str">
        <f t="shared" si="119"/>
        <v>No</v>
      </c>
      <c r="M1918" s="2">
        <f t="shared" si="118"/>
        <v>0</v>
      </c>
    </row>
    <row r="1919" spans="1:13" x14ac:dyDescent="0.3">
      <c r="A1919" s="5" t="s">
        <v>4548</v>
      </c>
      <c r="B1919" s="5" t="s">
        <v>2068</v>
      </c>
      <c r="C1919" s="5" t="s">
        <v>2606</v>
      </c>
      <c r="D1919" s="6">
        <v>45950</v>
      </c>
      <c r="E1919" s="6">
        <v>45954</v>
      </c>
      <c r="F1919" s="6">
        <v>45956</v>
      </c>
      <c r="G1919" s="5" t="s">
        <v>2631</v>
      </c>
      <c r="H1919" s="5">
        <v>41</v>
      </c>
      <c r="I1919" s="5">
        <f>IFERROR(INDEX(Raw_Orders!H1919:H4347,MATCH(B1919,Raw_Orders!A1919:A4347,0)),0)</f>
        <v>46</v>
      </c>
      <c r="J1919" s="5" t="str">
        <f t="shared" si="116"/>
        <v>No</v>
      </c>
      <c r="K1919" s="5" t="str">
        <f t="shared" si="117"/>
        <v>N0</v>
      </c>
      <c r="L1919" s="5" t="str">
        <f t="shared" si="119"/>
        <v>No</v>
      </c>
      <c r="M1919" s="5">
        <f t="shared" si="118"/>
        <v>0</v>
      </c>
    </row>
    <row r="1920" spans="1:13" x14ac:dyDescent="0.3">
      <c r="A1920" s="2" t="s">
        <v>4549</v>
      </c>
      <c r="B1920" s="2" t="s">
        <v>2069</v>
      </c>
      <c r="C1920" s="2" t="s">
        <v>2606</v>
      </c>
      <c r="D1920" s="3">
        <v>45948</v>
      </c>
      <c r="E1920" s="3">
        <v>45957</v>
      </c>
      <c r="F1920" s="3">
        <v>45954</v>
      </c>
      <c r="G1920" s="2" t="s">
        <v>2631</v>
      </c>
      <c r="H1920" s="2">
        <v>20</v>
      </c>
      <c r="I1920" s="2">
        <f>IFERROR(INDEX(Raw_Orders!H1920:H4348,MATCH(B1920,Raw_Orders!A1920:A4348,0)),0)</f>
        <v>25</v>
      </c>
      <c r="J1920" s="2" t="str">
        <f t="shared" si="116"/>
        <v>Yes</v>
      </c>
      <c r="K1920" s="2" t="str">
        <f t="shared" si="117"/>
        <v>N0</v>
      </c>
      <c r="L1920" s="2" t="str">
        <f t="shared" si="119"/>
        <v>No</v>
      </c>
      <c r="M1920" s="2">
        <f t="shared" si="118"/>
        <v>0</v>
      </c>
    </row>
    <row r="1921" spans="1:13" x14ac:dyDescent="0.3">
      <c r="A1921" s="5" t="s">
        <v>4550</v>
      </c>
      <c r="B1921" s="5" t="s">
        <v>2070</v>
      </c>
      <c r="C1921" s="5" t="s">
        <v>2608</v>
      </c>
      <c r="D1921" s="6">
        <v>45948</v>
      </c>
      <c r="E1921" s="6">
        <v>45955</v>
      </c>
      <c r="F1921" s="6">
        <v>45960</v>
      </c>
      <c r="G1921" s="5" t="s">
        <v>2641</v>
      </c>
      <c r="H1921" s="5">
        <v>13</v>
      </c>
      <c r="I1921" s="5">
        <f>IFERROR(INDEX(Raw_Orders!H1921:H4349,MATCH(B1921,Raw_Orders!A1921:A4349,0)),0)</f>
        <v>13</v>
      </c>
      <c r="J1921" s="5" t="str">
        <f t="shared" si="116"/>
        <v>No</v>
      </c>
      <c r="K1921" s="5" t="str">
        <f t="shared" si="117"/>
        <v>Yes</v>
      </c>
      <c r="L1921" s="5" t="str">
        <f t="shared" si="119"/>
        <v>No</v>
      </c>
      <c r="M1921" s="5">
        <f t="shared" si="118"/>
        <v>0</v>
      </c>
    </row>
    <row r="1922" spans="1:13" x14ac:dyDescent="0.3">
      <c r="A1922" s="2" t="s">
        <v>4551</v>
      </c>
      <c r="B1922" s="2" t="s">
        <v>2071</v>
      </c>
      <c r="C1922" s="2" t="s">
        <v>2598</v>
      </c>
      <c r="D1922" s="3">
        <v>45949</v>
      </c>
      <c r="E1922" s="3">
        <v>45959</v>
      </c>
      <c r="F1922" s="3">
        <v>45963</v>
      </c>
      <c r="G1922" s="2" t="s">
        <v>2629</v>
      </c>
      <c r="H1922" s="2">
        <v>34</v>
      </c>
      <c r="I1922" s="2">
        <f>IFERROR(INDEX(Raw_Orders!H1922:H4350,MATCH(B1922,Raw_Orders!A1922:A4350,0)),0)</f>
        <v>34</v>
      </c>
      <c r="J1922" s="2" t="str">
        <f t="shared" si="116"/>
        <v>No</v>
      </c>
      <c r="K1922" s="2" t="str">
        <f t="shared" si="117"/>
        <v>Yes</v>
      </c>
      <c r="L1922" s="2" t="str">
        <f t="shared" si="119"/>
        <v>No</v>
      </c>
      <c r="M1922" s="2">
        <f t="shared" si="118"/>
        <v>0</v>
      </c>
    </row>
    <row r="1923" spans="1:13" x14ac:dyDescent="0.3">
      <c r="A1923" s="5" t="s">
        <v>4552</v>
      </c>
      <c r="B1923" s="5" t="s">
        <v>2072</v>
      </c>
      <c r="C1923" s="5" t="s">
        <v>2614</v>
      </c>
      <c r="D1923" s="6">
        <v>45949</v>
      </c>
      <c r="E1923" s="6">
        <v>45958</v>
      </c>
      <c r="F1923" s="6">
        <v>45963</v>
      </c>
      <c r="G1923" s="5" t="s">
        <v>2633</v>
      </c>
      <c r="H1923" s="5">
        <v>46</v>
      </c>
      <c r="I1923" s="5">
        <f>IFERROR(INDEX(Raw_Orders!H1923:H4351,MATCH(B1923,Raw_Orders!A1923:A4351,0)),0)</f>
        <v>46</v>
      </c>
      <c r="J1923" s="5" t="str">
        <f t="shared" ref="J1923:J1986" si="120">IF(E1923&gt;=F1923,"Yes","No")</f>
        <v>No</v>
      </c>
      <c r="K1923" s="5" t="str">
        <f t="shared" ref="K1923:K1986" si="121">IF(H1923&gt;=I1923,"Yes","N0")</f>
        <v>Yes</v>
      </c>
      <c r="L1923" s="5" t="str">
        <f t="shared" si="119"/>
        <v>No</v>
      </c>
      <c r="M1923" s="5">
        <f t="shared" ref="M1923:M1986" si="122">IF(L1923="Yes",1,0)</f>
        <v>0</v>
      </c>
    </row>
    <row r="1924" spans="1:13" x14ac:dyDescent="0.3">
      <c r="A1924" s="2" t="s">
        <v>4553</v>
      </c>
      <c r="B1924" s="2" t="s">
        <v>2073</v>
      </c>
      <c r="C1924" s="2" t="s">
        <v>2601</v>
      </c>
      <c r="D1924" s="3">
        <v>45951</v>
      </c>
      <c r="E1924" s="3">
        <v>45959</v>
      </c>
      <c r="F1924" s="3">
        <v>45957</v>
      </c>
      <c r="G1924" s="2" t="s">
        <v>2641</v>
      </c>
      <c r="H1924" s="2">
        <v>8</v>
      </c>
      <c r="I1924" s="2">
        <f>IFERROR(INDEX(Raw_Orders!H1924:H4352,MATCH(B1924,Raw_Orders!A1924:A4352,0)),0)</f>
        <v>13</v>
      </c>
      <c r="J1924" s="2" t="str">
        <f t="shared" si="120"/>
        <v>Yes</v>
      </c>
      <c r="K1924" s="2" t="str">
        <f t="shared" si="121"/>
        <v>N0</v>
      </c>
      <c r="L1924" s="2" t="str">
        <f t="shared" ref="L1924:L1987" si="123">IF(AND(J1924="Yes",K1924="Yes"),"Yes","No")</f>
        <v>No</v>
      </c>
      <c r="M1924" s="2">
        <f t="shared" si="122"/>
        <v>0</v>
      </c>
    </row>
    <row r="1925" spans="1:13" x14ac:dyDescent="0.3">
      <c r="A1925" s="5" t="s">
        <v>4554</v>
      </c>
      <c r="B1925" s="5" t="s">
        <v>2074</v>
      </c>
      <c r="C1925" s="5" t="s">
        <v>2604</v>
      </c>
      <c r="D1925" s="6">
        <v>45949</v>
      </c>
      <c r="E1925" s="6">
        <v>45958</v>
      </c>
      <c r="F1925" s="6">
        <v>45953</v>
      </c>
      <c r="G1925" s="5" t="s">
        <v>2627</v>
      </c>
      <c r="H1925" s="5">
        <v>33</v>
      </c>
      <c r="I1925" s="5">
        <f>IFERROR(INDEX(Raw_Orders!H1925:H4353,MATCH(B1925,Raw_Orders!A1925:A4353,0)),0)</f>
        <v>33</v>
      </c>
      <c r="J1925" s="5" t="str">
        <f t="shared" si="120"/>
        <v>Yes</v>
      </c>
      <c r="K1925" s="5" t="str">
        <f t="shared" si="121"/>
        <v>Yes</v>
      </c>
      <c r="L1925" s="5" t="str">
        <f t="shared" si="123"/>
        <v>Yes</v>
      </c>
      <c r="M1925" s="5">
        <f t="shared" si="122"/>
        <v>1</v>
      </c>
    </row>
    <row r="1926" spans="1:13" x14ac:dyDescent="0.3">
      <c r="A1926" s="2" t="s">
        <v>4555</v>
      </c>
      <c r="B1926" s="2" t="s">
        <v>2075</v>
      </c>
      <c r="C1926" s="2" t="s">
        <v>2608</v>
      </c>
      <c r="D1926" s="3">
        <v>45951</v>
      </c>
      <c r="E1926" s="3">
        <v>45956</v>
      </c>
      <c r="F1926" s="3">
        <v>45964</v>
      </c>
      <c r="G1926" s="2" t="s">
        <v>2633</v>
      </c>
      <c r="H1926" s="2">
        <v>25</v>
      </c>
      <c r="I1926" s="2">
        <f>IFERROR(INDEX(Raw_Orders!H1926:H4354,MATCH(B1926,Raw_Orders!A1926:A4354,0)),0)</f>
        <v>25</v>
      </c>
      <c r="J1926" s="2" t="str">
        <f t="shared" si="120"/>
        <v>No</v>
      </c>
      <c r="K1926" s="2" t="str">
        <f t="shared" si="121"/>
        <v>Yes</v>
      </c>
      <c r="L1926" s="2" t="str">
        <f t="shared" si="123"/>
        <v>No</v>
      </c>
      <c r="M1926" s="2">
        <f t="shared" si="122"/>
        <v>0</v>
      </c>
    </row>
    <row r="1927" spans="1:13" x14ac:dyDescent="0.3">
      <c r="A1927" s="5" t="s">
        <v>4556</v>
      </c>
      <c r="B1927" s="5" t="s">
        <v>2076</v>
      </c>
      <c r="C1927" s="5" t="s">
        <v>2608</v>
      </c>
      <c r="D1927" s="6">
        <v>45950</v>
      </c>
      <c r="E1927" s="6">
        <v>45953</v>
      </c>
      <c r="F1927" s="6">
        <v>45963</v>
      </c>
      <c r="G1927" s="5" t="s">
        <v>2629</v>
      </c>
      <c r="H1927" s="5">
        <v>14</v>
      </c>
      <c r="I1927" s="5">
        <f>IFERROR(INDEX(Raw_Orders!H1927:H4355,MATCH(B1927,Raw_Orders!A1927:A4355,0)),0)</f>
        <v>15</v>
      </c>
      <c r="J1927" s="5" t="str">
        <f t="shared" si="120"/>
        <v>No</v>
      </c>
      <c r="K1927" s="5" t="str">
        <f t="shared" si="121"/>
        <v>N0</v>
      </c>
      <c r="L1927" s="5" t="str">
        <f t="shared" si="123"/>
        <v>No</v>
      </c>
      <c r="M1927" s="5">
        <f t="shared" si="122"/>
        <v>0</v>
      </c>
    </row>
    <row r="1928" spans="1:13" x14ac:dyDescent="0.3">
      <c r="A1928" s="2" t="s">
        <v>4557</v>
      </c>
      <c r="B1928" s="2" t="s">
        <v>2077</v>
      </c>
      <c r="C1928" s="2" t="s">
        <v>2598</v>
      </c>
      <c r="D1928" s="3">
        <v>45951</v>
      </c>
      <c r="E1928" s="3">
        <v>45956</v>
      </c>
      <c r="F1928" s="3">
        <v>45968</v>
      </c>
      <c r="G1928" s="2" t="s">
        <v>2631</v>
      </c>
      <c r="H1928" s="2">
        <v>23</v>
      </c>
      <c r="I1928" s="2">
        <f>IFERROR(INDEX(Raw_Orders!H1928:H4356,MATCH(B1928,Raw_Orders!A1928:A4356,0)),0)</f>
        <v>23</v>
      </c>
      <c r="J1928" s="2" t="str">
        <f t="shared" si="120"/>
        <v>No</v>
      </c>
      <c r="K1928" s="2" t="str">
        <f t="shared" si="121"/>
        <v>Yes</v>
      </c>
      <c r="L1928" s="2" t="str">
        <f t="shared" si="123"/>
        <v>No</v>
      </c>
      <c r="M1928" s="2">
        <f t="shared" si="122"/>
        <v>0</v>
      </c>
    </row>
    <row r="1929" spans="1:13" x14ac:dyDescent="0.3">
      <c r="A1929" s="5" t="s">
        <v>4558</v>
      </c>
      <c r="B1929" s="5" t="s">
        <v>2078</v>
      </c>
      <c r="C1929" s="5" t="s">
        <v>2601</v>
      </c>
      <c r="D1929" s="6">
        <v>45950</v>
      </c>
      <c r="E1929" s="6">
        <v>45957</v>
      </c>
      <c r="F1929" s="6">
        <v>45956</v>
      </c>
      <c r="G1929" s="5" t="s">
        <v>2633</v>
      </c>
      <c r="H1929" s="5">
        <v>14</v>
      </c>
      <c r="I1929" s="5">
        <f>IFERROR(INDEX(Raw_Orders!H1929:H4357,MATCH(B1929,Raw_Orders!A1929:A4357,0)),0)</f>
        <v>14</v>
      </c>
      <c r="J1929" s="5" t="str">
        <f t="shared" si="120"/>
        <v>Yes</v>
      </c>
      <c r="K1929" s="5" t="str">
        <f t="shared" si="121"/>
        <v>Yes</v>
      </c>
      <c r="L1929" s="5" t="str">
        <f t="shared" si="123"/>
        <v>Yes</v>
      </c>
      <c r="M1929" s="5">
        <f t="shared" si="122"/>
        <v>1</v>
      </c>
    </row>
    <row r="1930" spans="1:13" x14ac:dyDescent="0.3">
      <c r="A1930" s="2" t="s">
        <v>4559</v>
      </c>
      <c r="B1930" s="2" t="s">
        <v>2079</v>
      </c>
      <c r="C1930" s="2" t="s">
        <v>2614</v>
      </c>
      <c r="D1930" s="3">
        <v>45951</v>
      </c>
      <c r="E1930" s="3">
        <v>45960</v>
      </c>
      <c r="F1930" s="3">
        <v>45964</v>
      </c>
      <c r="G1930" s="2" t="s">
        <v>2633</v>
      </c>
      <c r="H1930" s="2">
        <v>13</v>
      </c>
      <c r="I1930" s="2">
        <f>IFERROR(INDEX(Raw_Orders!H1930:H4358,MATCH(B1930,Raw_Orders!A1930:A4358,0)),0)</f>
        <v>13</v>
      </c>
      <c r="J1930" s="2" t="str">
        <f t="shared" si="120"/>
        <v>No</v>
      </c>
      <c r="K1930" s="2" t="str">
        <f t="shared" si="121"/>
        <v>Yes</v>
      </c>
      <c r="L1930" s="2" t="str">
        <f t="shared" si="123"/>
        <v>No</v>
      </c>
      <c r="M1930" s="2">
        <f t="shared" si="122"/>
        <v>0</v>
      </c>
    </row>
    <row r="1931" spans="1:13" x14ac:dyDescent="0.3">
      <c r="A1931" s="5" t="s">
        <v>4560</v>
      </c>
      <c r="B1931" s="5" t="s">
        <v>2080</v>
      </c>
      <c r="C1931" s="5" t="s">
        <v>2616</v>
      </c>
      <c r="D1931" s="6">
        <v>45950</v>
      </c>
      <c r="E1931" s="6">
        <v>45959</v>
      </c>
      <c r="F1931" s="6">
        <v>45965</v>
      </c>
      <c r="G1931" s="5" t="s">
        <v>2633</v>
      </c>
      <c r="H1931" s="5">
        <v>17</v>
      </c>
      <c r="I1931" s="5">
        <f>IFERROR(INDEX(Raw_Orders!H1931:H4359,MATCH(B1931,Raw_Orders!A1931:A4359,0)),0)</f>
        <v>17</v>
      </c>
      <c r="J1931" s="5" t="str">
        <f t="shared" si="120"/>
        <v>No</v>
      </c>
      <c r="K1931" s="5" t="str">
        <f t="shared" si="121"/>
        <v>Yes</v>
      </c>
      <c r="L1931" s="5" t="str">
        <f t="shared" si="123"/>
        <v>No</v>
      </c>
      <c r="M1931" s="5">
        <f t="shared" si="122"/>
        <v>0</v>
      </c>
    </row>
    <row r="1932" spans="1:13" x14ac:dyDescent="0.3">
      <c r="A1932" s="2" t="s">
        <v>4561</v>
      </c>
      <c r="B1932" s="2" t="s">
        <v>2081</v>
      </c>
      <c r="C1932" s="2" t="s">
        <v>2614</v>
      </c>
      <c r="D1932" s="3">
        <v>45951</v>
      </c>
      <c r="E1932" s="3">
        <v>45957</v>
      </c>
      <c r="F1932" s="3">
        <v>45965</v>
      </c>
      <c r="G1932" s="2" t="s">
        <v>2629</v>
      </c>
      <c r="H1932" s="2">
        <v>24</v>
      </c>
      <c r="I1932" s="2">
        <f>IFERROR(INDEX(Raw_Orders!H1932:H4360,MATCH(B1932,Raw_Orders!A1932:A4360,0)),0)</f>
        <v>24</v>
      </c>
      <c r="J1932" s="2" t="str">
        <f t="shared" si="120"/>
        <v>No</v>
      </c>
      <c r="K1932" s="2" t="str">
        <f t="shared" si="121"/>
        <v>Yes</v>
      </c>
      <c r="L1932" s="2" t="str">
        <f t="shared" si="123"/>
        <v>No</v>
      </c>
      <c r="M1932" s="2">
        <f t="shared" si="122"/>
        <v>0</v>
      </c>
    </row>
    <row r="1933" spans="1:13" x14ac:dyDescent="0.3">
      <c r="A1933" s="5" t="s">
        <v>4562</v>
      </c>
      <c r="B1933" s="5" t="s">
        <v>2082</v>
      </c>
      <c r="C1933" s="5" t="s">
        <v>2604</v>
      </c>
      <c r="D1933" s="6">
        <v>45951</v>
      </c>
      <c r="E1933" s="6">
        <v>45958</v>
      </c>
      <c r="F1933" s="6">
        <v>45956</v>
      </c>
      <c r="G1933" s="5" t="s">
        <v>2633</v>
      </c>
      <c r="H1933" s="5">
        <v>39</v>
      </c>
      <c r="I1933" s="5">
        <f>IFERROR(INDEX(Raw_Orders!H1933:H4361,MATCH(B1933,Raw_Orders!A1933:A4361,0)),0)</f>
        <v>39</v>
      </c>
      <c r="J1933" s="5" t="str">
        <f t="shared" si="120"/>
        <v>Yes</v>
      </c>
      <c r="K1933" s="5" t="str">
        <f t="shared" si="121"/>
        <v>Yes</v>
      </c>
      <c r="L1933" s="5" t="str">
        <f t="shared" si="123"/>
        <v>Yes</v>
      </c>
      <c r="M1933" s="5">
        <f t="shared" si="122"/>
        <v>1</v>
      </c>
    </row>
    <row r="1934" spans="1:13" x14ac:dyDescent="0.3">
      <c r="A1934" s="2" t="s">
        <v>4563</v>
      </c>
      <c r="B1934" s="2" t="s">
        <v>2083</v>
      </c>
      <c r="C1934" s="2" t="s">
        <v>2606</v>
      </c>
      <c r="D1934" s="3">
        <v>45951</v>
      </c>
      <c r="E1934" s="3">
        <v>45959</v>
      </c>
      <c r="F1934" s="3">
        <v>45956</v>
      </c>
      <c r="G1934" s="2" t="s">
        <v>2627</v>
      </c>
      <c r="H1934" s="2">
        <v>35</v>
      </c>
      <c r="I1934" s="2">
        <f>IFERROR(INDEX(Raw_Orders!H1934:H4362,MATCH(B1934,Raw_Orders!A1934:A4362,0)),0)</f>
        <v>43</v>
      </c>
      <c r="J1934" s="2" t="str">
        <f t="shared" si="120"/>
        <v>Yes</v>
      </c>
      <c r="K1934" s="2" t="str">
        <f t="shared" si="121"/>
        <v>N0</v>
      </c>
      <c r="L1934" s="2" t="str">
        <f t="shared" si="123"/>
        <v>No</v>
      </c>
      <c r="M1934" s="2">
        <f t="shared" si="122"/>
        <v>0</v>
      </c>
    </row>
    <row r="1935" spans="1:13" x14ac:dyDescent="0.3">
      <c r="A1935" s="5" t="s">
        <v>4564</v>
      </c>
      <c r="B1935" s="5" t="s">
        <v>2084</v>
      </c>
      <c r="C1935" s="5" t="s">
        <v>2608</v>
      </c>
      <c r="D1935" s="6">
        <v>45951</v>
      </c>
      <c r="E1935" s="6">
        <v>45958</v>
      </c>
      <c r="F1935" s="6">
        <v>45964</v>
      </c>
      <c r="G1935" s="5" t="s">
        <v>2633</v>
      </c>
      <c r="H1935" s="5">
        <v>38</v>
      </c>
      <c r="I1935" s="5">
        <f>IFERROR(INDEX(Raw_Orders!H1935:H4363,MATCH(B1935,Raw_Orders!A1935:A4363,0)),0)</f>
        <v>38</v>
      </c>
      <c r="J1935" s="5" t="str">
        <f t="shared" si="120"/>
        <v>No</v>
      </c>
      <c r="K1935" s="5" t="str">
        <f t="shared" si="121"/>
        <v>Yes</v>
      </c>
      <c r="L1935" s="5" t="str">
        <f t="shared" si="123"/>
        <v>No</v>
      </c>
      <c r="M1935" s="5">
        <f t="shared" si="122"/>
        <v>0</v>
      </c>
    </row>
    <row r="1936" spans="1:13" x14ac:dyDescent="0.3">
      <c r="A1936" s="2" t="s">
        <v>4565</v>
      </c>
      <c r="B1936" s="2" t="s">
        <v>2085</v>
      </c>
      <c r="C1936" s="2" t="s">
        <v>2608</v>
      </c>
      <c r="D1936" s="3">
        <v>45952</v>
      </c>
      <c r="E1936" s="3">
        <v>45958</v>
      </c>
      <c r="F1936" s="3">
        <v>45965</v>
      </c>
      <c r="G1936" s="2" t="s">
        <v>2627</v>
      </c>
      <c r="H1936" s="2">
        <v>8</v>
      </c>
      <c r="I1936" s="2">
        <f>IFERROR(INDEX(Raw_Orders!H1936:H4364,MATCH(B1936,Raw_Orders!A1936:A4364,0)),0)</f>
        <v>8</v>
      </c>
      <c r="J1936" s="2" t="str">
        <f t="shared" si="120"/>
        <v>No</v>
      </c>
      <c r="K1936" s="2" t="str">
        <f t="shared" si="121"/>
        <v>Yes</v>
      </c>
      <c r="L1936" s="2" t="str">
        <f t="shared" si="123"/>
        <v>No</v>
      </c>
      <c r="M1936" s="2">
        <f t="shared" si="122"/>
        <v>0</v>
      </c>
    </row>
    <row r="1937" spans="1:13" x14ac:dyDescent="0.3">
      <c r="A1937" s="5" t="s">
        <v>4566</v>
      </c>
      <c r="B1937" s="5" t="s">
        <v>2086</v>
      </c>
      <c r="C1937" s="5" t="s">
        <v>2611</v>
      </c>
      <c r="D1937" s="6">
        <v>45953</v>
      </c>
      <c r="E1937" s="6">
        <v>45960</v>
      </c>
      <c r="F1937" s="6">
        <v>45960</v>
      </c>
      <c r="G1937" s="5" t="s">
        <v>2641</v>
      </c>
      <c r="H1937" s="5">
        <v>29</v>
      </c>
      <c r="I1937" s="5">
        <f>IFERROR(INDEX(Raw_Orders!H1937:H4365,MATCH(B1937,Raw_Orders!A1937:A4365,0)),0)</f>
        <v>29</v>
      </c>
      <c r="J1937" s="5" t="str">
        <f t="shared" si="120"/>
        <v>Yes</v>
      </c>
      <c r="K1937" s="5" t="str">
        <f t="shared" si="121"/>
        <v>Yes</v>
      </c>
      <c r="L1937" s="5" t="str">
        <f t="shared" si="123"/>
        <v>Yes</v>
      </c>
      <c r="M1937" s="5">
        <f t="shared" si="122"/>
        <v>1</v>
      </c>
    </row>
    <row r="1938" spans="1:13" x14ac:dyDescent="0.3">
      <c r="A1938" s="2" t="s">
        <v>4567</v>
      </c>
      <c r="B1938" s="2" t="s">
        <v>2087</v>
      </c>
      <c r="C1938" s="2" t="s">
        <v>2598</v>
      </c>
      <c r="D1938" s="3">
        <v>45952</v>
      </c>
      <c r="E1938" s="3">
        <v>45956</v>
      </c>
      <c r="F1938" s="3">
        <v>45966</v>
      </c>
      <c r="G1938" s="2" t="s">
        <v>2633</v>
      </c>
      <c r="H1938" s="2">
        <v>52</v>
      </c>
      <c r="I1938" s="2">
        <f>IFERROR(INDEX(Raw_Orders!H1938:H4366,MATCH(B1938,Raw_Orders!A1938:A4366,0)),0)</f>
        <v>52</v>
      </c>
      <c r="J1938" s="2" t="str">
        <f t="shared" si="120"/>
        <v>No</v>
      </c>
      <c r="K1938" s="2" t="str">
        <f t="shared" si="121"/>
        <v>Yes</v>
      </c>
      <c r="L1938" s="2" t="str">
        <f t="shared" si="123"/>
        <v>No</v>
      </c>
      <c r="M1938" s="2">
        <f t="shared" si="122"/>
        <v>0</v>
      </c>
    </row>
    <row r="1939" spans="1:13" x14ac:dyDescent="0.3">
      <c r="A1939" s="5" t="s">
        <v>4568</v>
      </c>
      <c r="B1939" s="5" t="s">
        <v>2088</v>
      </c>
      <c r="C1939" s="5" t="s">
        <v>2604</v>
      </c>
      <c r="D1939" s="6">
        <v>45954</v>
      </c>
      <c r="E1939" s="6">
        <v>45960</v>
      </c>
      <c r="F1939" s="6">
        <v>45958</v>
      </c>
      <c r="G1939" s="5" t="s">
        <v>2633</v>
      </c>
      <c r="H1939" s="5">
        <v>21</v>
      </c>
      <c r="I1939" s="5">
        <f>IFERROR(INDEX(Raw_Orders!H1939:H4367,MATCH(B1939,Raw_Orders!A1939:A4367,0)),0)</f>
        <v>21</v>
      </c>
      <c r="J1939" s="5" t="str">
        <f t="shared" si="120"/>
        <v>Yes</v>
      </c>
      <c r="K1939" s="5" t="str">
        <f t="shared" si="121"/>
        <v>Yes</v>
      </c>
      <c r="L1939" s="5" t="str">
        <f t="shared" si="123"/>
        <v>Yes</v>
      </c>
      <c r="M1939" s="5">
        <f t="shared" si="122"/>
        <v>1</v>
      </c>
    </row>
    <row r="1940" spans="1:13" x14ac:dyDescent="0.3">
      <c r="A1940" s="2" t="s">
        <v>4569</v>
      </c>
      <c r="B1940" s="2" t="s">
        <v>2089</v>
      </c>
      <c r="C1940" s="2" t="s">
        <v>2616</v>
      </c>
      <c r="D1940" s="3">
        <v>45952</v>
      </c>
      <c r="E1940" s="3">
        <v>45958</v>
      </c>
      <c r="F1940" s="3">
        <v>45971</v>
      </c>
      <c r="G1940" s="2" t="s">
        <v>2627</v>
      </c>
      <c r="H1940" s="2">
        <v>78</v>
      </c>
      <c r="I1940" s="2">
        <f>IFERROR(INDEX(Raw_Orders!H1940:H4368,MATCH(B1940,Raw_Orders!A1940:A4368,0)),0)</f>
        <v>78</v>
      </c>
      <c r="J1940" s="2" t="str">
        <f t="shared" si="120"/>
        <v>No</v>
      </c>
      <c r="K1940" s="2" t="str">
        <f t="shared" si="121"/>
        <v>Yes</v>
      </c>
      <c r="L1940" s="2" t="str">
        <f t="shared" si="123"/>
        <v>No</v>
      </c>
      <c r="M1940" s="2">
        <f t="shared" si="122"/>
        <v>0</v>
      </c>
    </row>
    <row r="1941" spans="1:13" x14ac:dyDescent="0.3">
      <c r="A1941" s="5" t="s">
        <v>4570</v>
      </c>
      <c r="B1941" s="5" t="s">
        <v>2090</v>
      </c>
      <c r="C1941" s="5" t="s">
        <v>2604</v>
      </c>
      <c r="D1941" s="6">
        <v>45952</v>
      </c>
      <c r="E1941" s="6">
        <v>45962</v>
      </c>
      <c r="F1941" s="6">
        <v>45958</v>
      </c>
      <c r="G1941" s="5" t="s">
        <v>2627</v>
      </c>
      <c r="H1941" s="5">
        <v>40</v>
      </c>
      <c r="I1941" s="5">
        <f>IFERROR(INDEX(Raw_Orders!H1941:H4369,MATCH(B1941,Raw_Orders!A1941:A4369,0)),0)</f>
        <v>46</v>
      </c>
      <c r="J1941" s="5" t="str">
        <f t="shared" si="120"/>
        <v>Yes</v>
      </c>
      <c r="K1941" s="5" t="str">
        <f t="shared" si="121"/>
        <v>N0</v>
      </c>
      <c r="L1941" s="5" t="str">
        <f t="shared" si="123"/>
        <v>No</v>
      </c>
      <c r="M1941" s="5">
        <f t="shared" si="122"/>
        <v>0</v>
      </c>
    </row>
    <row r="1942" spans="1:13" x14ac:dyDescent="0.3">
      <c r="A1942" s="2" t="s">
        <v>4571</v>
      </c>
      <c r="B1942" s="2" t="s">
        <v>2091</v>
      </c>
      <c r="C1942" s="2" t="s">
        <v>2606</v>
      </c>
      <c r="D1942" s="3">
        <v>45952</v>
      </c>
      <c r="E1942" s="3">
        <v>45958</v>
      </c>
      <c r="F1942" s="3">
        <v>45960</v>
      </c>
      <c r="G1942" s="2" t="s">
        <v>2627</v>
      </c>
      <c r="H1942" s="2">
        <v>69</v>
      </c>
      <c r="I1942" s="2">
        <f>IFERROR(INDEX(Raw_Orders!H1942:H4370,MATCH(B1942,Raw_Orders!A1942:A4370,0)),0)</f>
        <v>69</v>
      </c>
      <c r="J1942" s="2" t="str">
        <f t="shared" si="120"/>
        <v>No</v>
      </c>
      <c r="K1942" s="2" t="str">
        <f t="shared" si="121"/>
        <v>Yes</v>
      </c>
      <c r="L1942" s="2" t="str">
        <f t="shared" si="123"/>
        <v>No</v>
      </c>
      <c r="M1942" s="2">
        <f t="shared" si="122"/>
        <v>0</v>
      </c>
    </row>
    <row r="1943" spans="1:13" x14ac:dyDescent="0.3">
      <c r="A1943" s="5" t="s">
        <v>4572</v>
      </c>
      <c r="B1943" s="5" t="s">
        <v>2092</v>
      </c>
      <c r="C1943" s="5" t="s">
        <v>2606</v>
      </c>
      <c r="D1943" s="6">
        <v>45953</v>
      </c>
      <c r="E1943" s="6">
        <v>45961</v>
      </c>
      <c r="F1943" s="6">
        <v>45958</v>
      </c>
      <c r="G1943" s="5" t="s">
        <v>2629</v>
      </c>
      <c r="H1943" s="5">
        <v>24</v>
      </c>
      <c r="I1943" s="5">
        <f>IFERROR(INDEX(Raw_Orders!H1943:H4371,MATCH(B1943,Raw_Orders!A1943:A4371,0)),0)</f>
        <v>24</v>
      </c>
      <c r="J1943" s="5" t="str">
        <f t="shared" si="120"/>
        <v>Yes</v>
      </c>
      <c r="K1943" s="5" t="str">
        <f t="shared" si="121"/>
        <v>Yes</v>
      </c>
      <c r="L1943" s="5" t="str">
        <f t="shared" si="123"/>
        <v>Yes</v>
      </c>
      <c r="M1943" s="5">
        <f t="shared" si="122"/>
        <v>1</v>
      </c>
    </row>
    <row r="1944" spans="1:13" x14ac:dyDescent="0.3">
      <c r="A1944" s="2" t="s">
        <v>4573</v>
      </c>
      <c r="B1944" s="2" t="s">
        <v>2093</v>
      </c>
      <c r="C1944" s="2" t="s">
        <v>2608</v>
      </c>
      <c r="D1944" s="3">
        <v>45953</v>
      </c>
      <c r="E1944" s="3">
        <v>45956</v>
      </c>
      <c r="F1944" s="3">
        <v>45965</v>
      </c>
      <c r="G1944" s="2" t="s">
        <v>2627</v>
      </c>
      <c r="H1944" s="2">
        <v>11</v>
      </c>
      <c r="I1944" s="2">
        <f>IFERROR(INDEX(Raw_Orders!H1944:H4372,MATCH(B1944,Raw_Orders!A1944:A4372,0)),0)</f>
        <v>11</v>
      </c>
      <c r="J1944" s="2" t="str">
        <f t="shared" si="120"/>
        <v>No</v>
      </c>
      <c r="K1944" s="2" t="str">
        <f t="shared" si="121"/>
        <v>Yes</v>
      </c>
      <c r="L1944" s="2" t="str">
        <f t="shared" si="123"/>
        <v>No</v>
      </c>
      <c r="M1944" s="2">
        <f t="shared" si="122"/>
        <v>0</v>
      </c>
    </row>
    <row r="1945" spans="1:13" x14ac:dyDescent="0.3">
      <c r="A1945" s="5" t="s">
        <v>4574</v>
      </c>
      <c r="B1945" s="5" t="s">
        <v>2094</v>
      </c>
      <c r="C1945" s="5" t="s">
        <v>2608</v>
      </c>
      <c r="D1945" s="6">
        <v>45953</v>
      </c>
      <c r="E1945" s="6">
        <v>45962</v>
      </c>
      <c r="F1945" s="6">
        <v>45966</v>
      </c>
      <c r="G1945" s="5" t="s">
        <v>2641</v>
      </c>
      <c r="H1945" s="5">
        <v>10</v>
      </c>
      <c r="I1945" s="5">
        <f>IFERROR(INDEX(Raw_Orders!H1945:H4373,MATCH(B1945,Raw_Orders!A1945:A4373,0)),0)</f>
        <v>10</v>
      </c>
      <c r="J1945" s="5" t="str">
        <f t="shared" si="120"/>
        <v>No</v>
      </c>
      <c r="K1945" s="5" t="str">
        <f t="shared" si="121"/>
        <v>Yes</v>
      </c>
      <c r="L1945" s="5" t="str">
        <f t="shared" si="123"/>
        <v>No</v>
      </c>
      <c r="M1945" s="5">
        <f t="shared" si="122"/>
        <v>0</v>
      </c>
    </row>
    <row r="1946" spans="1:13" x14ac:dyDescent="0.3">
      <c r="A1946" s="2" t="s">
        <v>4575</v>
      </c>
      <c r="B1946" s="2" t="s">
        <v>2095</v>
      </c>
      <c r="C1946" s="2" t="s">
        <v>2611</v>
      </c>
      <c r="D1946" s="3">
        <v>45955</v>
      </c>
      <c r="E1946" s="3">
        <v>45961</v>
      </c>
      <c r="F1946" s="3">
        <v>45962</v>
      </c>
      <c r="G1946" s="2" t="s">
        <v>2633</v>
      </c>
      <c r="H1946" s="2">
        <v>29</v>
      </c>
      <c r="I1946" s="2">
        <f>IFERROR(INDEX(Raw_Orders!H1946:H4374,MATCH(B1946,Raw_Orders!A1946:A4374,0)),0)</f>
        <v>29</v>
      </c>
      <c r="J1946" s="2" t="str">
        <f t="shared" si="120"/>
        <v>No</v>
      </c>
      <c r="K1946" s="2" t="str">
        <f t="shared" si="121"/>
        <v>Yes</v>
      </c>
      <c r="L1946" s="2" t="str">
        <f t="shared" si="123"/>
        <v>No</v>
      </c>
      <c r="M1946" s="2">
        <f t="shared" si="122"/>
        <v>0</v>
      </c>
    </row>
    <row r="1947" spans="1:13" x14ac:dyDescent="0.3">
      <c r="A1947" s="5" t="s">
        <v>4576</v>
      </c>
      <c r="B1947" s="5" t="s">
        <v>2096</v>
      </c>
      <c r="C1947" s="5" t="s">
        <v>2601</v>
      </c>
      <c r="D1947" s="6">
        <v>45955</v>
      </c>
      <c r="E1947" s="6">
        <v>45962</v>
      </c>
      <c r="F1947" s="6">
        <v>45960</v>
      </c>
      <c r="G1947" s="5" t="s">
        <v>2633</v>
      </c>
      <c r="H1947" s="5">
        <v>66</v>
      </c>
      <c r="I1947" s="5">
        <f>IFERROR(INDEX(Raw_Orders!H1947:H4375,MATCH(B1947,Raw_Orders!A1947:A4375,0)),0)</f>
        <v>66</v>
      </c>
      <c r="J1947" s="5" t="str">
        <f t="shared" si="120"/>
        <v>Yes</v>
      </c>
      <c r="K1947" s="5" t="str">
        <f t="shared" si="121"/>
        <v>Yes</v>
      </c>
      <c r="L1947" s="5" t="str">
        <f t="shared" si="123"/>
        <v>Yes</v>
      </c>
      <c r="M1947" s="5">
        <f t="shared" si="122"/>
        <v>1</v>
      </c>
    </row>
    <row r="1948" spans="1:13" x14ac:dyDescent="0.3">
      <c r="A1948" s="2" t="s">
        <v>4577</v>
      </c>
      <c r="B1948" s="2" t="s">
        <v>2097</v>
      </c>
      <c r="C1948" s="2" t="s">
        <v>2616</v>
      </c>
      <c r="D1948" s="3">
        <v>45955</v>
      </c>
      <c r="E1948" s="3">
        <v>45957</v>
      </c>
      <c r="F1948" s="3">
        <v>45971</v>
      </c>
      <c r="G1948" s="2" t="s">
        <v>2631</v>
      </c>
      <c r="H1948" s="2">
        <v>14</v>
      </c>
      <c r="I1948" s="2">
        <f>IFERROR(INDEX(Raw_Orders!H1948:H4376,MATCH(B1948,Raw_Orders!A1948:A4376,0)),0)</f>
        <v>14</v>
      </c>
      <c r="J1948" s="2" t="str">
        <f t="shared" si="120"/>
        <v>No</v>
      </c>
      <c r="K1948" s="2" t="str">
        <f t="shared" si="121"/>
        <v>Yes</v>
      </c>
      <c r="L1948" s="2" t="str">
        <f t="shared" si="123"/>
        <v>No</v>
      </c>
      <c r="M1948" s="2">
        <f t="shared" si="122"/>
        <v>0</v>
      </c>
    </row>
    <row r="1949" spans="1:13" x14ac:dyDescent="0.3">
      <c r="A1949" s="5" t="s">
        <v>4578</v>
      </c>
      <c r="B1949" s="5" t="s">
        <v>2098</v>
      </c>
      <c r="C1949" s="5" t="s">
        <v>2616</v>
      </c>
      <c r="D1949" s="6">
        <v>45955</v>
      </c>
      <c r="E1949" s="6">
        <v>45957</v>
      </c>
      <c r="F1949" s="6">
        <v>45971</v>
      </c>
      <c r="G1949" s="5" t="s">
        <v>2627</v>
      </c>
      <c r="H1949" s="5">
        <v>61</v>
      </c>
      <c r="I1949" s="5">
        <f>IFERROR(INDEX(Raw_Orders!H1949:H4377,MATCH(B1949,Raw_Orders!A1949:A4377,0)),0)</f>
        <v>61</v>
      </c>
      <c r="J1949" s="5" t="str">
        <f t="shared" si="120"/>
        <v>No</v>
      </c>
      <c r="K1949" s="5" t="str">
        <f t="shared" si="121"/>
        <v>Yes</v>
      </c>
      <c r="L1949" s="5" t="str">
        <f t="shared" si="123"/>
        <v>No</v>
      </c>
      <c r="M1949" s="5">
        <f t="shared" si="122"/>
        <v>0</v>
      </c>
    </row>
    <row r="1950" spans="1:13" x14ac:dyDescent="0.3">
      <c r="A1950" s="2" t="s">
        <v>4579</v>
      </c>
      <c r="B1950" s="2" t="s">
        <v>2099</v>
      </c>
      <c r="C1950" s="2" t="s">
        <v>2606</v>
      </c>
      <c r="D1950" s="3">
        <v>45954</v>
      </c>
      <c r="E1950" s="3">
        <v>45961</v>
      </c>
      <c r="F1950" s="3">
        <v>45961</v>
      </c>
      <c r="G1950" s="2" t="s">
        <v>2631</v>
      </c>
      <c r="H1950" s="2">
        <v>74</v>
      </c>
      <c r="I1950" s="2">
        <f>IFERROR(INDEX(Raw_Orders!H1950:H4378,MATCH(B1950,Raw_Orders!A1950:A4378,0)),0)</f>
        <v>74</v>
      </c>
      <c r="J1950" s="2" t="str">
        <f t="shared" si="120"/>
        <v>Yes</v>
      </c>
      <c r="K1950" s="2" t="str">
        <f t="shared" si="121"/>
        <v>Yes</v>
      </c>
      <c r="L1950" s="2" t="str">
        <f t="shared" si="123"/>
        <v>Yes</v>
      </c>
      <c r="M1950" s="2">
        <f t="shared" si="122"/>
        <v>1</v>
      </c>
    </row>
    <row r="1951" spans="1:13" x14ac:dyDescent="0.3">
      <c r="A1951" s="5" t="s">
        <v>4580</v>
      </c>
      <c r="B1951" s="5" t="s">
        <v>2100</v>
      </c>
      <c r="C1951" s="5" t="s">
        <v>2606</v>
      </c>
      <c r="D1951" s="6">
        <v>45953</v>
      </c>
      <c r="E1951" s="6">
        <v>45956</v>
      </c>
      <c r="F1951" s="6">
        <v>45958</v>
      </c>
      <c r="G1951" s="5" t="s">
        <v>2631</v>
      </c>
      <c r="H1951" s="5">
        <v>28</v>
      </c>
      <c r="I1951" s="5">
        <f>IFERROR(INDEX(Raw_Orders!H1951:H4379,MATCH(B1951,Raw_Orders!A1951:A4379,0)),0)</f>
        <v>28</v>
      </c>
      <c r="J1951" s="5" t="str">
        <f t="shared" si="120"/>
        <v>No</v>
      </c>
      <c r="K1951" s="5" t="str">
        <f t="shared" si="121"/>
        <v>Yes</v>
      </c>
      <c r="L1951" s="5" t="str">
        <f t="shared" si="123"/>
        <v>No</v>
      </c>
      <c r="M1951" s="5">
        <f t="shared" si="122"/>
        <v>0</v>
      </c>
    </row>
    <row r="1952" spans="1:13" x14ac:dyDescent="0.3">
      <c r="A1952" s="2" t="s">
        <v>4581</v>
      </c>
      <c r="B1952" s="2" t="s">
        <v>2101</v>
      </c>
      <c r="C1952" s="2" t="s">
        <v>2608</v>
      </c>
      <c r="D1952" s="3">
        <v>45954</v>
      </c>
      <c r="E1952" s="3">
        <v>45959</v>
      </c>
      <c r="F1952" s="3">
        <v>45967</v>
      </c>
      <c r="G1952" s="2" t="s">
        <v>2629</v>
      </c>
      <c r="H1952" s="2">
        <v>29</v>
      </c>
      <c r="I1952" s="2">
        <f>IFERROR(INDEX(Raw_Orders!H1952:H4380,MATCH(B1952,Raw_Orders!A1952:A4380,0)),0)</f>
        <v>29</v>
      </c>
      <c r="J1952" s="2" t="str">
        <f t="shared" si="120"/>
        <v>No</v>
      </c>
      <c r="K1952" s="2" t="str">
        <f t="shared" si="121"/>
        <v>Yes</v>
      </c>
      <c r="L1952" s="2" t="str">
        <f t="shared" si="123"/>
        <v>No</v>
      </c>
      <c r="M1952" s="2">
        <f t="shared" si="122"/>
        <v>0</v>
      </c>
    </row>
    <row r="1953" spans="1:13" x14ac:dyDescent="0.3">
      <c r="A1953" s="5" t="s">
        <v>4582</v>
      </c>
      <c r="B1953" s="5" t="s">
        <v>2102</v>
      </c>
      <c r="C1953" s="5" t="s">
        <v>2608</v>
      </c>
      <c r="D1953" s="6">
        <v>45954</v>
      </c>
      <c r="E1953" s="6">
        <v>45962</v>
      </c>
      <c r="F1953" s="6">
        <v>45967</v>
      </c>
      <c r="G1953" s="5" t="s">
        <v>2627</v>
      </c>
      <c r="H1953" s="5">
        <v>8</v>
      </c>
      <c r="I1953" s="5">
        <f>IFERROR(INDEX(Raw_Orders!H1953:H4381,MATCH(B1953,Raw_Orders!A1953:A4381,0)),0)</f>
        <v>8</v>
      </c>
      <c r="J1953" s="5" t="str">
        <f t="shared" si="120"/>
        <v>No</v>
      </c>
      <c r="K1953" s="5" t="str">
        <f t="shared" si="121"/>
        <v>Yes</v>
      </c>
      <c r="L1953" s="5" t="str">
        <f t="shared" si="123"/>
        <v>No</v>
      </c>
      <c r="M1953" s="5">
        <f t="shared" si="122"/>
        <v>0</v>
      </c>
    </row>
    <row r="1954" spans="1:13" x14ac:dyDescent="0.3">
      <c r="A1954" s="2" t="s">
        <v>4583</v>
      </c>
      <c r="B1954" s="2" t="s">
        <v>2103</v>
      </c>
      <c r="C1954" s="2" t="s">
        <v>2608</v>
      </c>
      <c r="D1954" s="3">
        <v>45953</v>
      </c>
      <c r="E1954" s="3">
        <v>45958</v>
      </c>
      <c r="F1954" s="3">
        <v>45966</v>
      </c>
      <c r="G1954" s="2" t="s">
        <v>2633</v>
      </c>
      <c r="H1954" s="2">
        <v>20</v>
      </c>
      <c r="I1954" s="2">
        <f>IFERROR(INDEX(Raw_Orders!H1954:H4382,MATCH(B1954,Raw_Orders!A1954:A4382,0)),0)</f>
        <v>20</v>
      </c>
      <c r="J1954" s="2" t="str">
        <f t="shared" si="120"/>
        <v>No</v>
      </c>
      <c r="K1954" s="2" t="str">
        <f t="shared" si="121"/>
        <v>Yes</v>
      </c>
      <c r="L1954" s="2" t="str">
        <f t="shared" si="123"/>
        <v>No</v>
      </c>
      <c r="M1954" s="2">
        <f t="shared" si="122"/>
        <v>0</v>
      </c>
    </row>
    <row r="1955" spans="1:13" x14ac:dyDescent="0.3">
      <c r="A1955" s="5" t="s">
        <v>4584</v>
      </c>
      <c r="B1955" s="5" t="s">
        <v>2104</v>
      </c>
      <c r="C1955" s="5" t="s">
        <v>2611</v>
      </c>
      <c r="D1955" s="6">
        <v>45954</v>
      </c>
      <c r="E1955" s="6">
        <v>45960</v>
      </c>
      <c r="F1955" s="6">
        <v>45961</v>
      </c>
      <c r="G1955" s="5" t="s">
        <v>2627</v>
      </c>
      <c r="H1955" s="5">
        <v>14</v>
      </c>
      <c r="I1955" s="5">
        <f>IFERROR(INDEX(Raw_Orders!H1955:H4383,MATCH(B1955,Raw_Orders!A1955:A4383,0)),0)</f>
        <v>14</v>
      </c>
      <c r="J1955" s="5" t="str">
        <f t="shared" si="120"/>
        <v>No</v>
      </c>
      <c r="K1955" s="5" t="str">
        <f t="shared" si="121"/>
        <v>Yes</v>
      </c>
      <c r="L1955" s="5" t="str">
        <f t="shared" si="123"/>
        <v>No</v>
      </c>
      <c r="M1955" s="5">
        <f t="shared" si="122"/>
        <v>0</v>
      </c>
    </row>
    <row r="1956" spans="1:13" x14ac:dyDescent="0.3">
      <c r="A1956" s="2" t="s">
        <v>4585</v>
      </c>
      <c r="B1956" s="2" t="s">
        <v>2105</v>
      </c>
      <c r="C1956" s="2" t="s">
        <v>2614</v>
      </c>
      <c r="D1956" s="3">
        <v>45955</v>
      </c>
      <c r="E1956" s="3">
        <v>45962</v>
      </c>
      <c r="F1956" s="3">
        <v>45968</v>
      </c>
      <c r="G1956" s="2" t="s">
        <v>2633</v>
      </c>
      <c r="H1956" s="2">
        <v>25</v>
      </c>
      <c r="I1956" s="2">
        <f>IFERROR(INDEX(Raw_Orders!H1956:H4384,MATCH(B1956,Raw_Orders!A1956:A4384,0)),0)</f>
        <v>25</v>
      </c>
      <c r="J1956" s="2" t="str">
        <f t="shared" si="120"/>
        <v>No</v>
      </c>
      <c r="K1956" s="2" t="str">
        <f t="shared" si="121"/>
        <v>Yes</v>
      </c>
      <c r="L1956" s="2" t="str">
        <f t="shared" si="123"/>
        <v>No</v>
      </c>
      <c r="M1956" s="2">
        <f t="shared" si="122"/>
        <v>0</v>
      </c>
    </row>
    <row r="1957" spans="1:13" x14ac:dyDescent="0.3">
      <c r="A1957" s="5" t="s">
        <v>4586</v>
      </c>
      <c r="B1957" s="5" t="s">
        <v>2106</v>
      </c>
      <c r="C1957" s="5" t="s">
        <v>2614</v>
      </c>
      <c r="D1957" s="6">
        <v>45954</v>
      </c>
      <c r="E1957" s="6">
        <v>45959</v>
      </c>
      <c r="F1957" s="6">
        <v>45970</v>
      </c>
      <c r="G1957" s="5" t="s">
        <v>2627</v>
      </c>
      <c r="H1957" s="5">
        <v>21</v>
      </c>
      <c r="I1957" s="5">
        <f>IFERROR(INDEX(Raw_Orders!H1957:H4385,MATCH(B1957,Raw_Orders!A1957:A4385,0)),0)</f>
        <v>26</v>
      </c>
      <c r="J1957" s="5" t="str">
        <f t="shared" si="120"/>
        <v>No</v>
      </c>
      <c r="K1957" s="5" t="str">
        <f t="shared" si="121"/>
        <v>N0</v>
      </c>
      <c r="L1957" s="5" t="str">
        <f t="shared" si="123"/>
        <v>No</v>
      </c>
      <c r="M1957" s="5">
        <f t="shared" si="122"/>
        <v>0</v>
      </c>
    </row>
    <row r="1958" spans="1:13" x14ac:dyDescent="0.3">
      <c r="A1958" s="2" t="s">
        <v>4587</v>
      </c>
      <c r="B1958" s="2" t="s">
        <v>2107</v>
      </c>
      <c r="C1958" s="2" t="s">
        <v>2606</v>
      </c>
      <c r="D1958" s="3">
        <v>45954</v>
      </c>
      <c r="E1958" s="3">
        <v>45960</v>
      </c>
      <c r="F1958" s="3">
        <v>45959</v>
      </c>
      <c r="G1958" s="2" t="s">
        <v>2629</v>
      </c>
      <c r="H1958" s="2">
        <v>60</v>
      </c>
      <c r="I1958" s="2">
        <f>IFERROR(INDEX(Raw_Orders!H1958:H4386,MATCH(B1958,Raw_Orders!A1958:A4386,0)),0)</f>
        <v>60</v>
      </c>
      <c r="J1958" s="2" t="str">
        <f t="shared" si="120"/>
        <v>Yes</v>
      </c>
      <c r="K1958" s="2" t="str">
        <f t="shared" si="121"/>
        <v>Yes</v>
      </c>
      <c r="L1958" s="2" t="str">
        <f t="shared" si="123"/>
        <v>Yes</v>
      </c>
      <c r="M1958" s="2">
        <f t="shared" si="122"/>
        <v>1</v>
      </c>
    </row>
    <row r="1959" spans="1:13" x14ac:dyDescent="0.3">
      <c r="A1959" s="5" t="s">
        <v>4588</v>
      </c>
      <c r="B1959" s="5" t="s">
        <v>2108</v>
      </c>
      <c r="C1959" s="5" t="s">
        <v>2606</v>
      </c>
      <c r="D1959" s="6">
        <v>45954</v>
      </c>
      <c r="E1959" s="6">
        <v>45964</v>
      </c>
      <c r="F1959" s="6">
        <v>45960</v>
      </c>
      <c r="G1959" s="5" t="s">
        <v>2633</v>
      </c>
      <c r="H1959" s="5">
        <v>31</v>
      </c>
      <c r="I1959" s="5">
        <f>IFERROR(INDEX(Raw_Orders!H1959:H4387,MATCH(B1959,Raw_Orders!A1959:A4387,0)),0)</f>
        <v>39</v>
      </c>
      <c r="J1959" s="5" t="str">
        <f t="shared" si="120"/>
        <v>Yes</v>
      </c>
      <c r="K1959" s="5" t="str">
        <f t="shared" si="121"/>
        <v>N0</v>
      </c>
      <c r="L1959" s="5" t="str">
        <f t="shared" si="123"/>
        <v>No</v>
      </c>
      <c r="M1959" s="5">
        <f t="shared" si="122"/>
        <v>0</v>
      </c>
    </row>
    <row r="1960" spans="1:13" x14ac:dyDescent="0.3">
      <c r="A1960" s="2" t="s">
        <v>4589</v>
      </c>
      <c r="B1960" s="2" t="s">
        <v>2109</v>
      </c>
      <c r="C1960" s="2" t="s">
        <v>2608</v>
      </c>
      <c r="D1960" s="3">
        <v>45954</v>
      </c>
      <c r="E1960" s="3">
        <v>45961</v>
      </c>
      <c r="F1960" s="3">
        <v>45969</v>
      </c>
      <c r="G1960" s="2" t="s">
        <v>2629</v>
      </c>
      <c r="H1960" s="2">
        <v>6</v>
      </c>
      <c r="I1960" s="2">
        <f>IFERROR(INDEX(Raw_Orders!H1960:H4388,MATCH(B1960,Raw_Orders!A1960:A4388,0)),0)</f>
        <v>6</v>
      </c>
      <c r="J1960" s="2" t="str">
        <f t="shared" si="120"/>
        <v>No</v>
      </c>
      <c r="K1960" s="2" t="str">
        <f t="shared" si="121"/>
        <v>Yes</v>
      </c>
      <c r="L1960" s="2" t="str">
        <f t="shared" si="123"/>
        <v>No</v>
      </c>
      <c r="M1960" s="2">
        <f t="shared" si="122"/>
        <v>0</v>
      </c>
    </row>
    <row r="1961" spans="1:13" x14ac:dyDescent="0.3">
      <c r="A1961" s="5" t="s">
        <v>4590</v>
      </c>
      <c r="B1961" s="5" t="s">
        <v>2110</v>
      </c>
      <c r="C1961" s="5" t="s">
        <v>2611</v>
      </c>
      <c r="D1961" s="6">
        <v>45957</v>
      </c>
      <c r="E1961" s="6">
        <v>45963</v>
      </c>
      <c r="F1961" s="6">
        <v>45965</v>
      </c>
      <c r="G1961" s="5" t="s">
        <v>2633</v>
      </c>
      <c r="H1961" s="5">
        <v>10</v>
      </c>
      <c r="I1961" s="5">
        <f>IFERROR(INDEX(Raw_Orders!H1961:H4389,MATCH(B1961,Raw_Orders!A1961:A4389,0)),0)</f>
        <v>15</v>
      </c>
      <c r="J1961" s="5" t="str">
        <f t="shared" si="120"/>
        <v>No</v>
      </c>
      <c r="K1961" s="5" t="str">
        <f t="shared" si="121"/>
        <v>N0</v>
      </c>
      <c r="L1961" s="5" t="str">
        <f t="shared" si="123"/>
        <v>No</v>
      </c>
      <c r="M1961" s="5">
        <f t="shared" si="122"/>
        <v>0</v>
      </c>
    </row>
    <row r="1962" spans="1:13" x14ac:dyDescent="0.3">
      <c r="A1962" s="2" t="s">
        <v>4591</v>
      </c>
      <c r="B1962" s="2" t="s">
        <v>2111</v>
      </c>
      <c r="C1962" s="2" t="s">
        <v>2614</v>
      </c>
      <c r="D1962" s="3">
        <v>45955</v>
      </c>
      <c r="E1962" s="3">
        <v>45961</v>
      </c>
      <c r="F1962" s="3">
        <v>45970</v>
      </c>
      <c r="G1962" s="2" t="s">
        <v>2629</v>
      </c>
      <c r="H1962" s="2">
        <v>3</v>
      </c>
      <c r="I1962" s="2">
        <f>IFERROR(INDEX(Raw_Orders!H1962:H4390,MATCH(B1962,Raw_Orders!A1962:A4390,0)),0)</f>
        <v>11</v>
      </c>
      <c r="J1962" s="2" t="str">
        <f t="shared" si="120"/>
        <v>No</v>
      </c>
      <c r="K1962" s="2" t="str">
        <f t="shared" si="121"/>
        <v>N0</v>
      </c>
      <c r="L1962" s="2" t="str">
        <f t="shared" si="123"/>
        <v>No</v>
      </c>
      <c r="M1962" s="2">
        <f t="shared" si="122"/>
        <v>0</v>
      </c>
    </row>
    <row r="1963" spans="1:13" x14ac:dyDescent="0.3">
      <c r="A1963" s="5" t="s">
        <v>4592</v>
      </c>
      <c r="B1963" s="5" t="s">
        <v>2112</v>
      </c>
      <c r="C1963" s="5" t="s">
        <v>2604</v>
      </c>
      <c r="D1963" s="6">
        <v>45955</v>
      </c>
      <c r="E1963" s="6">
        <v>45959</v>
      </c>
      <c r="F1963" s="6">
        <v>45960</v>
      </c>
      <c r="G1963" s="5" t="s">
        <v>2633</v>
      </c>
      <c r="H1963" s="5">
        <v>51</v>
      </c>
      <c r="I1963" s="5">
        <f>IFERROR(INDEX(Raw_Orders!H1963:H4391,MATCH(B1963,Raw_Orders!A1963:A4391,0)),0)</f>
        <v>51</v>
      </c>
      <c r="J1963" s="5" t="str">
        <f t="shared" si="120"/>
        <v>No</v>
      </c>
      <c r="K1963" s="5" t="str">
        <f t="shared" si="121"/>
        <v>Yes</v>
      </c>
      <c r="L1963" s="5" t="str">
        <f t="shared" si="123"/>
        <v>No</v>
      </c>
      <c r="M1963" s="5">
        <f t="shared" si="122"/>
        <v>0</v>
      </c>
    </row>
    <row r="1964" spans="1:13" x14ac:dyDescent="0.3">
      <c r="A1964" s="2" t="s">
        <v>4593</v>
      </c>
      <c r="B1964" s="2" t="s">
        <v>2113</v>
      </c>
      <c r="C1964" s="2" t="s">
        <v>2606</v>
      </c>
      <c r="D1964" s="3">
        <v>45957</v>
      </c>
      <c r="E1964" s="3">
        <v>45962</v>
      </c>
      <c r="F1964" s="3">
        <v>45963</v>
      </c>
      <c r="G1964" s="2" t="s">
        <v>2631</v>
      </c>
      <c r="H1964" s="2">
        <v>35</v>
      </c>
      <c r="I1964" s="2">
        <f>IFERROR(INDEX(Raw_Orders!H1964:H4392,MATCH(B1964,Raw_Orders!A1964:A4392,0)),0)</f>
        <v>38</v>
      </c>
      <c r="J1964" s="2" t="str">
        <f t="shared" si="120"/>
        <v>No</v>
      </c>
      <c r="K1964" s="2" t="str">
        <f t="shared" si="121"/>
        <v>N0</v>
      </c>
      <c r="L1964" s="2" t="str">
        <f t="shared" si="123"/>
        <v>No</v>
      </c>
      <c r="M1964" s="2">
        <f t="shared" si="122"/>
        <v>0</v>
      </c>
    </row>
    <row r="1965" spans="1:13" x14ac:dyDescent="0.3">
      <c r="A1965" s="5" t="s">
        <v>4594</v>
      </c>
      <c r="B1965" s="5" t="s">
        <v>2114</v>
      </c>
      <c r="C1965" s="5" t="s">
        <v>2606</v>
      </c>
      <c r="D1965" s="6">
        <v>45955</v>
      </c>
      <c r="E1965" s="6">
        <v>45965</v>
      </c>
      <c r="F1965" s="6">
        <v>45961</v>
      </c>
      <c r="G1965" s="5" t="s">
        <v>2627</v>
      </c>
      <c r="H1965" s="5">
        <v>39</v>
      </c>
      <c r="I1965" s="5">
        <f>IFERROR(INDEX(Raw_Orders!H1965:H4393,MATCH(B1965,Raw_Orders!A1965:A4393,0)),0)</f>
        <v>39</v>
      </c>
      <c r="J1965" s="5" t="str">
        <f t="shared" si="120"/>
        <v>Yes</v>
      </c>
      <c r="K1965" s="5" t="str">
        <f t="shared" si="121"/>
        <v>Yes</v>
      </c>
      <c r="L1965" s="5" t="str">
        <f t="shared" si="123"/>
        <v>Yes</v>
      </c>
      <c r="M1965" s="5">
        <f t="shared" si="122"/>
        <v>1</v>
      </c>
    </row>
    <row r="1966" spans="1:13" x14ac:dyDescent="0.3">
      <c r="A1966" s="2" t="s">
        <v>4595</v>
      </c>
      <c r="B1966" s="2" t="s">
        <v>2115</v>
      </c>
      <c r="C1966" s="2" t="s">
        <v>2608</v>
      </c>
      <c r="D1966" s="3">
        <v>45957</v>
      </c>
      <c r="E1966" s="3">
        <v>45958</v>
      </c>
      <c r="F1966" s="3">
        <v>45970</v>
      </c>
      <c r="G1966" s="2" t="s">
        <v>2641</v>
      </c>
      <c r="H1966" s="2">
        <v>17</v>
      </c>
      <c r="I1966" s="2">
        <f>IFERROR(INDEX(Raw_Orders!H1966:H4394,MATCH(B1966,Raw_Orders!A1966:A4394,0)),0)</f>
        <v>17</v>
      </c>
      <c r="J1966" s="2" t="str">
        <f t="shared" si="120"/>
        <v>No</v>
      </c>
      <c r="K1966" s="2" t="str">
        <f t="shared" si="121"/>
        <v>Yes</v>
      </c>
      <c r="L1966" s="2" t="str">
        <f t="shared" si="123"/>
        <v>No</v>
      </c>
      <c r="M1966" s="2">
        <f t="shared" si="122"/>
        <v>0</v>
      </c>
    </row>
    <row r="1967" spans="1:13" x14ac:dyDescent="0.3">
      <c r="A1967" s="5" t="s">
        <v>4596</v>
      </c>
      <c r="B1967" s="5" t="s">
        <v>2116</v>
      </c>
      <c r="C1967" s="5" t="s">
        <v>2598</v>
      </c>
      <c r="D1967" s="6">
        <v>45957</v>
      </c>
      <c r="E1967" s="6">
        <v>45959</v>
      </c>
      <c r="F1967" s="6">
        <v>45971</v>
      </c>
      <c r="G1967" s="5" t="s">
        <v>2627</v>
      </c>
      <c r="H1967" s="5">
        <v>26</v>
      </c>
      <c r="I1967" s="5">
        <f>IFERROR(INDEX(Raw_Orders!H1967:H4395,MATCH(B1967,Raw_Orders!A1967:A4395,0)),0)</f>
        <v>26</v>
      </c>
      <c r="J1967" s="5" t="str">
        <f t="shared" si="120"/>
        <v>No</v>
      </c>
      <c r="K1967" s="5" t="str">
        <f t="shared" si="121"/>
        <v>Yes</v>
      </c>
      <c r="L1967" s="5" t="str">
        <f t="shared" si="123"/>
        <v>No</v>
      </c>
      <c r="M1967" s="5">
        <f t="shared" si="122"/>
        <v>0</v>
      </c>
    </row>
    <row r="1968" spans="1:13" x14ac:dyDescent="0.3">
      <c r="A1968" s="2" t="s">
        <v>4597</v>
      </c>
      <c r="B1968" s="2" t="s">
        <v>2117</v>
      </c>
      <c r="C1968" s="2" t="s">
        <v>2598</v>
      </c>
      <c r="D1968" s="3">
        <v>45956</v>
      </c>
      <c r="E1968" s="3">
        <v>45964</v>
      </c>
      <c r="F1968" s="3">
        <v>45969</v>
      </c>
      <c r="G1968" s="2" t="s">
        <v>2629</v>
      </c>
      <c r="H1968" s="2">
        <v>57</v>
      </c>
      <c r="I1968" s="2">
        <f>IFERROR(INDEX(Raw_Orders!H1968:H4396,MATCH(B1968,Raw_Orders!A1968:A4396,0)),0)</f>
        <v>62</v>
      </c>
      <c r="J1968" s="2" t="str">
        <f t="shared" si="120"/>
        <v>No</v>
      </c>
      <c r="K1968" s="2" t="str">
        <f t="shared" si="121"/>
        <v>N0</v>
      </c>
      <c r="L1968" s="2" t="str">
        <f t="shared" si="123"/>
        <v>No</v>
      </c>
      <c r="M1968" s="2">
        <f t="shared" si="122"/>
        <v>0</v>
      </c>
    </row>
    <row r="1969" spans="1:13" x14ac:dyDescent="0.3">
      <c r="A1969" s="5" t="s">
        <v>4598</v>
      </c>
      <c r="B1969" s="5" t="s">
        <v>2118</v>
      </c>
      <c r="C1969" s="5" t="s">
        <v>2601</v>
      </c>
      <c r="D1969" s="6">
        <v>45956</v>
      </c>
      <c r="E1969" s="6">
        <v>45963</v>
      </c>
      <c r="F1969" s="6">
        <v>45961</v>
      </c>
      <c r="G1969" s="5" t="s">
        <v>2633</v>
      </c>
      <c r="H1969" s="5">
        <v>35</v>
      </c>
      <c r="I1969" s="5">
        <f>IFERROR(INDEX(Raw_Orders!H1969:H4397,MATCH(B1969,Raw_Orders!A1969:A4397,0)),0)</f>
        <v>35</v>
      </c>
      <c r="J1969" s="5" t="str">
        <f t="shared" si="120"/>
        <v>Yes</v>
      </c>
      <c r="K1969" s="5" t="str">
        <f t="shared" si="121"/>
        <v>Yes</v>
      </c>
      <c r="L1969" s="5" t="str">
        <f t="shared" si="123"/>
        <v>Yes</v>
      </c>
      <c r="M1969" s="5">
        <f t="shared" si="122"/>
        <v>1</v>
      </c>
    </row>
    <row r="1970" spans="1:13" x14ac:dyDescent="0.3">
      <c r="A1970" s="2" t="s">
        <v>4599</v>
      </c>
      <c r="B1970" s="2" t="s">
        <v>2119</v>
      </c>
      <c r="C1970" s="2" t="s">
        <v>2601</v>
      </c>
      <c r="D1970" s="3">
        <v>45956</v>
      </c>
      <c r="E1970" s="3">
        <v>45964</v>
      </c>
      <c r="F1970" s="3">
        <v>45961</v>
      </c>
      <c r="G1970" s="2" t="s">
        <v>2627</v>
      </c>
      <c r="H1970" s="2">
        <v>15</v>
      </c>
      <c r="I1970" s="2">
        <f>IFERROR(INDEX(Raw_Orders!H1970:H4398,MATCH(B1970,Raw_Orders!A1970:A4398,0)),0)</f>
        <v>15</v>
      </c>
      <c r="J1970" s="2" t="str">
        <f t="shared" si="120"/>
        <v>Yes</v>
      </c>
      <c r="K1970" s="2" t="str">
        <f t="shared" si="121"/>
        <v>Yes</v>
      </c>
      <c r="L1970" s="2" t="str">
        <f t="shared" si="123"/>
        <v>Yes</v>
      </c>
      <c r="M1970" s="2">
        <f t="shared" si="122"/>
        <v>1</v>
      </c>
    </row>
    <row r="1971" spans="1:13" x14ac:dyDescent="0.3">
      <c r="A1971" s="5" t="s">
        <v>4600</v>
      </c>
      <c r="B1971" s="5" t="s">
        <v>2120</v>
      </c>
      <c r="C1971" s="5" t="s">
        <v>2604</v>
      </c>
      <c r="D1971" s="6">
        <v>45957</v>
      </c>
      <c r="E1971" s="6">
        <v>45966</v>
      </c>
      <c r="F1971" s="6">
        <v>45965</v>
      </c>
      <c r="G1971" s="5" t="s">
        <v>2641</v>
      </c>
      <c r="H1971" s="5">
        <v>27</v>
      </c>
      <c r="I1971" s="5">
        <f>IFERROR(INDEX(Raw_Orders!H1971:H4399,MATCH(B1971,Raw_Orders!A1971:A4399,0)),0)</f>
        <v>27</v>
      </c>
      <c r="J1971" s="5" t="str">
        <f t="shared" si="120"/>
        <v>Yes</v>
      </c>
      <c r="K1971" s="5" t="str">
        <f t="shared" si="121"/>
        <v>Yes</v>
      </c>
      <c r="L1971" s="5" t="str">
        <f t="shared" si="123"/>
        <v>Yes</v>
      </c>
      <c r="M1971" s="5">
        <f t="shared" si="122"/>
        <v>1</v>
      </c>
    </row>
    <row r="1972" spans="1:13" x14ac:dyDescent="0.3">
      <c r="A1972" s="2" t="s">
        <v>4601</v>
      </c>
      <c r="B1972" s="2" t="s">
        <v>2121</v>
      </c>
      <c r="C1972" s="2" t="s">
        <v>2606</v>
      </c>
      <c r="D1972" s="3">
        <v>45958</v>
      </c>
      <c r="E1972" s="3">
        <v>45964</v>
      </c>
      <c r="F1972" s="3">
        <v>45965</v>
      </c>
      <c r="G1972" s="2" t="s">
        <v>2633</v>
      </c>
      <c r="H1972" s="2">
        <v>41</v>
      </c>
      <c r="I1972" s="2">
        <f>IFERROR(INDEX(Raw_Orders!H1972:H4400,MATCH(B1972,Raw_Orders!A1972:A4400,0)),0)</f>
        <v>41</v>
      </c>
      <c r="J1972" s="2" t="str">
        <f t="shared" si="120"/>
        <v>No</v>
      </c>
      <c r="K1972" s="2" t="str">
        <f t="shared" si="121"/>
        <v>Yes</v>
      </c>
      <c r="L1972" s="2" t="str">
        <f t="shared" si="123"/>
        <v>No</v>
      </c>
      <c r="M1972" s="2">
        <f t="shared" si="122"/>
        <v>0</v>
      </c>
    </row>
    <row r="1973" spans="1:13" x14ac:dyDescent="0.3">
      <c r="A1973" s="5" t="s">
        <v>4602</v>
      </c>
      <c r="B1973" s="5" t="s">
        <v>2122</v>
      </c>
      <c r="C1973" s="5" t="s">
        <v>2606</v>
      </c>
      <c r="D1973" s="6">
        <v>45957</v>
      </c>
      <c r="E1973" s="6">
        <v>45962</v>
      </c>
      <c r="F1973" s="6">
        <v>45962</v>
      </c>
      <c r="G1973" s="5" t="s">
        <v>2627</v>
      </c>
      <c r="H1973" s="5">
        <v>32</v>
      </c>
      <c r="I1973" s="5">
        <f>IFERROR(INDEX(Raw_Orders!H1973:H4401,MATCH(B1973,Raw_Orders!A1973:A4401,0)),0)</f>
        <v>32</v>
      </c>
      <c r="J1973" s="5" t="str">
        <f t="shared" si="120"/>
        <v>Yes</v>
      </c>
      <c r="K1973" s="5" t="str">
        <f t="shared" si="121"/>
        <v>Yes</v>
      </c>
      <c r="L1973" s="5" t="str">
        <f t="shared" si="123"/>
        <v>Yes</v>
      </c>
      <c r="M1973" s="5">
        <f t="shared" si="122"/>
        <v>1</v>
      </c>
    </row>
    <row r="1974" spans="1:13" x14ac:dyDescent="0.3">
      <c r="A1974" s="2" t="s">
        <v>4603</v>
      </c>
      <c r="B1974" s="2" t="s">
        <v>2123</v>
      </c>
      <c r="C1974" s="2" t="s">
        <v>2608</v>
      </c>
      <c r="D1974" s="3">
        <v>45958</v>
      </c>
      <c r="E1974" s="3">
        <v>45964</v>
      </c>
      <c r="F1974" s="3">
        <v>45970</v>
      </c>
      <c r="G1974" s="2" t="s">
        <v>2629</v>
      </c>
      <c r="H1974" s="2">
        <v>31</v>
      </c>
      <c r="I1974" s="2">
        <f>IFERROR(INDEX(Raw_Orders!H1974:H4402,MATCH(B1974,Raw_Orders!A1974:A4402,0)),0)</f>
        <v>31</v>
      </c>
      <c r="J1974" s="2" t="str">
        <f t="shared" si="120"/>
        <v>No</v>
      </c>
      <c r="K1974" s="2" t="str">
        <f t="shared" si="121"/>
        <v>Yes</v>
      </c>
      <c r="L1974" s="2" t="str">
        <f t="shared" si="123"/>
        <v>No</v>
      </c>
      <c r="M1974" s="2">
        <f t="shared" si="122"/>
        <v>0</v>
      </c>
    </row>
    <row r="1975" spans="1:13" x14ac:dyDescent="0.3">
      <c r="A1975" s="5" t="s">
        <v>4604</v>
      </c>
      <c r="B1975" s="5" t="s">
        <v>2124</v>
      </c>
      <c r="C1975" s="5" t="s">
        <v>2608</v>
      </c>
      <c r="D1975" s="6">
        <v>45956</v>
      </c>
      <c r="E1975" s="6">
        <v>45960</v>
      </c>
      <c r="F1975" s="6">
        <v>45969</v>
      </c>
      <c r="G1975" s="5" t="s">
        <v>2633</v>
      </c>
      <c r="H1975" s="5">
        <v>6</v>
      </c>
      <c r="I1975" s="5">
        <f>IFERROR(INDEX(Raw_Orders!H1975:H4403,MATCH(B1975,Raw_Orders!A1975:A4403,0)),0)</f>
        <v>6</v>
      </c>
      <c r="J1975" s="5" t="str">
        <f t="shared" si="120"/>
        <v>No</v>
      </c>
      <c r="K1975" s="5" t="str">
        <f t="shared" si="121"/>
        <v>Yes</v>
      </c>
      <c r="L1975" s="5" t="str">
        <f t="shared" si="123"/>
        <v>No</v>
      </c>
      <c r="M1975" s="5">
        <f t="shared" si="122"/>
        <v>0</v>
      </c>
    </row>
    <row r="1976" spans="1:13" x14ac:dyDescent="0.3">
      <c r="A1976" s="2" t="s">
        <v>4605</v>
      </c>
      <c r="B1976" s="2" t="s">
        <v>2125</v>
      </c>
      <c r="C1976" s="2" t="s">
        <v>2608</v>
      </c>
      <c r="D1976" s="3">
        <v>45956</v>
      </c>
      <c r="E1976" s="3">
        <v>45962</v>
      </c>
      <c r="F1976" s="3">
        <v>45969</v>
      </c>
      <c r="G1976" s="2" t="s">
        <v>2627</v>
      </c>
      <c r="H1976" s="2">
        <v>18</v>
      </c>
      <c r="I1976" s="2">
        <f>IFERROR(INDEX(Raw_Orders!H1976:H4404,MATCH(B1976,Raw_Orders!A1976:A4404,0)),0)</f>
        <v>23</v>
      </c>
      <c r="J1976" s="2" t="str">
        <f t="shared" si="120"/>
        <v>No</v>
      </c>
      <c r="K1976" s="2" t="str">
        <f t="shared" si="121"/>
        <v>N0</v>
      </c>
      <c r="L1976" s="2" t="str">
        <f t="shared" si="123"/>
        <v>No</v>
      </c>
      <c r="M1976" s="2">
        <f t="shared" si="122"/>
        <v>0</v>
      </c>
    </row>
    <row r="1977" spans="1:13" x14ac:dyDescent="0.3">
      <c r="A1977" s="5" t="s">
        <v>4606</v>
      </c>
      <c r="B1977" s="5" t="s">
        <v>2126</v>
      </c>
      <c r="C1977" s="5" t="s">
        <v>2598</v>
      </c>
      <c r="D1977" s="6">
        <v>45958</v>
      </c>
      <c r="E1977" s="6">
        <v>45965</v>
      </c>
      <c r="F1977" s="6">
        <v>45970</v>
      </c>
      <c r="G1977" s="5" t="s">
        <v>2641</v>
      </c>
      <c r="H1977" s="5">
        <v>12</v>
      </c>
      <c r="I1977" s="5">
        <f>IFERROR(INDEX(Raw_Orders!H1977:H4405,MATCH(B1977,Raw_Orders!A1977:A4405,0)),0)</f>
        <v>12</v>
      </c>
      <c r="J1977" s="5" t="str">
        <f t="shared" si="120"/>
        <v>No</v>
      </c>
      <c r="K1977" s="5" t="str">
        <f t="shared" si="121"/>
        <v>Yes</v>
      </c>
      <c r="L1977" s="5" t="str">
        <f t="shared" si="123"/>
        <v>No</v>
      </c>
      <c r="M1977" s="5">
        <f t="shared" si="122"/>
        <v>0</v>
      </c>
    </row>
    <row r="1978" spans="1:13" x14ac:dyDescent="0.3">
      <c r="A1978" s="2" t="s">
        <v>4607</v>
      </c>
      <c r="B1978" s="2" t="s">
        <v>2127</v>
      </c>
      <c r="C1978" s="2" t="s">
        <v>2601</v>
      </c>
      <c r="D1978" s="3">
        <v>45959</v>
      </c>
      <c r="E1978" s="3">
        <v>45962</v>
      </c>
      <c r="F1978" s="3">
        <v>45964</v>
      </c>
      <c r="G1978" s="2" t="s">
        <v>2631</v>
      </c>
      <c r="H1978" s="2">
        <v>19</v>
      </c>
      <c r="I1978" s="2">
        <f>IFERROR(INDEX(Raw_Orders!H1978:H4406,MATCH(B1978,Raw_Orders!A1978:A4406,0)),0)</f>
        <v>19</v>
      </c>
      <c r="J1978" s="2" t="str">
        <f t="shared" si="120"/>
        <v>No</v>
      </c>
      <c r="K1978" s="2" t="str">
        <f t="shared" si="121"/>
        <v>Yes</v>
      </c>
      <c r="L1978" s="2" t="str">
        <f t="shared" si="123"/>
        <v>No</v>
      </c>
      <c r="M1978" s="2">
        <f t="shared" si="122"/>
        <v>0</v>
      </c>
    </row>
    <row r="1979" spans="1:13" x14ac:dyDescent="0.3">
      <c r="A1979" s="5" t="s">
        <v>4608</v>
      </c>
      <c r="B1979" s="5" t="s">
        <v>2128</v>
      </c>
      <c r="C1979" s="5" t="s">
        <v>2614</v>
      </c>
      <c r="D1979" s="6">
        <v>45958</v>
      </c>
      <c r="E1979" s="6">
        <v>45962</v>
      </c>
      <c r="F1979" s="6">
        <v>45972</v>
      </c>
      <c r="G1979" s="5" t="s">
        <v>2641</v>
      </c>
      <c r="H1979" s="5">
        <v>15</v>
      </c>
      <c r="I1979" s="5">
        <f>IFERROR(INDEX(Raw_Orders!H1979:H4407,MATCH(B1979,Raw_Orders!A1979:A4407,0)),0)</f>
        <v>15</v>
      </c>
      <c r="J1979" s="5" t="str">
        <f t="shared" si="120"/>
        <v>No</v>
      </c>
      <c r="K1979" s="5" t="str">
        <f t="shared" si="121"/>
        <v>Yes</v>
      </c>
      <c r="L1979" s="5" t="str">
        <f t="shared" si="123"/>
        <v>No</v>
      </c>
      <c r="M1979" s="5">
        <f t="shared" si="122"/>
        <v>0</v>
      </c>
    </row>
    <row r="1980" spans="1:13" x14ac:dyDescent="0.3">
      <c r="A1980" s="2" t="s">
        <v>4609</v>
      </c>
      <c r="B1980" s="2" t="s">
        <v>2129</v>
      </c>
      <c r="C1980" s="2" t="s">
        <v>2604</v>
      </c>
      <c r="D1980" s="3">
        <v>45957</v>
      </c>
      <c r="E1980" s="3">
        <v>45963</v>
      </c>
      <c r="F1980" s="3">
        <v>45960</v>
      </c>
      <c r="G1980" s="2" t="s">
        <v>2631</v>
      </c>
      <c r="H1980" s="2">
        <v>35</v>
      </c>
      <c r="I1980" s="2">
        <f>IFERROR(INDEX(Raw_Orders!H1980:H4408,MATCH(B1980,Raw_Orders!A1980:A4408,0)),0)</f>
        <v>35</v>
      </c>
      <c r="J1980" s="2" t="str">
        <f t="shared" si="120"/>
        <v>Yes</v>
      </c>
      <c r="K1980" s="2" t="str">
        <f t="shared" si="121"/>
        <v>Yes</v>
      </c>
      <c r="L1980" s="2" t="str">
        <f t="shared" si="123"/>
        <v>Yes</v>
      </c>
      <c r="M1980" s="2">
        <f t="shared" si="122"/>
        <v>1</v>
      </c>
    </row>
    <row r="1981" spans="1:13" x14ac:dyDescent="0.3">
      <c r="A1981" s="5" t="s">
        <v>4610</v>
      </c>
      <c r="B1981" s="5" t="s">
        <v>2130</v>
      </c>
      <c r="C1981" s="5" t="s">
        <v>2606</v>
      </c>
      <c r="D1981" s="6">
        <v>45957</v>
      </c>
      <c r="E1981" s="6">
        <v>45966</v>
      </c>
      <c r="F1981" s="6">
        <v>45963</v>
      </c>
      <c r="G1981" s="5" t="s">
        <v>2627</v>
      </c>
      <c r="H1981" s="5">
        <v>27</v>
      </c>
      <c r="I1981" s="5">
        <f>IFERROR(INDEX(Raw_Orders!H1981:H4409,MATCH(B1981,Raw_Orders!A1981:A4409,0)),0)</f>
        <v>27</v>
      </c>
      <c r="J1981" s="5" t="str">
        <f t="shared" si="120"/>
        <v>Yes</v>
      </c>
      <c r="K1981" s="5" t="str">
        <f t="shared" si="121"/>
        <v>Yes</v>
      </c>
      <c r="L1981" s="5" t="str">
        <f t="shared" si="123"/>
        <v>Yes</v>
      </c>
      <c r="M1981" s="5">
        <f t="shared" si="122"/>
        <v>1</v>
      </c>
    </row>
    <row r="1982" spans="1:13" x14ac:dyDescent="0.3">
      <c r="A1982" s="2" t="s">
        <v>4611</v>
      </c>
      <c r="B1982" s="2" t="s">
        <v>2131</v>
      </c>
      <c r="C1982" s="2" t="s">
        <v>2608</v>
      </c>
      <c r="D1982" s="3">
        <v>45959</v>
      </c>
      <c r="E1982" s="3">
        <v>45961</v>
      </c>
      <c r="F1982" s="3">
        <v>45974</v>
      </c>
      <c r="G1982" s="2" t="s">
        <v>2633</v>
      </c>
      <c r="H1982" s="2">
        <v>30</v>
      </c>
      <c r="I1982" s="2">
        <f>IFERROR(INDEX(Raw_Orders!H1982:H4410,MATCH(B1982,Raw_Orders!A1982:A4410,0)),0)</f>
        <v>30</v>
      </c>
      <c r="J1982" s="2" t="str">
        <f t="shared" si="120"/>
        <v>No</v>
      </c>
      <c r="K1982" s="2" t="str">
        <f t="shared" si="121"/>
        <v>Yes</v>
      </c>
      <c r="L1982" s="2" t="str">
        <f t="shared" si="123"/>
        <v>No</v>
      </c>
      <c r="M1982" s="2">
        <f t="shared" si="122"/>
        <v>0</v>
      </c>
    </row>
    <row r="1983" spans="1:13" x14ac:dyDescent="0.3">
      <c r="A1983" s="5" t="s">
        <v>4612</v>
      </c>
      <c r="B1983" s="5" t="s">
        <v>2132</v>
      </c>
      <c r="C1983" s="5" t="s">
        <v>2608</v>
      </c>
      <c r="D1983" s="6">
        <v>45958</v>
      </c>
      <c r="E1983" s="6">
        <v>45961</v>
      </c>
      <c r="F1983" s="6">
        <v>45972</v>
      </c>
      <c r="G1983" s="5" t="s">
        <v>2633</v>
      </c>
      <c r="H1983" s="5">
        <v>5</v>
      </c>
      <c r="I1983" s="5">
        <f>IFERROR(INDEX(Raw_Orders!H1983:H4411,MATCH(B1983,Raw_Orders!A1983:A4411,0)),0)</f>
        <v>5</v>
      </c>
      <c r="J1983" s="5" t="str">
        <f t="shared" si="120"/>
        <v>No</v>
      </c>
      <c r="K1983" s="5" t="str">
        <f t="shared" si="121"/>
        <v>Yes</v>
      </c>
      <c r="L1983" s="5" t="str">
        <f t="shared" si="123"/>
        <v>No</v>
      </c>
      <c r="M1983" s="5">
        <f t="shared" si="122"/>
        <v>0</v>
      </c>
    </row>
    <row r="1984" spans="1:13" x14ac:dyDescent="0.3">
      <c r="A1984" s="2" t="s">
        <v>4613</v>
      </c>
      <c r="B1984" s="2" t="s">
        <v>2133</v>
      </c>
      <c r="C1984" s="2" t="s">
        <v>2608</v>
      </c>
      <c r="D1984" s="3">
        <v>45957</v>
      </c>
      <c r="E1984" s="3">
        <v>45963</v>
      </c>
      <c r="F1984" s="3">
        <v>45970</v>
      </c>
      <c r="G1984" s="2" t="s">
        <v>2631</v>
      </c>
      <c r="H1984" s="2">
        <v>9</v>
      </c>
      <c r="I1984" s="2">
        <f>IFERROR(INDEX(Raw_Orders!H1984:H4412,MATCH(B1984,Raw_Orders!A1984:A4412,0)),0)</f>
        <v>9</v>
      </c>
      <c r="J1984" s="2" t="str">
        <f t="shared" si="120"/>
        <v>No</v>
      </c>
      <c r="K1984" s="2" t="str">
        <f t="shared" si="121"/>
        <v>Yes</v>
      </c>
      <c r="L1984" s="2" t="str">
        <f t="shared" si="123"/>
        <v>No</v>
      </c>
      <c r="M1984" s="2">
        <f t="shared" si="122"/>
        <v>0</v>
      </c>
    </row>
    <row r="1985" spans="1:13" x14ac:dyDescent="0.3">
      <c r="A1985" s="5" t="s">
        <v>4614</v>
      </c>
      <c r="B1985" s="5" t="s">
        <v>2134</v>
      </c>
      <c r="C1985" s="5" t="s">
        <v>2611</v>
      </c>
      <c r="D1985" s="6">
        <v>45959</v>
      </c>
      <c r="E1985" s="6">
        <v>45964</v>
      </c>
      <c r="F1985" s="6">
        <v>45966</v>
      </c>
      <c r="G1985" s="5" t="s">
        <v>2629</v>
      </c>
      <c r="H1985" s="5">
        <v>22</v>
      </c>
      <c r="I1985" s="5">
        <f>IFERROR(INDEX(Raw_Orders!H1985:H4413,MATCH(B1985,Raw_Orders!A1985:A4413,0)),0)</f>
        <v>22</v>
      </c>
      <c r="J1985" s="5" t="str">
        <f t="shared" si="120"/>
        <v>No</v>
      </c>
      <c r="K1985" s="5" t="str">
        <f t="shared" si="121"/>
        <v>Yes</v>
      </c>
      <c r="L1985" s="5" t="str">
        <f t="shared" si="123"/>
        <v>No</v>
      </c>
      <c r="M1985" s="5">
        <f t="shared" si="122"/>
        <v>0</v>
      </c>
    </row>
    <row r="1986" spans="1:13" x14ac:dyDescent="0.3">
      <c r="A1986" s="2" t="s">
        <v>4615</v>
      </c>
      <c r="B1986" s="2" t="s">
        <v>2135</v>
      </c>
      <c r="C1986" s="2" t="s">
        <v>2598</v>
      </c>
      <c r="D1986" s="3">
        <v>45959</v>
      </c>
      <c r="E1986" s="3">
        <v>45967</v>
      </c>
      <c r="F1986" s="3">
        <v>45976</v>
      </c>
      <c r="G1986" s="2" t="s">
        <v>2627</v>
      </c>
      <c r="H1986" s="2">
        <v>56</v>
      </c>
      <c r="I1986" s="2">
        <f>IFERROR(INDEX(Raw_Orders!H1986:H4414,MATCH(B1986,Raw_Orders!A1986:A4414,0)),0)</f>
        <v>56</v>
      </c>
      <c r="J1986" s="2" t="str">
        <f t="shared" si="120"/>
        <v>No</v>
      </c>
      <c r="K1986" s="2" t="str">
        <f t="shared" si="121"/>
        <v>Yes</v>
      </c>
      <c r="L1986" s="2" t="str">
        <f t="shared" si="123"/>
        <v>No</v>
      </c>
      <c r="M1986" s="2">
        <f t="shared" si="122"/>
        <v>0</v>
      </c>
    </row>
    <row r="1987" spans="1:13" x14ac:dyDescent="0.3">
      <c r="A1987" s="5" t="s">
        <v>4616</v>
      </c>
      <c r="B1987" s="5" t="s">
        <v>2136</v>
      </c>
      <c r="C1987" s="5" t="s">
        <v>2614</v>
      </c>
      <c r="D1987" s="6">
        <v>45959</v>
      </c>
      <c r="E1987" s="6">
        <v>45963</v>
      </c>
      <c r="F1987" s="6">
        <v>45977</v>
      </c>
      <c r="G1987" s="5" t="s">
        <v>2631</v>
      </c>
      <c r="H1987" s="5">
        <v>16</v>
      </c>
      <c r="I1987" s="5">
        <f>IFERROR(INDEX(Raw_Orders!H1987:H4415,MATCH(B1987,Raw_Orders!A1987:A4415,0)),0)</f>
        <v>16</v>
      </c>
      <c r="J1987" s="5" t="str">
        <f t="shared" ref="J1987:J2050" si="124">IF(E1987&gt;=F1987,"Yes","No")</f>
        <v>No</v>
      </c>
      <c r="K1987" s="5" t="str">
        <f t="shared" ref="K1987:K2050" si="125">IF(H1987&gt;=I1987,"Yes","N0")</f>
        <v>Yes</v>
      </c>
      <c r="L1987" s="5" t="str">
        <f t="shared" si="123"/>
        <v>No</v>
      </c>
      <c r="M1987" s="5">
        <f t="shared" ref="M1987:M2050" si="126">IF(L1987="Yes",1,0)</f>
        <v>0</v>
      </c>
    </row>
    <row r="1988" spans="1:13" x14ac:dyDescent="0.3">
      <c r="A1988" s="2" t="s">
        <v>4617</v>
      </c>
      <c r="B1988" s="2" t="s">
        <v>2137</v>
      </c>
      <c r="C1988" s="2" t="s">
        <v>2614</v>
      </c>
      <c r="D1988" s="3">
        <v>45960</v>
      </c>
      <c r="E1988" s="3">
        <v>45962</v>
      </c>
      <c r="F1988" s="3">
        <v>45978</v>
      </c>
      <c r="G1988" s="2" t="s">
        <v>2641</v>
      </c>
      <c r="H1988" s="2">
        <v>16</v>
      </c>
      <c r="I1988" s="2">
        <f>IFERROR(INDEX(Raw_Orders!H1988:H4416,MATCH(B1988,Raw_Orders!A1988:A4416,0)),0)</f>
        <v>21</v>
      </c>
      <c r="J1988" s="2" t="str">
        <f t="shared" si="124"/>
        <v>No</v>
      </c>
      <c r="K1988" s="2" t="str">
        <f t="shared" si="125"/>
        <v>N0</v>
      </c>
      <c r="L1988" s="2" t="str">
        <f t="shared" ref="L1988:L2051" si="127">IF(AND(J1988="Yes",K1988="Yes"),"Yes","No")</f>
        <v>No</v>
      </c>
      <c r="M1988" s="2">
        <f t="shared" si="126"/>
        <v>0</v>
      </c>
    </row>
    <row r="1989" spans="1:13" x14ac:dyDescent="0.3">
      <c r="A1989" s="5" t="s">
        <v>4618</v>
      </c>
      <c r="B1989" s="5" t="s">
        <v>2138</v>
      </c>
      <c r="C1989" s="5" t="s">
        <v>2604</v>
      </c>
      <c r="D1989" s="6">
        <v>45959</v>
      </c>
      <c r="E1989" s="6">
        <v>45968</v>
      </c>
      <c r="F1989" s="6">
        <v>45964</v>
      </c>
      <c r="G1989" s="5" t="s">
        <v>2631</v>
      </c>
      <c r="H1989" s="5">
        <v>20</v>
      </c>
      <c r="I1989" s="5">
        <f>IFERROR(INDEX(Raw_Orders!H1989:H4417,MATCH(B1989,Raw_Orders!A1989:A4417,0)),0)</f>
        <v>20</v>
      </c>
      <c r="J1989" s="5" t="str">
        <f t="shared" si="124"/>
        <v>Yes</v>
      </c>
      <c r="K1989" s="5" t="str">
        <f t="shared" si="125"/>
        <v>Yes</v>
      </c>
      <c r="L1989" s="5" t="str">
        <f t="shared" si="127"/>
        <v>Yes</v>
      </c>
      <c r="M1989" s="5">
        <f t="shared" si="126"/>
        <v>1</v>
      </c>
    </row>
    <row r="1990" spans="1:13" x14ac:dyDescent="0.3">
      <c r="A1990" s="2" t="s">
        <v>4619</v>
      </c>
      <c r="B1990" s="2" t="s">
        <v>2139</v>
      </c>
      <c r="C1990" s="2" t="s">
        <v>2606</v>
      </c>
      <c r="D1990" s="3">
        <v>45960</v>
      </c>
      <c r="E1990" s="3">
        <v>45966</v>
      </c>
      <c r="F1990" s="3">
        <v>45966</v>
      </c>
      <c r="G1990" s="2" t="s">
        <v>2641</v>
      </c>
      <c r="H1990" s="2">
        <v>68</v>
      </c>
      <c r="I1990" s="2">
        <f>IFERROR(INDEX(Raw_Orders!H1990:H4418,MATCH(B1990,Raw_Orders!A1990:A4418,0)),0)</f>
        <v>68</v>
      </c>
      <c r="J1990" s="2" t="str">
        <f t="shared" si="124"/>
        <v>Yes</v>
      </c>
      <c r="K1990" s="2" t="str">
        <f t="shared" si="125"/>
        <v>Yes</v>
      </c>
      <c r="L1990" s="2" t="str">
        <f t="shared" si="127"/>
        <v>Yes</v>
      </c>
      <c r="M1990" s="2">
        <f t="shared" si="126"/>
        <v>1</v>
      </c>
    </row>
    <row r="1991" spans="1:13" x14ac:dyDescent="0.3">
      <c r="A1991" s="5" t="s">
        <v>4620</v>
      </c>
      <c r="B1991" s="5" t="s">
        <v>2140</v>
      </c>
      <c r="C1991" s="5" t="s">
        <v>2606</v>
      </c>
      <c r="D1991" s="6">
        <v>45958</v>
      </c>
      <c r="E1991" s="6">
        <v>45965</v>
      </c>
      <c r="F1991" s="6">
        <v>45964</v>
      </c>
      <c r="G1991" s="5" t="s">
        <v>2629</v>
      </c>
      <c r="H1991" s="5">
        <v>28</v>
      </c>
      <c r="I1991" s="5">
        <f>IFERROR(INDEX(Raw_Orders!H1991:H4419,MATCH(B1991,Raw_Orders!A1991:A4419,0)),0)</f>
        <v>29</v>
      </c>
      <c r="J1991" s="5" t="str">
        <f t="shared" si="124"/>
        <v>Yes</v>
      </c>
      <c r="K1991" s="5" t="str">
        <f t="shared" si="125"/>
        <v>N0</v>
      </c>
      <c r="L1991" s="5" t="str">
        <f t="shared" si="127"/>
        <v>No</v>
      </c>
      <c r="M1991" s="5">
        <f t="shared" si="126"/>
        <v>0</v>
      </c>
    </row>
    <row r="1992" spans="1:13" x14ac:dyDescent="0.3">
      <c r="A1992" s="2" t="s">
        <v>4621</v>
      </c>
      <c r="B1992" s="2" t="s">
        <v>2141</v>
      </c>
      <c r="C1992" s="2" t="s">
        <v>2606</v>
      </c>
      <c r="D1992" s="3">
        <v>45959</v>
      </c>
      <c r="E1992" s="3">
        <v>45968</v>
      </c>
      <c r="F1992" s="3">
        <v>45965</v>
      </c>
      <c r="G1992" s="2" t="s">
        <v>2629</v>
      </c>
      <c r="H1992" s="2">
        <v>41</v>
      </c>
      <c r="I1992" s="2">
        <f>IFERROR(INDEX(Raw_Orders!H1992:H4420,MATCH(B1992,Raw_Orders!A1992:A4420,0)),0)</f>
        <v>41</v>
      </c>
      <c r="J1992" s="2" t="str">
        <f t="shared" si="124"/>
        <v>Yes</v>
      </c>
      <c r="K1992" s="2" t="str">
        <f t="shared" si="125"/>
        <v>Yes</v>
      </c>
      <c r="L1992" s="2" t="str">
        <f t="shared" si="127"/>
        <v>Yes</v>
      </c>
      <c r="M1992" s="2">
        <f t="shared" si="126"/>
        <v>1</v>
      </c>
    </row>
    <row r="1993" spans="1:13" x14ac:dyDescent="0.3">
      <c r="A1993" s="5" t="s">
        <v>4622</v>
      </c>
      <c r="B1993" s="5" t="s">
        <v>2142</v>
      </c>
      <c r="C1993" s="5" t="s">
        <v>2608</v>
      </c>
      <c r="D1993" s="6">
        <v>45959</v>
      </c>
      <c r="E1993" s="6">
        <v>45962</v>
      </c>
      <c r="F1993" s="6">
        <v>45972</v>
      </c>
      <c r="G1993" s="5" t="s">
        <v>2633</v>
      </c>
      <c r="H1993" s="5">
        <v>47</v>
      </c>
      <c r="I1993" s="5">
        <f>IFERROR(INDEX(Raw_Orders!H1993:H4421,MATCH(B1993,Raw_Orders!A1993:A4421,0)),0)</f>
        <v>47</v>
      </c>
      <c r="J1993" s="5" t="str">
        <f t="shared" si="124"/>
        <v>No</v>
      </c>
      <c r="K1993" s="5" t="str">
        <f t="shared" si="125"/>
        <v>Yes</v>
      </c>
      <c r="L1993" s="5" t="str">
        <f t="shared" si="127"/>
        <v>No</v>
      </c>
      <c r="M1993" s="5">
        <f t="shared" si="126"/>
        <v>0</v>
      </c>
    </row>
    <row r="1994" spans="1:13" x14ac:dyDescent="0.3">
      <c r="A1994" s="2" t="s">
        <v>4623</v>
      </c>
      <c r="B1994" s="2" t="s">
        <v>2143</v>
      </c>
      <c r="C1994" s="2" t="s">
        <v>2608</v>
      </c>
      <c r="D1994" s="3">
        <v>45959</v>
      </c>
      <c r="E1994" s="3">
        <v>45967</v>
      </c>
      <c r="F1994" s="3">
        <v>45972</v>
      </c>
      <c r="G1994" s="2" t="s">
        <v>2633</v>
      </c>
      <c r="H1994" s="2">
        <v>9</v>
      </c>
      <c r="I1994" s="2">
        <f>IFERROR(INDEX(Raw_Orders!H1994:H4422,MATCH(B1994,Raw_Orders!A1994:A4422,0)),0)</f>
        <v>9</v>
      </c>
      <c r="J1994" s="2" t="str">
        <f t="shared" si="124"/>
        <v>No</v>
      </c>
      <c r="K1994" s="2" t="str">
        <f t="shared" si="125"/>
        <v>Yes</v>
      </c>
      <c r="L1994" s="2" t="str">
        <f t="shared" si="127"/>
        <v>No</v>
      </c>
      <c r="M1994" s="2">
        <f t="shared" si="126"/>
        <v>0</v>
      </c>
    </row>
    <row r="1995" spans="1:13" x14ac:dyDescent="0.3">
      <c r="A1995" s="5" t="s">
        <v>4624</v>
      </c>
      <c r="B1995" s="5" t="s">
        <v>2144</v>
      </c>
      <c r="C1995" s="5" t="s">
        <v>2598</v>
      </c>
      <c r="D1995" s="6">
        <v>45960</v>
      </c>
      <c r="E1995" s="6">
        <v>45966</v>
      </c>
      <c r="F1995" s="6">
        <v>45975</v>
      </c>
      <c r="G1995" s="5" t="s">
        <v>2627</v>
      </c>
      <c r="H1995" s="5">
        <v>14</v>
      </c>
      <c r="I1995" s="5">
        <f>IFERROR(INDEX(Raw_Orders!H1995:H4423,MATCH(B1995,Raw_Orders!A1995:A4423,0)),0)</f>
        <v>14</v>
      </c>
      <c r="J1995" s="5" t="str">
        <f t="shared" si="124"/>
        <v>No</v>
      </c>
      <c r="K1995" s="5" t="str">
        <f t="shared" si="125"/>
        <v>Yes</v>
      </c>
      <c r="L1995" s="5" t="str">
        <f t="shared" si="127"/>
        <v>No</v>
      </c>
      <c r="M1995" s="5">
        <f t="shared" si="126"/>
        <v>0</v>
      </c>
    </row>
    <row r="1996" spans="1:13" x14ac:dyDescent="0.3">
      <c r="A1996" s="2" t="s">
        <v>4625</v>
      </c>
      <c r="B1996" s="2" t="s">
        <v>2145</v>
      </c>
      <c r="C1996" s="2" t="s">
        <v>2598</v>
      </c>
      <c r="D1996" s="3">
        <v>45959</v>
      </c>
      <c r="E1996" s="3">
        <v>45963</v>
      </c>
      <c r="F1996" s="3">
        <v>45972</v>
      </c>
      <c r="G1996" s="2" t="s">
        <v>2633</v>
      </c>
      <c r="H1996" s="2">
        <v>67</v>
      </c>
      <c r="I1996" s="2">
        <f>IFERROR(INDEX(Raw_Orders!H1996:H4424,MATCH(B1996,Raw_Orders!A1996:A4424,0)),0)</f>
        <v>67</v>
      </c>
      <c r="J1996" s="2" t="str">
        <f t="shared" si="124"/>
        <v>No</v>
      </c>
      <c r="K1996" s="2" t="str">
        <f t="shared" si="125"/>
        <v>Yes</v>
      </c>
      <c r="L1996" s="2" t="str">
        <f t="shared" si="127"/>
        <v>No</v>
      </c>
      <c r="M1996" s="2">
        <f t="shared" si="126"/>
        <v>0</v>
      </c>
    </row>
    <row r="1997" spans="1:13" x14ac:dyDescent="0.3">
      <c r="A1997" s="5" t="s">
        <v>4626</v>
      </c>
      <c r="B1997" s="5" t="s">
        <v>2146</v>
      </c>
      <c r="C1997" s="5" t="s">
        <v>2616</v>
      </c>
      <c r="D1997" s="6">
        <v>45959</v>
      </c>
      <c r="E1997" s="6">
        <v>45968</v>
      </c>
      <c r="F1997" s="6">
        <v>45974</v>
      </c>
      <c r="G1997" s="5" t="s">
        <v>2631</v>
      </c>
      <c r="H1997" s="5">
        <v>2</v>
      </c>
      <c r="I1997" s="5">
        <f>IFERROR(INDEX(Raw_Orders!H1997:H4425,MATCH(B1997,Raw_Orders!A1997:A4425,0)),0)</f>
        <v>2</v>
      </c>
      <c r="J1997" s="5" t="str">
        <f t="shared" si="124"/>
        <v>No</v>
      </c>
      <c r="K1997" s="5" t="str">
        <f t="shared" si="125"/>
        <v>Yes</v>
      </c>
      <c r="L1997" s="5" t="str">
        <f t="shared" si="127"/>
        <v>No</v>
      </c>
      <c r="M1997" s="5">
        <f t="shared" si="126"/>
        <v>0</v>
      </c>
    </row>
    <row r="1998" spans="1:13" x14ac:dyDescent="0.3">
      <c r="A1998" s="2" t="s">
        <v>4627</v>
      </c>
      <c r="B1998" s="2" t="s">
        <v>2147</v>
      </c>
      <c r="C1998" s="2" t="s">
        <v>2604</v>
      </c>
      <c r="D1998" s="3">
        <v>45961</v>
      </c>
      <c r="E1998" s="3">
        <v>45968</v>
      </c>
      <c r="F1998" s="3">
        <v>45966</v>
      </c>
      <c r="G1998" s="2" t="s">
        <v>2627</v>
      </c>
      <c r="H1998" s="2">
        <v>55</v>
      </c>
      <c r="I1998" s="2">
        <f>IFERROR(INDEX(Raw_Orders!H1998:H4426,MATCH(B1998,Raw_Orders!A1998:A4426,0)),0)</f>
        <v>55</v>
      </c>
      <c r="J1998" s="2" t="str">
        <f t="shared" si="124"/>
        <v>Yes</v>
      </c>
      <c r="K1998" s="2" t="str">
        <f t="shared" si="125"/>
        <v>Yes</v>
      </c>
      <c r="L1998" s="2" t="str">
        <f t="shared" si="127"/>
        <v>Yes</v>
      </c>
      <c r="M1998" s="2">
        <f t="shared" si="126"/>
        <v>1</v>
      </c>
    </row>
    <row r="1999" spans="1:13" x14ac:dyDescent="0.3">
      <c r="A1999" s="5" t="s">
        <v>4628</v>
      </c>
      <c r="B1999" s="5" t="s">
        <v>2148</v>
      </c>
      <c r="C1999" s="5" t="s">
        <v>2616</v>
      </c>
      <c r="D1999" s="6">
        <v>45960</v>
      </c>
      <c r="E1999" s="6">
        <v>45963</v>
      </c>
      <c r="F1999" s="6">
        <v>45975</v>
      </c>
      <c r="G1999" s="5" t="s">
        <v>2629</v>
      </c>
      <c r="H1999" s="5">
        <v>11</v>
      </c>
      <c r="I1999" s="5">
        <f>IFERROR(INDEX(Raw_Orders!H1999:H4427,MATCH(B1999,Raw_Orders!A1999:A4427,0)),0)</f>
        <v>11</v>
      </c>
      <c r="J1999" s="5" t="str">
        <f t="shared" si="124"/>
        <v>No</v>
      </c>
      <c r="K1999" s="5" t="str">
        <f t="shared" si="125"/>
        <v>Yes</v>
      </c>
      <c r="L1999" s="5" t="str">
        <f t="shared" si="127"/>
        <v>No</v>
      </c>
      <c r="M1999" s="5">
        <f t="shared" si="126"/>
        <v>0</v>
      </c>
    </row>
    <row r="2000" spans="1:13" x14ac:dyDescent="0.3">
      <c r="A2000" s="2" t="s">
        <v>4629</v>
      </c>
      <c r="B2000" s="2" t="s">
        <v>2149</v>
      </c>
      <c r="C2000" s="2" t="s">
        <v>2606</v>
      </c>
      <c r="D2000" s="3">
        <v>45960</v>
      </c>
      <c r="E2000" s="3">
        <v>45968</v>
      </c>
      <c r="F2000" s="3">
        <v>45970</v>
      </c>
      <c r="G2000" s="2" t="s">
        <v>2633</v>
      </c>
      <c r="H2000" s="2">
        <v>49</v>
      </c>
      <c r="I2000" s="2">
        <f>IFERROR(INDEX(Raw_Orders!H2000:H4428,MATCH(B2000,Raw_Orders!A2000:A4428,0)),0)</f>
        <v>49</v>
      </c>
      <c r="J2000" s="2" t="str">
        <f t="shared" si="124"/>
        <v>No</v>
      </c>
      <c r="K2000" s="2" t="str">
        <f t="shared" si="125"/>
        <v>Yes</v>
      </c>
      <c r="L2000" s="2" t="str">
        <f t="shared" si="127"/>
        <v>No</v>
      </c>
      <c r="M2000" s="2">
        <f t="shared" si="126"/>
        <v>0</v>
      </c>
    </row>
    <row r="2001" spans="1:13" x14ac:dyDescent="0.3">
      <c r="A2001" s="5" t="s">
        <v>4630</v>
      </c>
      <c r="B2001" s="5" t="s">
        <v>2150</v>
      </c>
      <c r="C2001" s="5" t="s">
        <v>2606</v>
      </c>
      <c r="D2001" s="6">
        <v>45961</v>
      </c>
      <c r="E2001" s="6">
        <v>45969</v>
      </c>
      <c r="F2001" s="6">
        <v>45967</v>
      </c>
      <c r="G2001" s="5" t="s">
        <v>2641</v>
      </c>
      <c r="H2001" s="5">
        <v>22</v>
      </c>
      <c r="I2001" s="5">
        <f>IFERROR(INDEX(Raw_Orders!H2001:H4429,MATCH(B2001,Raw_Orders!A2001:A4429,0)),0)</f>
        <v>22</v>
      </c>
      <c r="J2001" s="5" t="str">
        <f t="shared" si="124"/>
        <v>Yes</v>
      </c>
      <c r="K2001" s="5" t="str">
        <f t="shared" si="125"/>
        <v>Yes</v>
      </c>
      <c r="L2001" s="5" t="str">
        <f t="shared" si="127"/>
        <v>Yes</v>
      </c>
      <c r="M2001" s="5">
        <f t="shared" si="126"/>
        <v>1</v>
      </c>
    </row>
    <row r="2002" spans="1:13" x14ac:dyDescent="0.3">
      <c r="A2002" s="2" t="s">
        <v>4631</v>
      </c>
      <c r="B2002" s="2" t="s">
        <v>2151</v>
      </c>
      <c r="C2002" s="2" t="s">
        <v>2611</v>
      </c>
      <c r="D2002" s="3">
        <v>45960</v>
      </c>
      <c r="E2002" s="3">
        <v>45968</v>
      </c>
      <c r="F2002" s="3">
        <v>45967</v>
      </c>
      <c r="G2002" s="2" t="s">
        <v>2633</v>
      </c>
      <c r="H2002" s="2">
        <v>41</v>
      </c>
      <c r="I2002" s="2">
        <f>IFERROR(INDEX(Raw_Orders!H2002:H4430,MATCH(B2002,Raw_Orders!A2002:A4430,0)),0)</f>
        <v>41</v>
      </c>
      <c r="J2002" s="2" t="str">
        <f t="shared" si="124"/>
        <v>Yes</v>
      </c>
      <c r="K2002" s="2" t="str">
        <f t="shared" si="125"/>
        <v>Yes</v>
      </c>
      <c r="L2002" s="2" t="str">
        <f t="shared" si="127"/>
        <v>Yes</v>
      </c>
      <c r="M2002" s="2">
        <f t="shared" si="126"/>
        <v>1</v>
      </c>
    </row>
    <row r="2003" spans="1:13" x14ac:dyDescent="0.3">
      <c r="A2003" s="5" t="s">
        <v>4632</v>
      </c>
      <c r="B2003" s="5" t="s">
        <v>2152</v>
      </c>
      <c r="C2003" s="5" t="s">
        <v>2604</v>
      </c>
      <c r="D2003" s="6">
        <v>45961</v>
      </c>
      <c r="E2003" s="6">
        <v>45968</v>
      </c>
      <c r="F2003" s="6">
        <v>45964</v>
      </c>
      <c r="G2003" s="5" t="s">
        <v>2641</v>
      </c>
      <c r="H2003" s="5">
        <v>48</v>
      </c>
      <c r="I2003" s="5">
        <f>IFERROR(INDEX(Raw_Orders!H2003:H4431,MATCH(B2003,Raw_Orders!A2003:A4431,0)),0)</f>
        <v>48</v>
      </c>
      <c r="J2003" s="5" t="str">
        <f t="shared" si="124"/>
        <v>Yes</v>
      </c>
      <c r="K2003" s="5" t="str">
        <f t="shared" si="125"/>
        <v>Yes</v>
      </c>
      <c r="L2003" s="5" t="str">
        <f t="shared" si="127"/>
        <v>Yes</v>
      </c>
      <c r="M2003" s="5">
        <f t="shared" si="126"/>
        <v>1</v>
      </c>
    </row>
    <row r="2004" spans="1:13" x14ac:dyDescent="0.3">
      <c r="A2004" s="2" t="s">
        <v>4633</v>
      </c>
      <c r="B2004" s="2" t="s">
        <v>2153</v>
      </c>
      <c r="C2004" s="2" t="s">
        <v>2616</v>
      </c>
      <c r="D2004" s="3">
        <v>45960</v>
      </c>
      <c r="E2004" s="3">
        <v>45967</v>
      </c>
      <c r="F2004" s="3">
        <v>45977</v>
      </c>
      <c r="G2004" s="2" t="s">
        <v>2641</v>
      </c>
      <c r="H2004" s="2">
        <v>26</v>
      </c>
      <c r="I2004" s="2">
        <f>IFERROR(INDEX(Raw_Orders!H2004:H4432,MATCH(B2004,Raw_Orders!A2004:A4432,0)),0)</f>
        <v>26</v>
      </c>
      <c r="J2004" s="2" t="str">
        <f t="shared" si="124"/>
        <v>No</v>
      </c>
      <c r="K2004" s="2" t="str">
        <f t="shared" si="125"/>
        <v>Yes</v>
      </c>
      <c r="L2004" s="2" t="str">
        <f t="shared" si="127"/>
        <v>No</v>
      </c>
      <c r="M2004" s="2">
        <f t="shared" si="126"/>
        <v>0</v>
      </c>
    </row>
    <row r="2005" spans="1:13" x14ac:dyDescent="0.3">
      <c r="A2005" s="5" t="s">
        <v>4634</v>
      </c>
      <c r="B2005" s="5" t="s">
        <v>2154</v>
      </c>
      <c r="C2005" s="5" t="s">
        <v>2606</v>
      </c>
      <c r="D2005" s="6">
        <v>45962</v>
      </c>
      <c r="E2005" s="6">
        <v>45968</v>
      </c>
      <c r="F2005" s="6">
        <v>45967</v>
      </c>
      <c r="G2005" s="5" t="s">
        <v>2627</v>
      </c>
      <c r="H2005" s="5">
        <v>33</v>
      </c>
      <c r="I2005" s="5">
        <f>IFERROR(INDEX(Raw_Orders!H2005:H4433,MATCH(B2005,Raw_Orders!A2005:A4433,0)),0)</f>
        <v>33</v>
      </c>
      <c r="J2005" s="5" t="str">
        <f t="shared" si="124"/>
        <v>Yes</v>
      </c>
      <c r="K2005" s="5" t="str">
        <f t="shared" si="125"/>
        <v>Yes</v>
      </c>
      <c r="L2005" s="5" t="str">
        <f t="shared" si="127"/>
        <v>Yes</v>
      </c>
      <c r="M2005" s="5">
        <f t="shared" si="126"/>
        <v>1</v>
      </c>
    </row>
    <row r="2006" spans="1:13" x14ac:dyDescent="0.3">
      <c r="A2006" s="2" t="s">
        <v>4635</v>
      </c>
      <c r="B2006" s="2" t="s">
        <v>2155</v>
      </c>
      <c r="C2006" s="2" t="s">
        <v>2608</v>
      </c>
      <c r="D2006" s="3">
        <v>45961</v>
      </c>
      <c r="E2006" s="3">
        <v>45968</v>
      </c>
      <c r="F2006" s="3">
        <v>45974</v>
      </c>
      <c r="G2006" s="2" t="s">
        <v>2631</v>
      </c>
      <c r="H2006" s="2">
        <v>27</v>
      </c>
      <c r="I2006" s="2">
        <f>IFERROR(INDEX(Raw_Orders!H2006:H4434,MATCH(B2006,Raw_Orders!A2006:A4434,0)),0)</f>
        <v>27</v>
      </c>
      <c r="J2006" s="2" t="str">
        <f t="shared" si="124"/>
        <v>No</v>
      </c>
      <c r="K2006" s="2" t="str">
        <f t="shared" si="125"/>
        <v>Yes</v>
      </c>
      <c r="L2006" s="2" t="str">
        <f t="shared" si="127"/>
        <v>No</v>
      </c>
      <c r="M2006" s="2">
        <f t="shared" si="126"/>
        <v>0</v>
      </c>
    </row>
    <row r="2007" spans="1:13" x14ac:dyDescent="0.3">
      <c r="A2007" s="5" t="s">
        <v>4636</v>
      </c>
      <c r="B2007" s="5" t="s">
        <v>2156</v>
      </c>
      <c r="C2007" s="5" t="s">
        <v>2608</v>
      </c>
      <c r="D2007" s="6">
        <v>45961</v>
      </c>
      <c r="E2007" s="6">
        <v>45967</v>
      </c>
      <c r="F2007" s="6">
        <v>45974</v>
      </c>
      <c r="G2007" s="5" t="s">
        <v>2631</v>
      </c>
      <c r="H2007" s="5">
        <v>8</v>
      </c>
      <c r="I2007" s="5">
        <f>IFERROR(INDEX(Raw_Orders!H2007:H4435,MATCH(B2007,Raw_Orders!A2007:A4435,0)),0)</f>
        <v>8</v>
      </c>
      <c r="J2007" s="5" t="str">
        <f t="shared" si="124"/>
        <v>No</v>
      </c>
      <c r="K2007" s="5" t="str">
        <f t="shared" si="125"/>
        <v>Yes</v>
      </c>
      <c r="L2007" s="5" t="str">
        <f t="shared" si="127"/>
        <v>No</v>
      </c>
      <c r="M2007" s="5">
        <f t="shared" si="126"/>
        <v>0</v>
      </c>
    </row>
    <row r="2008" spans="1:13" x14ac:dyDescent="0.3">
      <c r="A2008" s="2" t="s">
        <v>4637</v>
      </c>
      <c r="B2008" s="2" t="s">
        <v>2157</v>
      </c>
      <c r="C2008" s="2" t="s">
        <v>2611</v>
      </c>
      <c r="D2008" s="3">
        <v>45961</v>
      </c>
      <c r="E2008" s="3">
        <v>45970</v>
      </c>
      <c r="F2008" s="3">
        <v>45968</v>
      </c>
      <c r="G2008" s="2" t="s">
        <v>2627</v>
      </c>
      <c r="H2008" s="2">
        <v>32</v>
      </c>
      <c r="I2008" s="2">
        <f>IFERROR(INDEX(Raw_Orders!H2008:H4436,MATCH(B2008,Raw_Orders!A2008:A4436,0)),0)</f>
        <v>32</v>
      </c>
      <c r="J2008" s="2" t="str">
        <f t="shared" si="124"/>
        <v>Yes</v>
      </c>
      <c r="K2008" s="2" t="str">
        <f t="shared" si="125"/>
        <v>Yes</v>
      </c>
      <c r="L2008" s="2" t="str">
        <f t="shared" si="127"/>
        <v>Yes</v>
      </c>
      <c r="M2008" s="2">
        <f t="shared" si="126"/>
        <v>1</v>
      </c>
    </row>
    <row r="2009" spans="1:13" x14ac:dyDescent="0.3">
      <c r="A2009" s="5" t="s">
        <v>4638</v>
      </c>
      <c r="B2009" s="5" t="s">
        <v>2158</v>
      </c>
      <c r="C2009" s="5" t="s">
        <v>2614</v>
      </c>
      <c r="D2009" s="6">
        <v>45961</v>
      </c>
      <c r="E2009" s="6">
        <v>45971</v>
      </c>
      <c r="F2009" s="6">
        <v>45975</v>
      </c>
      <c r="G2009" s="5" t="s">
        <v>2641</v>
      </c>
      <c r="H2009" s="5">
        <v>17</v>
      </c>
      <c r="I2009" s="5">
        <f>IFERROR(INDEX(Raw_Orders!H2009:H4437,MATCH(B2009,Raw_Orders!A2009:A4437,0)),0)</f>
        <v>17</v>
      </c>
      <c r="J2009" s="5" t="str">
        <f t="shared" si="124"/>
        <v>No</v>
      </c>
      <c r="K2009" s="5" t="str">
        <f t="shared" si="125"/>
        <v>Yes</v>
      </c>
      <c r="L2009" s="5" t="str">
        <f t="shared" si="127"/>
        <v>No</v>
      </c>
      <c r="M2009" s="5">
        <f t="shared" si="126"/>
        <v>0</v>
      </c>
    </row>
    <row r="2010" spans="1:13" x14ac:dyDescent="0.3">
      <c r="A2010" s="2" t="s">
        <v>4639</v>
      </c>
      <c r="B2010" s="2" t="s">
        <v>2159</v>
      </c>
      <c r="C2010" s="2" t="s">
        <v>2601</v>
      </c>
      <c r="D2010" s="3">
        <v>45963</v>
      </c>
      <c r="E2010" s="3">
        <v>45968</v>
      </c>
      <c r="F2010" s="3">
        <v>45968</v>
      </c>
      <c r="G2010" s="2" t="s">
        <v>2627</v>
      </c>
      <c r="H2010" s="2">
        <v>23</v>
      </c>
      <c r="I2010" s="2">
        <f>IFERROR(INDEX(Raw_Orders!H2010:H4438,MATCH(B2010,Raw_Orders!A2010:A4438,0)),0)</f>
        <v>23</v>
      </c>
      <c r="J2010" s="2" t="str">
        <f t="shared" si="124"/>
        <v>Yes</v>
      </c>
      <c r="K2010" s="2" t="str">
        <f t="shared" si="125"/>
        <v>Yes</v>
      </c>
      <c r="L2010" s="2" t="str">
        <f t="shared" si="127"/>
        <v>Yes</v>
      </c>
      <c r="M2010" s="2">
        <f t="shared" si="126"/>
        <v>1</v>
      </c>
    </row>
    <row r="2011" spans="1:13" x14ac:dyDescent="0.3">
      <c r="A2011" s="5" t="s">
        <v>4640</v>
      </c>
      <c r="B2011" s="5" t="s">
        <v>2160</v>
      </c>
      <c r="C2011" s="5" t="s">
        <v>2616</v>
      </c>
      <c r="D2011" s="6">
        <v>45962</v>
      </c>
      <c r="E2011" s="6">
        <v>45965</v>
      </c>
      <c r="F2011" s="6">
        <v>45977</v>
      </c>
      <c r="G2011" s="5" t="s">
        <v>2633</v>
      </c>
      <c r="H2011" s="5">
        <v>22</v>
      </c>
      <c r="I2011" s="5">
        <f>IFERROR(INDEX(Raw_Orders!H2011:H4439,MATCH(B2011,Raw_Orders!A2011:A4439,0)),0)</f>
        <v>22</v>
      </c>
      <c r="J2011" s="5" t="str">
        <f t="shared" si="124"/>
        <v>No</v>
      </c>
      <c r="K2011" s="5" t="str">
        <f t="shared" si="125"/>
        <v>Yes</v>
      </c>
      <c r="L2011" s="5" t="str">
        <f t="shared" si="127"/>
        <v>No</v>
      </c>
      <c r="M2011" s="5">
        <f t="shared" si="126"/>
        <v>0</v>
      </c>
    </row>
    <row r="2012" spans="1:13" x14ac:dyDescent="0.3">
      <c r="A2012" s="2" t="s">
        <v>4641</v>
      </c>
      <c r="B2012" s="2" t="s">
        <v>2161</v>
      </c>
      <c r="C2012" s="2" t="s">
        <v>2616</v>
      </c>
      <c r="D2012" s="3">
        <v>45963</v>
      </c>
      <c r="E2012" s="3">
        <v>45970</v>
      </c>
      <c r="F2012" s="3">
        <v>45979</v>
      </c>
      <c r="G2012" s="2" t="s">
        <v>2641</v>
      </c>
      <c r="H2012" s="2">
        <v>21</v>
      </c>
      <c r="I2012" s="2">
        <f>IFERROR(INDEX(Raw_Orders!H2012:H4440,MATCH(B2012,Raw_Orders!A2012:A4440,0)),0)</f>
        <v>21</v>
      </c>
      <c r="J2012" s="2" t="str">
        <f t="shared" si="124"/>
        <v>No</v>
      </c>
      <c r="K2012" s="2" t="str">
        <f t="shared" si="125"/>
        <v>Yes</v>
      </c>
      <c r="L2012" s="2" t="str">
        <f t="shared" si="127"/>
        <v>No</v>
      </c>
      <c r="M2012" s="2">
        <f t="shared" si="126"/>
        <v>0</v>
      </c>
    </row>
    <row r="2013" spans="1:13" x14ac:dyDescent="0.3">
      <c r="A2013" s="5" t="s">
        <v>4642</v>
      </c>
      <c r="B2013" s="5" t="s">
        <v>2162</v>
      </c>
      <c r="C2013" s="5" t="s">
        <v>2606</v>
      </c>
      <c r="D2013" s="6">
        <v>45961</v>
      </c>
      <c r="E2013" s="6">
        <v>45970</v>
      </c>
      <c r="F2013" s="6">
        <v>45966</v>
      </c>
      <c r="G2013" s="5" t="s">
        <v>2641</v>
      </c>
      <c r="H2013" s="5">
        <v>28</v>
      </c>
      <c r="I2013" s="5">
        <f>IFERROR(INDEX(Raw_Orders!H2013:H4441,MATCH(B2013,Raw_Orders!A2013:A4441,0)),0)</f>
        <v>28</v>
      </c>
      <c r="J2013" s="5" t="str">
        <f t="shared" si="124"/>
        <v>Yes</v>
      </c>
      <c r="K2013" s="5" t="str">
        <f t="shared" si="125"/>
        <v>Yes</v>
      </c>
      <c r="L2013" s="5" t="str">
        <f t="shared" si="127"/>
        <v>Yes</v>
      </c>
      <c r="M2013" s="5">
        <f t="shared" si="126"/>
        <v>1</v>
      </c>
    </row>
    <row r="2014" spans="1:13" x14ac:dyDescent="0.3">
      <c r="A2014" s="2" t="s">
        <v>4643</v>
      </c>
      <c r="B2014" s="2" t="s">
        <v>2163</v>
      </c>
      <c r="C2014" s="2" t="s">
        <v>2608</v>
      </c>
      <c r="D2014" s="3">
        <v>45962</v>
      </c>
      <c r="E2014" s="3">
        <v>45967</v>
      </c>
      <c r="F2014" s="3">
        <v>45975</v>
      </c>
      <c r="G2014" s="2" t="s">
        <v>2631</v>
      </c>
      <c r="H2014" s="2">
        <v>8</v>
      </c>
      <c r="I2014" s="2">
        <f>IFERROR(INDEX(Raw_Orders!H2014:H4442,MATCH(B2014,Raw_Orders!A2014:A4442,0)),0)</f>
        <v>8</v>
      </c>
      <c r="J2014" s="2" t="str">
        <f t="shared" si="124"/>
        <v>No</v>
      </c>
      <c r="K2014" s="2" t="str">
        <f t="shared" si="125"/>
        <v>Yes</v>
      </c>
      <c r="L2014" s="2" t="str">
        <f t="shared" si="127"/>
        <v>No</v>
      </c>
      <c r="M2014" s="2">
        <f t="shared" si="126"/>
        <v>0</v>
      </c>
    </row>
    <row r="2015" spans="1:13" x14ac:dyDescent="0.3">
      <c r="A2015" s="5" t="s">
        <v>4644</v>
      </c>
      <c r="B2015" s="5" t="s">
        <v>2164</v>
      </c>
      <c r="C2015" s="5" t="s">
        <v>2598</v>
      </c>
      <c r="D2015" s="6">
        <v>45963</v>
      </c>
      <c r="E2015" s="6">
        <v>45972</v>
      </c>
      <c r="F2015" s="6">
        <v>45976</v>
      </c>
      <c r="G2015" s="5" t="s">
        <v>2641</v>
      </c>
      <c r="H2015" s="5">
        <v>63</v>
      </c>
      <c r="I2015" s="5">
        <f>IFERROR(INDEX(Raw_Orders!H2015:H4443,MATCH(B2015,Raw_Orders!A2015:A4443,0)),0)</f>
        <v>68</v>
      </c>
      <c r="J2015" s="5" t="str">
        <f t="shared" si="124"/>
        <v>No</v>
      </c>
      <c r="K2015" s="5" t="str">
        <f t="shared" si="125"/>
        <v>N0</v>
      </c>
      <c r="L2015" s="5" t="str">
        <f t="shared" si="127"/>
        <v>No</v>
      </c>
      <c r="M2015" s="5">
        <f t="shared" si="126"/>
        <v>0</v>
      </c>
    </row>
    <row r="2016" spans="1:13" x14ac:dyDescent="0.3">
      <c r="A2016" s="2" t="s">
        <v>4645</v>
      </c>
      <c r="B2016" s="2" t="s">
        <v>2165</v>
      </c>
      <c r="C2016" s="2" t="s">
        <v>2598</v>
      </c>
      <c r="D2016" s="3">
        <v>45962</v>
      </c>
      <c r="E2016" s="3">
        <v>45968</v>
      </c>
      <c r="F2016" s="3">
        <v>45974</v>
      </c>
      <c r="G2016" s="2" t="s">
        <v>2629</v>
      </c>
      <c r="H2016" s="2">
        <v>23</v>
      </c>
      <c r="I2016" s="2">
        <f>IFERROR(INDEX(Raw_Orders!H2016:H4444,MATCH(B2016,Raw_Orders!A2016:A4444,0)),0)</f>
        <v>23</v>
      </c>
      <c r="J2016" s="2" t="str">
        <f t="shared" si="124"/>
        <v>No</v>
      </c>
      <c r="K2016" s="2" t="str">
        <f t="shared" si="125"/>
        <v>Yes</v>
      </c>
      <c r="L2016" s="2" t="str">
        <f t="shared" si="127"/>
        <v>No</v>
      </c>
      <c r="M2016" s="2">
        <f t="shared" si="126"/>
        <v>0</v>
      </c>
    </row>
    <row r="2017" spans="1:13" x14ac:dyDescent="0.3">
      <c r="A2017" s="5" t="s">
        <v>4646</v>
      </c>
      <c r="B2017" s="5" t="s">
        <v>2166</v>
      </c>
      <c r="C2017" s="5" t="s">
        <v>2611</v>
      </c>
      <c r="D2017" s="6">
        <v>45964</v>
      </c>
      <c r="E2017" s="6">
        <v>45965</v>
      </c>
      <c r="F2017" s="6">
        <v>45975</v>
      </c>
      <c r="G2017" s="5" t="s">
        <v>2627</v>
      </c>
      <c r="H2017" s="5">
        <v>64</v>
      </c>
      <c r="I2017" s="5">
        <f>IFERROR(INDEX(Raw_Orders!H2017:H4445,MATCH(B2017,Raw_Orders!A2017:A4445,0)),0)</f>
        <v>66</v>
      </c>
      <c r="J2017" s="5" t="str">
        <f t="shared" si="124"/>
        <v>No</v>
      </c>
      <c r="K2017" s="5" t="str">
        <f t="shared" si="125"/>
        <v>N0</v>
      </c>
      <c r="L2017" s="5" t="str">
        <f t="shared" si="127"/>
        <v>No</v>
      </c>
      <c r="M2017" s="5">
        <f t="shared" si="126"/>
        <v>0</v>
      </c>
    </row>
    <row r="2018" spans="1:13" x14ac:dyDescent="0.3">
      <c r="A2018" s="2" t="s">
        <v>4647</v>
      </c>
      <c r="B2018" s="2" t="s">
        <v>2167</v>
      </c>
      <c r="C2018" s="2" t="s">
        <v>2601</v>
      </c>
      <c r="D2018" s="3">
        <v>45964</v>
      </c>
      <c r="E2018" s="3">
        <v>45971</v>
      </c>
      <c r="F2018" s="3">
        <v>45969</v>
      </c>
      <c r="G2018" s="2" t="s">
        <v>2629</v>
      </c>
      <c r="H2018" s="2">
        <v>19</v>
      </c>
      <c r="I2018" s="2">
        <f>IFERROR(INDEX(Raw_Orders!H2018:H4446,MATCH(B2018,Raw_Orders!A2018:A4446,0)),0)</f>
        <v>19</v>
      </c>
      <c r="J2018" s="2" t="str">
        <f t="shared" si="124"/>
        <v>Yes</v>
      </c>
      <c r="K2018" s="2" t="str">
        <f t="shared" si="125"/>
        <v>Yes</v>
      </c>
      <c r="L2018" s="2" t="str">
        <f t="shared" si="127"/>
        <v>Yes</v>
      </c>
      <c r="M2018" s="2">
        <f t="shared" si="126"/>
        <v>1</v>
      </c>
    </row>
    <row r="2019" spans="1:13" x14ac:dyDescent="0.3">
      <c r="A2019" s="5" t="s">
        <v>4648</v>
      </c>
      <c r="B2019" s="5" t="s">
        <v>2168</v>
      </c>
      <c r="C2019" s="5" t="s">
        <v>2608</v>
      </c>
      <c r="D2019" s="6">
        <v>45963</v>
      </c>
      <c r="E2019" s="6">
        <v>45970</v>
      </c>
      <c r="F2019" s="6">
        <v>45980</v>
      </c>
      <c r="G2019" s="5" t="s">
        <v>2633</v>
      </c>
      <c r="H2019" s="5">
        <v>27</v>
      </c>
      <c r="I2019" s="5">
        <f>IFERROR(INDEX(Raw_Orders!H2019:H4447,MATCH(B2019,Raw_Orders!A2019:A4447,0)),0)</f>
        <v>27</v>
      </c>
      <c r="J2019" s="5" t="str">
        <f t="shared" si="124"/>
        <v>No</v>
      </c>
      <c r="K2019" s="5" t="str">
        <f t="shared" si="125"/>
        <v>Yes</v>
      </c>
      <c r="L2019" s="5" t="str">
        <f t="shared" si="127"/>
        <v>No</v>
      </c>
      <c r="M2019" s="5">
        <f t="shared" si="126"/>
        <v>0</v>
      </c>
    </row>
    <row r="2020" spans="1:13" x14ac:dyDescent="0.3">
      <c r="A2020" s="2" t="s">
        <v>4649</v>
      </c>
      <c r="B2020" s="2" t="s">
        <v>2169</v>
      </c>
      <c r="C2020" s="2" t="s">
        <v>2608</v>
      </c>
      <c r="D2020" s="3">
        <v>45962</v>
      </c>
      <c r="E2020" s="3">
        <v>45967</v>
      </c>
      <c r="F2020" s="3">
        <v>45975</v>
      </c>
      <c r="G2020" s="2" t="s">
        <v>2633</v>
      </c>
      <c r="H2020" s="2">
        <v>3</v>
      </c>
      <c r="I2020" s="2">
        <f>IFERROR(INDEX(Raw_Orders!H2020:H4448,MATCH(B2020,Raw_Orders!A2020:A4448,0)),0)</f>
        <v>3</v>
      </c>
      <c r="J2020" s="2" t="str">
        <f t="shared" si="124"/>
        <v>No</v>
      </c>
      <c r="K2020" s="2" t="str">
        <f t="shared" si="125"/>
        <v>Yes</v>
      </c>
      <c r="L2020" s="2" t="str">
        <f t="shared" si="127"/>
        <v>No</v>
      </c>
      <c r="M2020" s="2">
        <f t="shared" si="126"/>
        <v>0</v>
      </c>
    </row>
    <row r="2021" spans="1:13" x14ac:dyDescent="0.3">
      <c r="A2021" s="5" t="s">
        <v>4650</v>
      </c>
      <c r="B2021" s="5" t="s">
        <v>2170</v>
      </c>
      <c r="C2021" s="5" t="s">
        <v>2598</v>
      </c>
      <c r="D2021" s="6">
        <v>45963</v>
      </c>
      <c r="E2021" s="6">
        <v>45973</v>
      </c>
      <c r="F2021" s="6">
        <v>45980</v>
      </c>
      <c r="G2021" s="5" t="s">
        <v>2641</v>
      </c>
      <c r="H2021" s="5">
        <v>36</v>
      </c>
      <c r="I2021" s="5">
        <f>IFERROR(INDEX(Raw_Orders!H2021:H4449,MATCH(B2021,Raw_Orders!A2021:A4449,0)),0)</f>
        <v>36</v>
      </c>
      <c r="J2021" s="5" t="str">
        <f t="shared" si="124"/>
        <v>No</v>
      </c>
      <c r="K2021" s="5" t="str">
        <f t="shared" si="125"/>
        <v>Yes</v>
      </c>
      <c r="L2021" s="5" t="str">
        <f t="shared" si="127"/>
        <v>No</v>
      </c>
      <c r="M2021" s="5">
        <f t="shared" si="126"/>
        <v>0</v>
      </c>
    </row>
    <row r="2022" spans="1:13" x14ac:dyDescent="0.3">
      <c r="A2022" s="2" t="s">
        <v>4651</v>
      </c>
      <c r="B2022" s="2" t="s">
        <v>2171</v>
      </c>
      <c r="C2022" s="2" t="s">
        <v>2598</v>
      </c>
      <c r="D2022" s="3">
        <v>45964</v>
      </c>
      <c r="E2022" s="3">
        <v>45971</v>
      </c>
      <c r="F2022" s="3">
        <v>45978</v>
      </c>
      <c r="G2022" s="2" t="s">
        <v>2627</v>
      </c>
      <c r="H2022" s="2">
        <v>49</v>
      </c>
      <c r="I2022" s="2">
        <f>IFERROR(INDEX(Raw_Orders!H2022:H4450,MATCH(B2022,Raw_Orders!A2022:A4450,0)),0)</f>
        <v>49</v>
      </c>
      <c r="J2022" s="2" t="str">
        <f t="shared" si="124"/>
        <v>No</v>
      </c>
      <c r="K2022" s="2" t="str">
        <f t="shared" si="125"/>
        <v>Yes</v>
      </c>
      <c r="L2022" s="2" t="str">
        <f t="shared" si="127"/>
        <v>No</v>
      </c>
      <c r="M2022" s="2">
        <f t="shared" si="126"/>
        <v>0</v>
      </c>
    </row>
    <row r="2023" spans="1:13" x14ac:dyDescent="0.3">
      <c r="A2023" s="5" t="s">
        <v>4652</v>
      </c>
      <c r="B2023" s="5" t="s">
        <v>2172</v>
      </c>
      <c r="C2023" s="5" t="s">
        <v>2601</v>
      </c>
      <c r="D2023" s="6">
        <v>45963</v>
      </c>
      <c r="E2023" s="6">
        <v>45973</v>
      </c>
      <c r="F2023" s="6">
        <v>45968</v>
      </c>
      <c r="G2023" s="5" t="s">
        <v>2631</v>
      </c>
      <c r="H2023" s="5">
        <v>11</v>
      </c>
      <c r="I2023" s="5">
        <f>IFERROR(INDEX(Raw_Orders!H2023:H4451,MATCH(B2023,Raw_Orders!A2023:A4451,0)),0)</f>
        <v>13</v>
      </c>
      <c r="J2023" s="5" t="str">
        <f t="shared" si="124"/>
        <v>Yes</v>
      </c>
      <c r="K2023" s="5" t="str">
        <f t="shared" si="125"/>
        <v>N0</v>
      </c>
      <c r="L2023" s="5" t="str">
        <f t="shared" si="127"/>
        <v>No</v>
      </c>
      <c r="M2023" s="5">
        <f t="shared" si="126"/>
        <v>0</v>
      </c>
    </row>
    <row r="2024" spans="1:13" x14ac:dyDescent="0.3">
      <c r="A2024" s="2" t="s">
        <v>4653</v>
      </c>
      <c r="B2024" s="2" t="s">
        <v>2173</v>
      </c>
      <c r="C2024" s="2" t="s">
        <v>2604</v>
      </c>
      <c r="D2024" s="3">
        <v>45963</v>
      </c>
      <c r="E2024" s="3">
        <v>45973</v>
      </c>
      <c r="F2024" s="3">
        <v>45968</v>
      </c>
      <c r="G2024" s="2" t="s">
        <v>2641</v>
      </c>
      <c r="H2024" s="2">
        <v>18</v>
      </c>
      <c r="I2024" s="2">
        <f>IFERROR(INDEX(Raw_Orders!H2024:H4452,MATCH(B2024,Raw_Orders!A2024:A4452,0)),0)</f>
        <v>18</v>
      </c>
      <c r="J2024" s="2" t="str">
        <f t="shared" si="124"/>
        <v>Yes</v>
      </c>
      <c r="K2024" s="2" t="str">
        <f t="shared" si="125"/>
        <v>Yes</v>
      </c>
      <c r="L2024" s="2" t="str">
        <f t="shared" si="127"/>
        <v>Yes</v>
      </c>
      <c r="M2024" s="2">
        <f t="shared" si="126"/>
        <v>1</v>
      </c>
    </row>
    <row r="2025" spans="1:13" x14ac:dyDescent="0.3">
      <c r="A2025" s="5" t="s">
        <v>4654</v>
      </c>
      <c r="B2025" s="5" t="s">
        <v>2174</v>
      </c>
      <c r="C2025" s="5" t="s">
        <v>2606</v>
      </c>
      <c r="D2025" s="6">
        <v>45964</v>
      </c>
      <c r="E2025" s="6">
        <v>45971</v>
      </c>
      <c r="F2025" s="6">
        <v>45971</v>
      </c>
      <c r="G2025" s="5" t="s">
        <v>2631</v>
      </c>
      <c r="H2025" s="5">
        <v>48</v>
      </c>
      <c r="I2025" s="5">
        <f>IFERROR(INDEX(Raw_Orders!H2025:H4453,MATCH(B2025,Raw_Orders!A2025:A4453,0)),0)</f>
        <v>48</v>
      </c>
      <c r="J2025" s="5" t="str">
        <f t="shared" si="124"/>
        <v>Yes</v>
      </c>
      <c r="K2025" s="5" t="str">
        <f t="shared" si="125"/>
        <v>Yes</v>
      </c>
      <c r="L2025" s="5" t="str">
        <f t="shared" si="127"/>
        <v>Yes</v>
      </c>
      <c r="M2025" s="5">
        <f t="shared" si="126"/>
        <v>1</v>
      </c>
    </row>
    <row r="2026" spans="1:13" x14ac:dyDescent="0.3">
      <c r="A2026" s="2" t="s">
        <v>4655</v>
      </c>
      <c r="B2026" s="2" t="s">
        <v>2175</v>
      </c>
      <c r="C2026" s="2" t="s">
        <v>2614</v>
      </c>
      <c r="D2026" s="3">
        <v>45964</v>
      </c>
      <c r="E2026" s="3">
        <v>45971</v>
      </c>
      <c r="F2026" s="3">
        <v>45979</v>
      </c>
      <c r="G2026" s="2" t="s">
        <v>2633</v>
      </c>
      <c r="H2026" s="2">
        <v>19</v>
      </c>
      <c r="I2026" s="2">
        <f>IFERROR(INDEX(Raw_Orders!H2026:H4454,MATCH(B2026,Raw_Orders!A2026:A4454,0)),0)</f>
        <v>20</v>
      </c>
      <c r="J2026" s="2" t="str">
        <f t="shared" si="124"/>
        <v>No</v>
      </c>
      <c r="K2026" s="2" t="str">
        <f t="shared" si="125"/>
        <v>N0</v>
      </c>
      <c r="L2026" s="2" t="str">
        <f t="shared" si="127"/>
        <v>No</v>
      </c>
      <c r="M2026" s="2">
        <f t="shared" si="126"/>
        <v>0</v>
      </c>
    </row>
    <row r="2027" spans="1:13" x14ac:dyDescent="0.3">
      <c r="A2027" s="5" t="s">
        <v>4656</v>
      </c>
      <c r="B2027" s="5" t="s">
        <v>2176</v>
      </c>
      <c r="C2027" s="5" t="s">
        <v>2604</v>
      </c>
      <c r="D2027" s="6">
        <v>45966</v>
      </c>
      <c r="E2027" s="6">
        <v>45972</v>
      </c>
      <c r="F2027" s="6">
        <v>45971</v>
      </c>
      <c r="G2027" s="5" t="s">
        <v>2629</v>
      </c>
      <c r="H2027" s="5">
        <v>27</v>
      </c>
      <c r="I2027" s="5">
        <f>IFERROR(INDEX(Raw_Orders!H2027:H4455,MATCH(B2027,Raw_Orders!A2027:A4455,0)),0)</f>
        <v>27</v>
      </c>
      <c r="J2027" s="5" t="str">
        <f t="shared" si="124"/>
        <v>Yes</v>
      </c>
      <c r="K2027" s="5" t="str">
        <f t="shared" si="125"/>
        <v>Yes</v>
      </c>
      <c r="L2027" s="5" t="str">
        <f t="shared" si="127"/>
        <v>Yes</v>
      </c>
      <c r="M2027" s="5">
        <f t="shared" si="126"/>
        <v>1</v>
      </c>
    </row>
    <row r="2028" spans="1:13" x14ac:dyDescent="0.3">
      <c r="A2028" s="2" t="s">
        <v>4657</v>
      </c>
      <c r="B2028" s="2" t="s">
        <v>2177</v>
      </c>
      <c r="C2028" s="2" t="s">
        <v>2606</v>
      </c>
      <c r="D2028" s="3">
        <v>45965</v>
      </c>
      <c r="E2028" s="3">
        <v>45968</v>
      </c>
      <c r="F2028" s="3">
        <v>45971</v>
      </c>
      <c r="G2028" s="2" t="s">
        <v>2627</v>
      </c>
      <c r="H2028" s="2">
        <v>82</v>
      </c>
      <c r="I2028" s="2">
        <f>IFERROR(INDEX(Raw_Orders!H2028:H4456,MATCH(B2028,Raw_Orders!A2028:A4456,0)),0)</f>
        <v>82</v>
      </c>
      <c r="J2028" s="2" t="str">
        <f t="shared" si="124"/>
        <v>No</v>
      </c>
      <c r="K2028" s="2" t="str">
        <f t="shared" si="125"/>
        <v>Yes</v>
      </c>
      <c r="L2028" s="2" t="str">
        <f t="shared" si="127"/>
        <v>No</v>
      </c>
      <c r="M2028" s="2">
        <f t="shared" si="126"/>
        <v>0</v>
      </c>
    </row>
    <row r="2029" spans="1:13" x14ac:dyDescent="0.3">
      <c r="A2029" s="5" t="s">
        <v>4658</v>
      </c>
      <c r="B2029" s="5" t="s">
        <v>2178</v>
      </c>
      <c r="C2029" s="5" t="s">
        <v>2608</v>
      </c>
      <c r="D2029" s="6">
        <v>45966</v>
      </c>
      <c r="E2029" s="6">
        <v>45969</v>
      </c>
      <c r="F2029" s="6">
        <v>45981</v>
      </c>
      <c r="G2029" s="5" t="s">
        <v>2629</v>
      </c>
      <c r="H2029" s="5">
        <v>13</v>
      </c>
      <c r="I2029" s="5">
        <f>IFERROR(INDEX(Raw_Orders!H2029:H4457,MATCH(B2029,Raw_Orders!A2029:A4457,0)),0)</f>
        <v>13</v>
      </c>
      <c r="J2029" s="5" t="str">
        <f t="shared" si="124"/>
        <v>No</v>
      </c>
      <c r="K2029" s="5" t="str">
        <f t="shared" si="125"/>
        <v>Yes</v>
      </c>
      <c r="L2029" s="5" t="str">
        <f t="shared" si="127"/>
        <v>No</v>
      </c>
      <c r="M2029" s="5">
        <f t="shared" si="126"/>
        <v>0</v>
      </c>
    </row>
    <row r="2030" spans="1:13" x14ac:dyDescent="0.3">
      <c r="A2030" s="2" t="s">
        <v>4659</v>
      </c>
      <c r="B2030" s="2" t="s">
        <v>2179</v>
      </c>
      <c r="C2030" s="2" t="s">
        <v>2598</v>
      </c>
      <c r="D2030" s="3">
        <v>45967</v>
      </c>
      <c r="E2030" s="3">
        <v>45974</v>
      </c>
      <c r="F2030" s="3">
        <v>45982</v>
      </c>
      <c r="G2030" s="2" t="s">
        <v>2631</v>
      </c>
      <c r="H2030" s="2">
        <v>36</v>
      </c>
      <c r="I2030" s="2">
        <f>IFERROR(INDEX(Raw_Orders!H2030:H4458,MATCH(B2030,Raw_Orders!A2030:A4458,0)),0)</f>
        <v>36</v>
      </c>
      <c r="J2030" s="2" t="str">
        <f t="shared" si="124"/>
        <v>No</v>
      </c>
      <c r="K2030" s="2" t="str">
        <f t="shared" si="125"/>
        <v>Yes</v>
      </c>
      <c r="L2030" s="2" t="str">
        <f t="shared" si="127"/>
        <v>No</v>
      </c>
      <c r="M2030" s="2">
        <f t="shared" si="126"/>
        <v>0</v>
      </c>
    </row>
    <row r="2031" spans="1:13" x14ac:dyDescent="0.3">
      <c r="A2031" s="5" t="s">
        <v>4660</v>
      </c>
      <c r="B2031" s="5" t="s">
        <v>2180</v>
      </c>
      <c r="C2031" s="5" t="s">
        <v>2614</v>
      </c>
      <c r="D2031" s="6">
        <v>45965</v>
      </c>
      <c r="E2031" s="6">
        <v>45973</v>
      </c>
      <c r="F2031" s="6">
        <v>45981</v>
      </c>
      <c r="G2031" s="5" t="s">
        <v>2631</v>
      </c>
      <c r="H2031" s="5">
        <v>25</v>
      </c>
      <c r="I2031" s="5">
        <f>IFERROR(INDEX(Raw_Orders!H2031:H4459,MATCH(B2031,Raw_Orders!A2031:A4459,0)),0)</f>
        <v>25</v>
      </c>
      <c r="J2031" s="5" t="str">
        <f t="shared" si="124"/>
        <v>No</v>
      </c>
      <c r="K2031" s="5" t="str">
        <f t="shared" si="125"/>
        <v>Yes</v>
      </c>
      <c r="L2031" s="5" t="str">
        <f t="shared" si="127"/>
        <v>No</v>
      </c>
      <c r="M2031" s="5">
        <f t="shared" si="126"/>
        <v>0</v>
      </c>
    </row>
    <row r="2032" spans="1:13" x14ac:dyDescent="0.3">
      <c r="A2032" s="2" t="s">
        <v>4661</v>
      </c>
      <c r="B2032" s="2" t="s">
        <v>2181</v>
      </c>
      <c r="C2032" s="2" t="s">
        <v>2601</v>
      </c>
      <c r="D2032" s="3">
        <v>45965</v>
      </c>
      <c r="E2032" s="3">
        <v>45972</v>
      </c>
      <c r="F2032" s="3">
        <v>45969</v>
      </c>
      <c r="G2032" s="2" t="s">
        <v>2627</v>
      </c>
      <c r="H2032" s="2">
        <v>39</v>
      </c>
      <c r="I2032" s="2">
        <f>IFERROR(INDEX(Raw_Orders!H2032:H4460,MATCH(B2032,Raw_Orders!A2032:A4460,0)),0)</f>
        <v>39</v>
      </c>
      <c r="J2032" s="2" t="str">
        <f t="shared" si="124"/>
        <v>Yes</v>
      </c>
      <c r="K2032" s="2" t="str">
        <f t="shared" si="125"/>
        <v>Yes</v>
      </c>
      <c r="L2032" s="2" t="str">
        <f t="shared" si="127"/>
        <v>Yes</v>
      </c>
      <c r="M2032" s="2">
        <f t="shared" si="126"/>
        <v>1</v>
      </c>
    </row>
    <row r="2033" spans="1:13" x14ac:dyDescent="0.3">
      <c r="A2033" s="5" t="s">
        <v>4662</v>
      </c>
      <c r="B2033" s="5" t="s">
        <v>2182</v>
      </c>
      <c r="C2033" s="5" t="s">
        <v>2601</v>
      </c>
      <c r="D2033" s="6">
        <v>45965</v>
      </c>
      <c r="E2033" s="6">
        <v>45974</v>
      </c>
      <c r="F2033" s="6">
        <v>45972</v>
      </c>
      <c r="G2033" s="5" t="s">
        <v>2629</v>
      </c>
      <c r="H2033" s="5">
        <v>23</v>
      </c>
      <c r="I2033" s="5">
        <f>IFERROR(INDEX(Raw_Orders!H2033:H4461,MATCH(B2033,Raw_Orders!A2033:A4461,0)),0)</f>
        <v>23</v>
      </c>
      <c r="J2033" s="5" t="str">
        <f t="shared" si="124"/>
        <v>Yes</v>
      </c>
      <c r="K2033" s="5" t="str">
        <f t="shared" si="125"/>
        <v>Yes</v>
      </c>
      <c r="L2033" s="5" t="str">
        <f t="shared" si="127"/>
        <v>Yes</v>
      </c>
      <c r="M2033" s="5">
        <f t="shared" si="126"/>
        <v>1</v>
      </c>
    </row>
    <row r="2034" spans="1:13" x14ac:dyDescent="0.3">
      <c r="A2034" s="2" t="s">
        <v>4663</v>
      </c>
      <c r="B2034" s="2" t="s">
        <v>2183</v>
      </c>
      <c r="C2034" s="2" t="s">
        <v>2616</v>
      </c>
      <c r="D2034" s="3">
        <v>45966</v>
      </c>
      <c r="E2034" s="3">
        <v>45975</v>
      </c>
      <c r="F2034" s="3">
        <v>45985</v>
      </c>
      <c r="G2034" s="2" t="s">
        <v>2633</v>
      </c>
      <c r="H2034" s="2">
        <v>15</v>
      </c>
      <c r="I2034" s="2">
        <f>IFERROR(INDEX(Raw_Orders!H2034:H4462,MATCH(B2034,Raw_Orders!A2034:A4462,0)),0)</f>
        <v>15</v>
      </c>
      <c r="J2034" s="2" t="str">
        <f t="shared" si="124"/>
        <v>No</v>
      </c>
      <c r="K2034" s="2" t="str">
        <f t="shared" si="125"/>
        <v>Yes</v>
      </c>
      <c r="L2034" s="2" t="str">
        <f t="shared" si="127"/>
        <v>No</v>
      </c>
      <c r="M2034" s="2">
        <f t="shared" si="126"/>
        <v>0</v>
      </c>
    </row>
    <row r="2035" spans="1:13" x14ac:dyDescent="0.3">
      <c r="A2035" s="5" t="s">
        <v>4664</v>
      </c>
      <c r="B2035" s="5" t="s">
        <v>2184</v>
      </c>
      <c r="C2035" s="5" t="s">
        <v>2616</v>
      </c>
      <c r="D2035" s="6">
        <v>45966</v>
      </c>
      <c r="E2035" s="6">
        <v>45968</v>
      </c>
      <c r="F2035" s="6">
        <v>45981</v>
      </c>
      <c r="G2035" s="5" t="s">
        <v>2627</v>
      </c>
      <c r="H2035" s="5">
        <v>21</v>
      </c>
      <c r="I2035" s="5">
        <f>IFERROR(INDEX(Raw_Orders!H2035:H4463,MATCH(B2035,Raw_Orders!A2035:A4463,0)),0)</f>
        <v>21</v>
      </c>
      <c r="J2035" s="5" t="str">
        <f t="shared" si="124"/>
        <v>No</v>
      </c>
      <c r="K2035" s="5" t="str">
        <f t="shared" si="125"/>
        <v>Yes</v>
      </c>
      <c r="L2035" s="5" t="str">
        <f t="shared" si="127"/>
        <v>No</v>
      </c>
      <c r="M2035" s="5">
        <f t="shared" si="126"/>
        <v>0</v>
      </c>
    </row>
    <row r="2036" spans="1:13" x14ac:dyDescent="0.3">
      <c r="A2036" s="2" t="s">
        <v>4665</v>
      </c>
      <c r="B2036" s="2" t="s">
        <v>2185</v>
      </c>
      <c r="C2036" s="2" t="s">
        <v>2606</v>
      </c>
      <c r="D2036" s="3">
        <v>45966</v>
      </c>
      <c r="E2036" s="3">
        <v>45968</v>
      </c>
      <c r="F2036" s="3">
        <v>45971</v>
      </c>
      <c r="G2036" s="2" t="s">
        <v>2633</v>
      </c>
      <c r="H2036" s="2">
        <v>96</v>
      </c>
      <c r="I2036" s="2">
        <f>IFERROR(INDEX(Raw_Orders!H2036:H4464,MATCH(B2036,Raw_Orders!A2036:A4464,0)),0)</f>
        <v>96</v>
      </c>
      <c r="J2036" s="2" t="str">
        <f t="shared" si="124"/>
        <v>No</v>
      </c>
      <c r="K2036" s="2" t="str">
        <f t="shared" si="125"/>
        <v>Yes</v>
      </c>
      <c r="L2036" s="2" t="str">
        <f t="shared" si="127"/>
        <v>No</v>
      </c>
      <c r="M2036" s="2">
        <f t="shared" si="126"/>
        <v>0</v>
      </c>
    </row>
    <row r="2037" spans="1:13" x14ac:dyDescent="0.3">
      <c r="A2037" s="5" t="s">
        <v>4666</v>
      </c>
      <c r="B2037" s="5" t="s">
        <v>2186</v>
      </c>
      <c r="C2037" s="5" t="s">
        <v>2606</v>
      </c>
      <c r="D2037" s="6">
        <v>45966</v>
      </c>
      <c r="E2037" s="6">
        <v>45968</v>
      </c>
      <c r="F2037" s="6">
        <v>45972</v>
      </c>
      <c r="G2037" s="5" t="s">
        <v>2633</v>
      </c>
      <c r="H2037" s="5">
        <v>33</v>
      </c>
      <c r="I2037" s="5">
        <f>IFERROR(INDEX(Raw_Orders!H2037:H4465,MATCH(B2037,Raw_Orders!A2037:A4465,0)),0)</f>
        <v>33</v>
      </c>
      <c r="J2037" s="5" t="str">
        <f t="shared" si="124"/>
        <v>No</v>
      </c>
      <c r="K2037" s="5" t="str">
        <f t="shared" si="125"/>
        <v>Yes</v>
      </c>
      <c r="L2037" s="5" t="str">
        <f t="shared" si="127"/>
        <v>No</v>
      </c>
      <c r="M2037" s="5">
        <f t="shared" si="126"/>
        <v>0</v>
      </c>
    </row>
    <row r="2038" spans="1:13" x14ac:dyDescent="0.3">
      <c r="A2038" s="2" t="s">
        <v>4667</v>
      </c>
      <c r="B2038" s="2" t="s">
        <v>2187</v>
      </c>
      <c r="C2038" s="2" t="s">
        <v>2608</v>
      </c>
      <c r="D2038" s="3">
        <v>45967</v>
      </c>
      <c r="E2038" s="3">
        <v>45971</v>
      </c>
      <c r="F2038" s="3">
        <v>45980</v>
      </c>
      <c r="G2038" s="2" t="s">
        <v>2629</v>
      </c>
      <c r="H2038" s="2">
        <v>9</v>
      </c>
      <c r="I2038" s="2">
        <f>IFERROR(INDEX(Raw_Orders!H2038:H4466,MATCH(B2038,Raw_Orders!A2038:A4466,0)),0)</f>
        <v>9</v>
      </c>
      <c r="J2038" s="2" t="str">
        <f t="shared" si="124"/>
        <v>No</v>
      </c>
      <c r="K2038" s="2" t="str">
        <f t="shared" si="125"/>
        <v>Yes</v>
      </c>
      <c r="L2038" s="2" t="str">
        <f t="shared" si="127"/>
        <v>No</v>
      </c>
      <c r="M2038" s="2">
        <f t="shared" si="126"/>
        <v>0</v>
      </c>
    </row>
    <row r="2039" spans="1:13" x14ac:dyDescent="0.3">
      <c r="A2039" s="5" t="s">
        <v>4668</v>
      </c>
      <c r="B2039" s="5" t="s">
        <v>2188</v>
      </c>
      <c r="C2039" s="5" t="s">
        <v>2616</v>
      </c>
      <c r="D2039" s="6">
        <v>45968</v>
      </c>
      <c r="E2039" s="6">
        <v>45971</v>
      </c>
      <c r="F2039" s="6">
        <v>45983</v>
      </c>
      <c r="G2039" s="5" t="s">
        <v>2627</v>
      </c>
      <c r="H2039" s="5">
        <v>42</v>
      </c>
      <c r="I2039" s="5">
        <f>IFERROR(INDEX(Raw_Orders!H2039:H4467,MATCH(B2039,Raw_Orders!A2039:A4467,0)),0)</f>
        <v>42</v>
      </c>
      <c r="J2039" s="5" t="str">
        <f t="shared" si="124"/>
        <v>No</v>
      </c>
      <c r="K2039" s="5" t="str">
        <f t="shared" si="125"/>
        <v>Yes</v>
      </c>
      <c r="L2039" s="5" t="str">
        <f t="shared" si="127"/>
        <v>No</v>
      </c>
      <c r="M2039" s="5">
        <f t="shared" si="126"/>
        <v>0</v>
      </c>
    </row>
    <row r="2040" spans="1:13" x14ac:dyDescent="0.3">
      <c r="A2040" s="2" t="s">
        <v>4669</v>
      </c>
      <c r="B2040" s="2" t="s">
        <v>2189</v>
      </c>
      <c r="C2040" s="2" t="s">
        <v>2608</v>
      </c>
      <c r="D2040" s="3">
        <v>45968</v>
      </c>
      <c r="E2040" s="3">
        <v>45970</v>
      </c>
      <c r="F2040" s="3">
        <v>45981</v>
      </c>
      <c r="G2040" s="2" t="s">
        <v>2629</v>
      </c>
      <c r="H2040" s="2">
        <v>56</v>
      </c>
      <c r="I2040" s="2">
        <f>IFERROR(INDEX(Raw_Orders!H2040:H4468,MATCH(B2040,Raw_Orders!A2040:A4468,0)),0)</f>
        <v>56</v>
      </c>
      <c r="J2040" s="2" t="str">
        <f t="shared" si="124"/>
        <v>No</v>
      </c>
      <c r="K2040" s="2" t="str">
        <f t="shared" si="125"/>
        <v>Yes</v>
      </c>
      <c r="L2040" s="2" t="str">
        <f t="shared" si="127"/>
        <v>No</v>
      </c>
      <c r="M2040" s="2">
        <f t="shared" si="126"/>
        <v>0</v>
      </c>
    </row>
    <row r="2041" spans="1:13" x14ac:dyDescent="0.3">
      <c r="A2041" s="5" t="s">
        <v>4670</v>
      </c>
      <c r="B2041" s="5" t="s">
        <v>2190</v>
      </c>
      <c r="C2041" s="5" t="s">
        <v>2608</v>
      </c>
      <c r="D2041" s="6">
        <v>45966</v>
      </c>
      <c r="E2041" s="6">
        <v>45970</v>
      </c>
      <c r="F2041" s="6">
        <v>45978</v>
      </c>
      <c r="G2041" s="5" t="s">
        <v>2641</v>
      </c>
      <c r="H2041" s="5">
        <v>7</v>
      </c>
      <c r="I2041" s="5">
        <f>IFERROR(INDEX(Raw_Orders!H2041:H4469,MATCH(B2041,Raw_Orders!A2041:A4469,0)),0)</f>
        <v>7</v>
      </c>
      <c r="J2041" s="5" t="str">
        <f t="shared" si="124"/>
        <v>No</v>
      </c>
      <c r="K2041" s="5" t="str">
        <f t="shared" si="125"/>
        <v>Yes</v>
      </c>
      <c r="L2041" s="5" t="str">
        <f t="shared" si="127"/>
        <v>No</v>
      </c>
      <c r="M2041" s="5">
        <f t="shared" si="126"/>
        <v>0</v>
      </c>
    </row>
    <row r="2042" spans="1:13" x14ac:dyDescent="0.3">
      <c r="A2042" s="2" t="s">
        <v>4671</v>
      </c>
      <c r="B2042" s="2" t="s">
        <v>2191</v>
      </c>
      <c r="C2042" s="2" t="s">
        <v>2604</v>
      </c>
      <c r="D2042" s="3">
        <v>45969</v>
      </c>
      <c r="E2042" s="3">
        <v>45971</v>
      </c>
      <c r="F2042" s="3">
        <v>45975</v>
      </c>
      <c r="G2042" s="2" t="s">
        <v>2631</v>
      </c>
      <c r="H2042" s="2">
        <v>14</v>
      </c>
      <c r="I2042" s="2">
        <f>IFERROR(INDEX(Raw_Orders!H2042:H4470,MATCH(B2042,Raw_Orders!A2042:A4470,0)),0)</f>
        <v>14</v>
      </c>
      <c r="J2042" s="2" t="str">
        <f t="shared" si="124"/>
        <v>No</v>
      </c>
      <c r="K2042" s="2" t="str">
        <f t="shared" si="125"/>
        <v>Yes</v>
      </c>
      <c r="L2042" s="2" t="str">
        <f t="shared" si="127"/>
        <v>No</v>
      </c>
      <c r="M2042" s="2">
        <f t="shared" si="126"/>
        <v>0</v>
      </c>
    </row>
    <row r="2043" spans="1:13" x14ac:dyDescent="0.3">
      <c r="A2043" s="5" t="s">
        <v>4672</v>
      </c>
      <c r="B2043" s="5" t="s">
        <v>2192</v>
      </c>
      <c r="C2043" s="5" t="s">
        <v>2604</v>
      </c>
      <c r="D2043" s="6">
        <v>45968</v>
      </c>
      <c r="E2043" s="6">
        <v>45973</v>
      </c>
      <c r="F2043" s="6">
        <v>45974</v>
      </c>
      <c r="G2043" s="5" t="s">
        <v>2641</v>
      </c>
      <c r="H2043" s="5">
        <v>52</v>
      </c>
      <c r="I2043" s="5">
        <f>IFERROR(INDEX(Raw_Orders!H2043:H4471,MATCH(B2043,Raw_Orders!A2043:A4471,0)),0)</f>
        <v>53</v>
      </c>
      <c r="J2043" s="5" t="str">
        <f t="shared" si="124"/>
        <v>No</v>
      </c>
      <c r="K2043" s="5" t="str">
        <f t="shared" si="125"/>
        <v>N0</v>
      </c>
      <c r="L2043" s="5" t="str">
        <f t="shared" si="127"/>
        <v>No</v>
      </c>
      <c r="M2043" s="5">
        <f t="shared" si="126"/>
        <v>0</v>
      </c>
    </row>
    <row r="2044" spans="1:13" x14ac:dyDescent="0.3">
      <c r="A2044" s="2" t="s">
        <v>4673</v>
      </c>
      <c r="B2044" s="2" t="s">
        <v>2193</v>
      </c>
      <c r="C2044" s="2" t="s">
        <v>2606</v>
      </c>
      <c r="D2044" s="3">
        <v>45967</v>
      </c>
      <c r="E2044" s="3">
        <v>45977</v>
      </c>
      <c r="F2044" s="3">
        <v>45972</v>
      </c>
      <c r="G2044" s="2" t="s">
        <v>2629</v>
      </c>
      <c r="H2044" s="2">
        <v>91</v>
      </c>
      <c r="I2044" s="2">
        <f>IFERROR(INDEX(Raw_Orders!H2044:H4472,MATCH(B2044,Raw_Orders!A2044:A4472,0)),0)</f>
        <v>91</v>
      </c>
      <c r="J2044" s="2" t="str">
        <f t="shared" si="124"/>
        <v>Yes</v>
      </c>
      <c r="K2044" s="2" t="str">
        <f t="shared" si="125"/>
        <v>Yes</v>
      </c>
      <c r="L2044" s="2" t="str">
        <f t="shared" si="127"/>
        <v>Yes</v>
      </c>
      <c r="M2044" s="2">
        <f t="shared" si="126"/>
        <v>1</v>
      </c>
    </row>
    <row r="2045" spans="1:13" x14ac:dyDescent="0.3">
      <c r="A2045" s="5" t="s">
        <v>4674</v>
      </c>
      <c r="B2045" s="5" t="s">
        <v>2194</v>
      </c>
      <c r="C2045" s="5" t="s">
        <v>2606</v>
      </c>
      <c r="D2045" s="6">
        <v>45969</v>
      </c>
      <c r="E2045" s="6">
        <v>45975</v>
      </c>
      <c r="F2045" s="6">
        <v>45976</v>
      </c>
      <c r="G2045" s="5" t="s">
        <v>2629</v>
      </c>
      <c r="H2045" s="5">
        <v>44</v>
      </c>
      <c r="I2045" s="5">
        <f>IFERROR(INDEX(Raw_Orders!H2045:H4473,MATCH(B2045,Raw_Orders!A2045:A4473,0)),0)</f>
        <v>44</v>
      </c>
      <c r="J2045" s="5" t="str">
        <f t="shared" si="124"/>
        <v>No</v>
      </c>
      <c r="K2045" s="5" t="str">
        <f t="shared" si="125"/>
        <v>Yes</v>
      </c>
      <c r="L2045" s="5" t="str">
        <f t="shared" si="127"/>
        <v>No</v>
      </c>
      <c r="M2045" s="5">
        <f t="shared" si="126"/>
        <v>0</v>
      </c>
    </row>
    <row r="2046" spans="1:13" x14ac:dyDescent="0.3">
      <c r="A2046" s="2" t="s">
        <v>4675</v>
      </c>
      <c r="B2046" s="2" t="s">
        <v>2195</v>
      </c>
      <c r="C2046" s="2" t="s">
        <v>2608</v>
      </c>
      <c r="D2046" s="3">
        <v>45968</v>
      </c>
      <c r="E2046" s="3">
        <v>45974</v>
      </c>
      <c r="F2046" s="3">
        <v>45983</v>
      </c>
      <c r="G2046" s="2" t="s">
        <v>2629</v>
      </c>
      <c r="H2046" s="2">
        <v>15</v>
      </c>
      <c r="I2046" s="2">
        <f>IFERROR(INDEX(Raw_Orders!H2046:H4474,MATCH(B2046,Raw_Orders!A2046:A4474,0)),0)</f>
        <v>15</v>
      </c>
      <c r="J2046" s="2" t="str">
        <f t="shared" si="124"/>
        <v>No</v>
      </c>
      <c r="K2046" s="2" t="str">
        <f t="shared" si="125"/>
        <v>Yes</v>
      </c>
      <c r="L2046" s="2" t="str">
        <f t="shared" si="127"/>
        <v>No</v>
      </c>
      <c r="M2046" s="2">
        <f t="shared" si="126"/>
        <v>0</v>
      </c>
    </row>
    <row r="2047" spans="1:13" x14ac:dyDescent="0.3">
      <c r="A2047" s="5" t="s">
        <v>4676</v>
      </c>
      <c r="B2047" s="5" t="s">
        <v>2196</v>
      </c>
      <c r="C2047" s="5" t="s">
        <v>2598</v>
      </c>
      <c r="D2047" s="6">
        <v>45969</v>
      </c>
      <c r="E2047" s="6">
        <v>45977</v>
      </c>
      <c r="F2047" s="6">
        <v>45982</v>
      </c>
      <c r="G2047" s="5" t="s">
        <v>2629</v>
      </c>
      <c r="H2047" s="5">
        <v>56</v>
      </c>
      <c r="I2047" s="5">
        <f>IFERROR(INDEX(Raw_Orders!H2047:H4475,MATCH(B2047,Raw_Orders!A2047:A4475,0)),0)</f>
        <v>60</v>
      </c>
      <c r="J2047" s="5" t="str">
        <f t="shared" si="124"/>
        <v>No</v>
      </c>
      <c r="K2047" s="5" t="str">
        <f t="shared" si="125"/>
        <v>N0</v>
      </c>
      <c r="L2047" s="5" t="str">
        <f t="shared" si="127"/>
        <v>No</v>
      </c>
      <c r="M2047" s="5">
        <f t="shared" si="126"/>
        <v>0</v>
      </c>
    </row>
    <row r="2048" spans="1:13" x14ac:dyDescent="0.3">
      <c r="A2048" s="2" t="s">
        <v>4677</v>
      </c>
      <c r="B2048" s="2" t="s">
        <v>2197</v>
      </c>
      <c r="C2048" s="2" t="s">
        <v>2598</v>
      </c>
      <c r="D2048" s="3">
        <v>45970</v>
      </c>
      <c r="E2048" s="3">
        <v>45977</v>
      </c>
      <c r="F2048" s="3">
        <v>45983</v>
      </c>
      <c r="G2048" s="2" t="s">
        <v>2633</v>
      </c>
      <c r="H2048" s="2">
        <v>29</v>
      </c>
      <c r="I2048" s="2">
        <f>IFERROR(INDEX(Raw_Orders!H2048:H4476,MATCH(B2048,Raw_Orders!A2048:A4476,0)),0)</f>
        <v>29</v>
      </c>
      <c r="J2048" s="2" t="str">
        <f t="shared" si="124"/>
        <v>No</v>
      </c>
      <c r="K2048" s="2" t="str">
        <f t="shared" si="125"/>
        <v>Yes</v>
      </c>
      <c r="L2048" s="2" t="str">
        <f t="shared" si="127"/>
        <v>No</v>
      </c>
      <c r="M2048" s="2">
        <f t="shared" si="126"/>
        <v>0</v>
      </c>
    </row>
    <row r="2049" spans="1:13" x14ac:dyDescent="0.3">
      <c r="A2049" s="5" t="s">
        <v>4678</v>
      </c>
      <c r="B2049" s="5" t="s">
        <v>2198</v>
      </c>
      <c r="C2049" s="5" t="s">
        <v>2604</v>
      </c>
      <c r="D2049" s="6">
        <v>45969</v>
      </c>
      <c r="E2049" s="6">
        <v>45972</v>
      </c>
      <c r="F2049" s="6">
        <v>45977</v>
      </c>
      <c r="G2049" s="5" t="s">
        <v>2627</v>
      </c>
      <c r="H2049" s="5">
        <v>64</v>
      </c>
      <c r="I2049" s="5">
        <f>IFERROR(INDEX(Raw_Orders!H2049:H4477,MATCH(B2049,Raw_Orders!A2049:A4477,0)),0)</f>
        <v>64</v>
      </c>
      <c r="J2049" s="5" t="str">
        <f t="shared" si="124"/>
        <v>No</v>
      </c>
      <c r="K2049" s="5" t="str">
        <f t="shared" si="125"/>
        <v>Yes</v>
      </c>
      <c r="L2049" s="5" t="str">
        <f t="shared" si="127"/>
        <v>No</v>
      </c>
      <c r="M2049" s="5">
        <f t="shared" si="126"/>
        <v>0</v>
      </c>
    </row>
    <row r="2050" spans="1:13" x14ac:dyDescent="0.3">
      <c r="A2050" s="2" t="s">
        <v>4679</v>
      </c>
      <c r="B2050" s="2" t="s">
        <v>2199</v>
      </c>
      <c r="C2050" s="2" t="s">
        <v>2606</v>
      </c>
      <c r="D2050" s="3">
        <v>45969</v>
      </c>
      <c r="E2050" s="3">
        <v>45971</v>
      </c>
      <c r="F2050" s="3">
        <v>45975</v>
      </c>
      <c r="G2050" s="2" t="s">
        <v>2633</v>
      </c>
      <c r="H2050" s="2">
        <v>30</v>
      </c>
      <c r="I2050" s="2">
        <f>IFERROR(INDEX(Raw_Orders!H2050:H4478,MATCH(B2050,Raw_Orders!A2050:A4478,0)),0)</f>
        <v>30</v>
      </c>
      <c r="J2050" s="2" t="str">
        <f t="shared" si="124"/>
        <v>No</v>
      </c>
      <c r="K2050" s="2" t="str">
        <f t="shared" si="125"/>
        <v>Yes</v>
      </c>
      <c r="L2050" s="2" t="str">
        <f t="shared" si="127"/>
        <v>No</v>
      </c>
      <c r="M2050" s="2">
        <f t="shared" si="126"/>
        <v>0</v>
      </c>
    </row>
    <row r="2051" spans="1:13" x14ac:dyDescent="0.3">
      <c r="A2051" s="5" t="s">
        <v>4680</v>
      </c>
      <c r="B2051" s="5" t="s">
        <v>2200</v>
      </c>
      <c r="C2051" s="5" t="s">
        <v>2608</v>
      </c>
      <c r="D2051" s="6">
        <v>45969</v>
      </c>
      <c r="E2051" s="6">
        <v>45976</v>
      </c>
      <c r="F2051" s="6">
        <v>45986</v>
      </c>
      <c r="G2051" s="5" t="s">
        <v>2641</v>
      </c>
      <c r="H2051" s="5">
        <v>8</v>
      </c>
      <c r="I2051" s="5">
        <f>IFERROR(INDEX(Raw_Orders!H2051:H4479,MATCH(B2051,Raw_Orders!A2051:A4479,0)),0)</f>
        <v>13</v>
      </c>
      <c r="J2051" s="5" t="str">
        <f t="shared" ref="J2051:J2114" si="128">IF(E2051&gt;=F2051,"Yes","No")</f>
        <v>No</v>
      </c>
      <c r="K2051" s="5" t="str">
        <f t="shared" ref="K2051:K2114" si="129">IF(H2051&gt;=I2051,"Yes","N0")</f>
        <v>N0</v>
      </c>
      <c r="L2051" s="5" t="str">
        <f t="shared" si="127"/>
        <v>No</v>
      </c>
      <c r="M2051" s="5">
        <f t="shared" ref="M2051:M2114" si="130">IF(L2051="Yes",1,0)</f>
        <v>0</v>
      </c>
    </row>
    <row r="2052" spans="1:13" x14ac:dyDescent="0.3">
      <c r="A2052" s="2" t="s">
        <v>4681</v>
      </c>
      <c r="B2052" s="2" t="s">
        <v>2201</v>
      </c>
      <c r="C2052" s="2" t="s">
        <v>2598</v>
      </c>
      <c r="D2052" s="3">
        <v>45969</v>
      </c>
      <c r="E2052" s="3">
        <v>45977</v>
      </c>
      <c r="F2052" s="3">
        <v>45981</v>
      </c>
      <c r="G2052" s="2" t="s">
        <v>2641</v>
      </c>
      <c r="H2052" s="2">
        <v>36</v>
      </c>
      <c r="I2052" s="2">
        <f>IFERROR(INDEX(Raw_Orders!H2052:H4480,MATCH(B2052,Raw_Orders!A2052:A4480,0)),0)</f>
        <v>36</v>
      </c>
      <c r="J2052" s="2" t="str">
        <f t="shared" si="128"/>
        <v>No</v>
      </c>
      <c r="K2052" s="2" t="str">
        <f t="shared" si="129"/>
        <v>Yes</v>
      </c>
      <c r="L2052" s="2" t="str">
        <f t="shared" ref="L2052:L2115" si="131">IF(AND(J2052="Yes",K2052="Yes"),"Yes","No")</f>
        <v>No</v>
      </c>
      <c r="M2052" s="2">
        <f t="shared" si="130"/>
        <v>0</v>
      </c>
    </row>
    <row r="2053" spans="1:13" x14ac:dyDescent="0.3">
      <c r="A2053" s="5" t="s">
        <v>4682</v>
      </c>
      <c r="B2053" s="5" t="s">
        <v>2202</v>
      </c>
      <c r="C2053" s="5" t="s">
        <v>2614</v>
      </c>
      <c r="D2053" s="6">
        <v>45970</v>
      </c>
      <c r="E2053" s="6">
        <v>45978</v>
      </c>
      <c r="F2053" s="6">
        <v>45988</v>
      </c>
      <c r="G2053" s="5" t="s">
        <v>2631</v>
      </c>
      <c r="H2053" s="5">
        <v>13</v>
      </c>
      <c r="I2053" s="5">
        <f>IFERROR(INDEX(Raw_Orders!H2053:H4481,MATCH(B2053,Raw_Orders!A2053:A4481,0)),0)</f>
        <v>13</v>
      </c>
      <c r="J2053" s="5" t="str">
        <f t="shared" si="128"/>
        <v>No</v>
      </c>
      <c r="K2053" s="5" t="str">
        <f t="shared" si="129"/>
        <v>Yes</v>
      </c>
      <c r="L2053" s="5" t="str">
        <f t="shared" si="131"/>
        <v>No</v>
      </c>
      <c r="M2053" s="5">
        <f t="shared" si="130"/>
        <v>0</v>
      </c>
    </row>
    <row r="2054" spans="1:13" x14ac:dyDescent="0.3">
      <c r="A2054" s="2" t="s">
        <v>4683</v>
      </c>
      <c r="B2054" s="2" t="s">
        <v>2203</v>
      </c>
      <c r="C2054" s="2" t="s">
        <v>2604</v>
      </c>
      <c r="D2054" s="3">
        <v>45969</v>
      </c>
      <c r="E2054" s="3">
        <v>45977</v>
      </c>
      <c r="F2054" s="3">
        <v>45975</v>
      </c>
      <c r="G2054" s="2" t="s">
        <v>2641</v>
      </c>
      <c r="H2054" s="2">
        <v>52</v>
      </c>
      <c r="I2054" s="2">
        <f>IFERROR(INDEX(Raw_Orders!H2054:H4482,MATCH(B2054,Raw_Orders!A2054:A4482,0)),0)</f>
        <v>52</v>
      </c>
      <c r="J2054" s="2" t="str">
        <f t="shared" si="128"/>
        <v>Yes</v>
      </c>
      <c r="K2054" s="2" t="str">
        <f t="shared" si="129"/>
        <v>Yes</v>
      </c>
      <c r="L2054" s="2" t="str">
        <f t="shared" si="131"/>
        <v>Yes</v>
      </c>
      <c r="M2054" s="2">
        <f t="shared" si="130"/>
        <v>1</v>
      </c>
    </row>
    <row r="2055" spans="1:13" x14ac:dyDescent="0.3">
      <c r="A2055" s="5" t="s">
        <v>4684</v>
      </c>
      <c r="B2055" s="5" t="s">
        <v>2204</v>
      </c>
      <c r="C2055" s="5" t="s">
        <v>2606</v>
      </c>
      <c r="D2055" s="6">
        <v>45970</v>
      </c>
      <c r="E2055" s="6">
        <v>45978</v>
      </c>
      <c r="F2055" s="6">
        <v>45976</v>
      </c>
      <c r="G2055" s="5" t="s">
        <v>2631</v>
      </c>
      <c r="H2055" s="5">
        <v>78</v>
      </c>
      <c r="I2055" s="5">
        <f>IFERROR(INDEX(Raw_Orders!H2055:H4483,MATCH(B2055,Raw_Orders!A2055:A4483,0)),0)</f>
        <v>78</v>
      </c>
      <c r="J2055" s="5" t="str">
        <f t="shared" si="128"/>
        <v>Yes</v>
      </c>
      <c r="K2055" s="5" t="str">
        <f t="shared" si="129"/>
        <v>Yes</v>
      </c>
      <c r="L2055" s="5" t="str">
        <f t="shared" si="131"/>
        <v>Yes</v>
      </c>
      <c r="M2055" s="5">
        <f t="shared" si="130"/>
        <v>1</v>
      </c>
    </row>
    <row r="2056" spans="1:13" x14ac:dyDescent="0.3">
      <c r="A2056" s="2" t="s">
        <v>4685</v>
      </c>
      <c r="B2056" s="2" t="s">
        <v>2205</v>
      </c>
      <c r="C2056" s="2" t="s">
        <v>2606</v>
      </c>
      <c r="D2056" s="3">
        <v>45970</v>
      </c>
      <c r="E2056" s="3">
        <v>45978</v>
      </c>
      <c r="F2056" s="3">
        <v>45977</v>
      </c>
      <c r="G2056" s="2" t="s">
        <v>2629</v>
      </c>
      <c r="H2056" s="2">
        <v>48</v>
      </c>
      <c r="I2056" s="2">
        <f>IFERROR(INDEX(Raw_Orders!H2056:H4484,MATCH(B2056,Raw_Orders!A2056:A4484,0)),0)</f>
        <v>48</v>
      </c>
      <c r="J2056" s="2" t="str">
        <f t="shared" si="128"/>
        <v>Yes</v>
      </c>
      <c r="K2056" s="2" t="str">
        <f t="shared" si="129"/>
        <v>Yes</v>
      </c>
      <c r="L2056" s="2" t="str">
        <f t="shared" si="131"/>
        <v>Yes</v>
      </c>
      <c r="M2056" s="2">
        <f t="shared" si="130"/>
        <v>1</v>
      </c>
    </row>
    <row r="2057" spans="1:13" x14ac:dyDescent="0.3">
      <c r="A2057" s="5" t="s">
        <v>4686</v>
      </c>
      <c r="B2057" s="5" t="s">
        <v>2206</v>
      </c>
      <c r="C2057" s="5" t="s">
        <v>2606</v>
      </c>
      <c r="D2057" s="6">
        <v>45969</v>
      </c>
      <c r="E2057" s="6">
        <v>45976</v>
      </c>
      <c r="F2057" s="6">
        <v>45975</v>
      </c>
      <c r="G2057" s="5" t="s">
        <v>2641</v>
      </c>
      <c r="H2057" s="5">
        <v>49</v>
      </c>
      <c r="I2057" s="5">
        <f>IFERROR(INDEX(Raw_Orders!H2057:H4485,MATCH(B2057,Raw_Orders!A2057:A4485,0)),0)</f>
        <v>49</v>
      </c>
      <c r="J2057" s="5" t="str">
        <f t="shared" si="128"/>
        <v>Yes</v>
      </c>
      <c r="K2057" s="5" t="str">
        <f t="shared" si="129"/>
        <v>Yes</v>
      </c>
      <c r="L2057" s="5" t="str">
        <f t="shared" si="131"/>
        <v>Yes</v>
      </c>
      <c r="M2057" s="5">
        <f t="shared" si="130"/>
        <v>1</v>
      </c>
    </row>
    <row r="2058" spans="1:13" x14ac:dyDescent="0.3">
      <c r="A2058" s="2" t="s">
        <v>4687</v>
      </c>
      <c r="B2058" s="2" t="s">
        <v>2207</v>
      </c>
      <c r="C2058" s="2" t="s">
        <v>2608</v>
      </c>
      <c r="D2058" s="3">
        <v>45970</v>
      </c>
      <c r="E2058" s="3">
        <v>45975</v>
      </c>
      <c r="F2058" s="3">
        <v>45983</v>
      </c>
      <c r="G2058" s="2" t="s">
        <v>2627</v>
      </c>
      <c r="H2058" s="2">
        <v>24</v>
      </c>
      <c r="I2058" s="2">
        <f>IFERROR(INDEX(Raw_Orders!H2058:H4486,MATCH(B2058,Raw_Orders!A2058:A4486,0)),0)</f>
        <v>24</v>
      </c>
      <c r="J2058" s="2" t="str">
        <f t="shared" si="128"/>
        <v>No</v>
      </c>
      <c r="K2058" s="2" t="str">
        <f t="shared" si="129"/>
        <v>Yes</v>
      </c>
      <c r="L2058" s="2" t="str">
        <f t="shared" si="131"/>
        <v>No</v>
      </c>
      <c r="M2058" s="2">
        <f t="shared" si="130"/>
        <v>0</v>
      </c>
    </row>
    <row r="2059" spans="1:13" x14ac:dyDescent="0.3">
      <c r="A2059" s="5" t="s">
        <v>4688</v>
      </c>
      <c r="B2059" s="5" t="s">
        <v>2208</v>
      </c>
      <c r="C2059" s="5" t="s">
        <v>2608</v>
      </c>
      <c r="D2059" s="6">
        <v>45971</v>
      </c>
      <c r="E2059" s="6">
        <v>45972</v>
      </c>
      <c r="F2059" s="6">
        <v>45984</v>
      </c>
      <c r="G2059" s="5" t="s">
        <v>2627</v>
      </c>
      <c r="H2059" s="5">
        <v>7</v>
      </c>
      <c r="I2059" s="5">
        <f>IFERROR(INDEX(Raw_Orders!H2059:H4487,MATCH(B2059,Raw_Orders!A2059:A4487,0)),0)</f>
        <v>9</v>
      </c>
      <c r="J2059" s="5" t="str">
        <f t="shared" si="128"/>
        <v>No</v>
      </c>
      <c r="K2059" s="5" t="str">
        <f t="shared" si="129"/>
        <v>N0</v>
      </c>
      <c r="L2059" s="5" t="str">
        <f t="shared" si="131"/>
        <v>No</v>
      </c>
      <c r="M2059" s="5">
        <f t="shared" si="130"/>
        <v>0</v>
      </c>
    </row>
    <row r="2060" spans="1:13" x14ac:dyDescent="0.3">
      <c r="A2060" s="2" t="s">
        <v>4689</v>
      </c>
      <c r="B2060" s="2" t="s">
        <v>2209</v>
      </c>
      <c r="C2060" s="2" t="s">
        <v>2608</v>
      </c>
      <c r="D2060" s="3">
        <v>45970</v>
      </c>
      <c r="E2060" s="3">
        <v>45975</v>
      </c>
      <c r="F2060" s="3">
        <v>45987</v>
      </c>
      <c r="G2060" s="2" t="s">
        <v>2629</v>
      </c>
      <c r="H2060" s="2">
        <v>11</v>
      </c>
      <c r="I2060" s="2">
        <f>IFERROR(INDEX(Raw_Orders!H2060:H4488,MATCH(B2060,Raw_Orders!A2060:A4488,0)),0)</f>
        <v>11</v>
      </c>
      <c r="J2060" s="2" t="str">
        <f t="shared" si="128"/>
        <v>No</v>
      </c>
      <c r="K2060" s="2" t="str">
        <f t="shared" si="129"/>
        <v>Yes</v>
      </c>
      <c r="L2060" s="2" t="str">
        <f t="shared" si="131"/>
        <v>No</v>
      </c>
      <c r="M2060" s="2">
        <f t="shared" si="130"/>
        <v>0</v>
      </c>
    </row>
    <row r="2061" spans="1:13" x14ac:dyDescent="0.3">
      <c r="A2061" s="5" t="s">
        <v>4690</v>
      </c>
      <c r="B2061" s="5" t="s">
        <v>2210</v>
      </c>
      <c r="C2061" s="5" t="s">
        <v>2611</v>
      </c>
      <c r="D2061" s="6">
        <v>45971</v>
      </c>
      <c r="E2061" s="6">
        <v>45980</v>
      </c>
      <c r="F2061" s="6">
        <v>45978</v>
      </c>
      <c r="G2061" s="5" t="s">
        <v>2641</v>
      </c>
      <c r="H2061" s="5">
        <v>34</v>
      </c>
      <c r="I2061" s="5">
        <f>IFERROR(INDEX(Raw_Orders!H2061:H4489,MATCH(B2061,Raw_Orders!A2061:A4489,0)),0)</f>
        <v>34</v>
      </c>
      <c r="J2061" s="5" t="str">
        <f t="shared" si="128"/>
        <v>Yes</v>
      </c>
      <c r="K2061" s="5" t="str">
        <f t="shared" si="129"/>
        <v>Yes</v>
      </c>
      <c r="L2061" s="5" t="str">
        <f t="shared" si="131"/>
        <v>Yes</v>
      </c>
      <c r="M2061" s="5">
        <f t="shared" si="130"/>
        <v>1</v>
      </c>
    </row>
    <row r="2062" spans="1:13" x14ac:dyDescent="0.3">
      <c r="A2062" s="2" t="s">
        <v>4691</v>
      </c>
      <c r="B2062" s="2" t="s">
        <v>2211</v>
      </c>
      <c r="C2062" s="2" t="s">
        <v>2611</v>
      </c>
      <c r="D2062" s="3">
        <v>45970</v>
      </c>
      <c r="E2062" s="3">
        <v>45979</v>
      </c>
      <c r="F2062" s="3">
        <v>45981</v>
      </c>
      <c r="G2062" s="2" t="s">
        <v>2627</v>
      </c>
      <c r="H2062" s="2">
        <v>39</v>
      </c>
      <c r="I2062" s="2">
        <f>IFERROR(INDEX(Raw_Orders!H2062:H4490,MATCH(B2062,Raw_Orders!A2062:A4490,0)),0)</f>
        <v>42</v>
      </c>
      <c r="J2062" s="2" t="str">
        <f t="shared" si="128"/>
        <v>No</v>
      </c>
      <c r="K2062" s="2" t="str">
        <f t="shared" si="129"/>
        <v>N0</v>
      </c>
      <c r="L2062" s="2" t="str">
        <f t="shared" si="131"/>
        <v>No</v>
      </c>
      <c r="M2062" s="2">
        <f t="shared" si="130"/>
        <v>0</v>
      </c>
    </row>
    <row r="2063" spans="1:13" x14ac:dyDescent="0.3">
      <c r="A2063" s="5" t="s">
        <v>4692</v>
      </c>
      <c r="B2063" s="5" t="s">
        <v>2212</v>
      </c>
      <c r="C2063" s="5" t="s">
        <v>2614</v>
      </c>
      <c r="D2063" s="6">
        <v>45971</v>
      </c>
      <c r="E2063" s="6">
        <v>45977</v>
      </c>
      <c r="F2063" s="6">
        <v>45985</v>
      </c>
      <c r="G2063" s="5" t="s">
        <v>2641</v>
      </c>
      <c r="H2063" s="5">
        <v>2</v>
      </c>
      <c r="I2063" s="5">
        <f>IFERROR(INDEX(Raw_Orders!H2063:H4491,MATCH(B2063,Raw_Orders!A2063:A4491,0)),0)</f>
        <v>2</v>
      </c>
      <c r="J2063" s="5" t="str">
        <f t="shared" si="128"/>
        <v>No</v>
      </c>
      <c r="K2063" s="5" t="str">
        <f t="shared" si="129"/>
        <v>Yes</v>
      </c>
      <c r="L2063" s="5" t="str">
        <f t="shared" si="131"/>
        <v>No</v>
      </c>
      <c r="M2063" s="5">
        <f t="shared" si="130"/>
        <v>0</v>
      </c>
    </row>
    <row r="2064" spans="1:13" x14ac:dyDescent="0.3">
      <c r="A2064" s="2" t="s">
        <v>4693</v>
      </c>
      <c r="B2064" s="2" t="s">
        <v>2213</v>
      </c>
      <c r="C2064" s="2" t="s">
        <v>2614</v>
      </c>
      <c r="D2064" s="3">
        <v>45971</v>
      </c>
      <c r="E2064" s="3">
        <v>45974</v>
      </c>
      <c r="F2064" s="3">
        <v>45987</v>
      </c>
      <c r="G2064" s="2" t="s">
        <v>2629</v>
      </c>
      <c r="H2064" s="2">
        <v>40</v>
      </c>
      <c r="I2064" s="2">
        <f>IFERROR(INDEX(Raw_Orders!H2064:H4492,MATCH(B2064,Raw_Orders!A2064:A4492,0)),0)</f>
        <v>40</v>
      </c>
      <c r="J2064" s="2" t="str">
        <f t="shared" si="128"/>
        <v>No</v>
      </c>
      <c r="K2064" s="2" t="str">
        <f t="shared" si="129"/>
        <v>Yes</v>
      </c>
      <c r="L2064" s="2" t="str">
        <f t="shared" si="131"/>
        <v>No</v>
      </c>
      <c r="M2064" s="2">
        <f t="shared" si="130"/>
        <v>0</v>
      </c>
    </row>
    <row r="2065" spans="1:13" x14ac:dyDescent="0.3">
      <c r="A2065" s="5" t="s">
        <v>4694</v>
      </c>
      <c r="B2065" s="5" t="s">
        <v>2214</v>
      </c>
      <c r="C2065" s="5" t="s">
        <v>2614</v>
      </c>
      <c r="D2065" s="6">
        <v>45971</v>
      </c>
      <c r="E2065" s="6">
        <v>45973</v>
      </c>
      <c r="F2065" s="6">
        <v>45985</v>
      </c>
      <c r="G2065" s="5" t="s">
        <v>2631</v>
      </c>
      <c r="H2065" s="5">
        <v>14</v>
      </c>
      <c r="I2065" s="5">
        <f>IFERROR(INDEX(Raw_Orders!H2065:H4493,MATCH(B2065,Raw_Orders!A2065:A4493,0)),0)</f>
        <v>14</v>
      </c>
      <c r="J2065" s="5" t="str">
        <f t="shared" si="128"/>
        <v>No</v>
      </c>
      <c r="K2065" s="5" t="str">
        <f t="shared" si="129"/>
        <v>Yes</v>
      </c>
      <c r="L2065" s="5" t="str">
        <f t="shared" si="131"/>
        <v>No</v>
      </c>
      <c r="M2065" s="5">
        <f t="shared" si="130"/>
        <v>0</v>
      </c>
    </row>
    <row r="2066" spans="1:13" x14ac:dyDescent="0.3">
      <c r="A2066" s="2" t="s">
        <v>4695</v>
      </c>
      <c r="B2066" s="2" t="s">
        <v>2215</v>
      </c>
      <c r="C2066" s="2" t="s">
        <v>2616</v>
      </c>
      <c r="D2066" s="3">
        <v>45972</v>
      </c>
      <c r="E2066" s="3">
        <v>45975</v>
      </c>
      <c r="F2066" s="3">
        <v>45987</v>
      </c>
      <c r="G2066" s="2" t="s">
        <v>2631</v>
      </c>
      <c r="H2066" s="2">
        <v>13</v>
      </c>
      <c r="I2066" s="2">
        <f>IFERROR(INDEX(Raw_Orders!H2066:H4494,MATCH(B2066,Raw_Orders!A2066:A4494,0)),0)</f>
        <v>18</v>
      </c>
      <c r="J2066" s="2" t="str">
        <f t="shared" si="128"/>
        <v>No</v>
      </c>
      <c r="K2066" s="2" t="str">
        <f t="shared" si="129"/>
        <v>N0</v>
      </c>
      <c r="L2066" s="2" t="str">
        <f t="shared" si="131"/>
        <v>No</v>
      </c>
      <c r="M2066" s="2">
        <f t="shared" si="130"/>
        <v>0</v>
      </c>
    </row>
    <row r="2067" spans="1:13" x14ac:dyDescent="0.3">
      <c r="A2067" s="5" t="s">
        <v>4696</v>
      </c>
      <c r="B2067" s="5" t="s">
        <v>2216</v>
      </c>
      <c r="C2067" s="5" t="s">
        <v>2616</v>
      </c>
      <c r="D2067" s="6">
        <v>45972</v>
      </c>
      <c r="E2067" s="6">
        <v>45978</v>
      </c>
      <c r="F2067" s="6">
        <v>45987</v>
      </c>
      <c r="G2067" s="5" t="s">
        <v>2633</v>
      </c>
      <c r="H2067" s="5">
        <v>83</v>
      </c>
      <c r="I2067" s="5">
        <f>IFERROR(INDEX(Raw_Orders!H2067:H4495,MATCH(B2067,Raw_Orders!A2067:A4495,0)),0)</f>
        <v>83</v>
      </c>
      <c r="J2067" s="5" t="str">
        <f t="shared" si="128"/>
        <v>No</v>
      </c>
      <c r="K2067" s="5" t="str">
        <f t="shared" si="129"/>
        <v>Yes</v>
      </c>
      <c r="L2067" s="5" t="str">
        <f t="shared" si="131"/>
        <v>No</v>
      </c>
      <c r="M2067" s="5">
        <f t="shared" si="130"/>
        <v>0</v>
      </c>
    </row>
    <row r="2068" spans="1:13" x14ac:dyDescent="0.3">
      <c r="A2068" s="2" t="s">
        <v>4697</v>
      </c>
      <c r="B2068" s="2" t="s">
        <v>2217</v>
      </c>
      <c r="C2068" s="2" t="s">
        <v>2616</v>
      </c>
      <c r="D2068" s="3">
        <v>45971</v>
      </c>
      <c r="E2068" s="3">
        <v>45976</v>
      </c>
      <c r="F2068" s="3">
        <v>45988</v>
      </c>
      <c r="G2068" s="2" t="s">
        <v>2629</v>
      </c>
      <c r="H2068" s="2">
        <v>24</v>
      </c>
      <c r="I2068" s="2">
        <f>IFERROR(INDEX(Raw_Orders!H2068:H4496,MATCH(B2068,Raw_Orders!A2068:A4496,0)),0)</f>
        <v>25</v>
      </c>
      <c r="J2068" s="2" t="str">
        <f t="shared" si="128"/>
        <v>No</v>
      </c>
      <c r="K2068" s="2" t="str">
        <f t="shared" si="129"/>
        <v>N0</v>
      </c>
      <c r="L2068" s="2" t="str">
        <f t="shared" si="131"/>
        <v>No</v>
      </c>
      <c r="M2068" s="2">
        <f t="shared" si="130"/>
        <v>0</v>
      </c>
    </row>
    <row r="2069" spans="1:13" x14ac:dyDescent="0.3">
      <c r="A2069" s="5" t="s">
        <v>4698</v>
      </c>
      <c r="B2069" s="5" t="s">
        <v>2218</v>
      </c>
      <c r="C2069" s="5" t="s">
        <v>2606</v>
      </c>
      <c r="D2069" s="6">
        <v>45972</v>
      </c>
      <c r="E2069" s="6">
        <v>45973</v>
      </c>
      <c r="F2069" s="6">
        <v>45978</v>
      </c>
      <c r="G2069" s="5" t="s">
        <v>2631</v>
      </c>
      <c r="H2069" s="5">
        <v>23</v>
      </c>
      <c r="I2069" s="5">
        <f>IFERROR(INDEX(Raw_Orders!H2069:H4497,MATCH(B2069,Raw_Orders!A2069:A4497,0)),0)</f>
        <v>23</v>
      </c>
      <c r="J2069" s="5" t="str">
        <f t="shared" si="128"/>
        <v>No</v>
      </c>
      <c r="K2069" s="5" t="str">
        <f t="shared" si="129"/>
        <v>Yes</v>
      </c>
      <c r="L2069" s="5" t="str">
        <f t="shared" si="131"/>
        <v>No</v>
      </c>
      <c r="M2069" s="5">
        <f t="shared" si="130"/>
        <v>0</v>
      </c>
    </row>
    <row r="2070" spans="1:13" x14ac:dyDescent="0.3">
      <c r="A2070" s="2" t="s">
        <v>4699</v>
      </c>
      <c r="B2070" s="2" t="s">
        <v>2219</v>
      </c>
      <c r="C2070" s="2" t="s">
        <v>2608</v>
      </c>
      <c r="D2070" s="3">
        <v>45970</v>
      </c>
      <c r="E2070" s="3">
        <v>45973</v>
      </c>
      <c r="F2070" s="3">
        <v>45983</v>
      </c>
      <c r="G2070" s="2" t="s">
        <v>2633</v>
      </c>
      <c r="H2070" s="2">
        <v>38</v>
      </c>
      <c r="I2070" s="2">
        <f>IFERROR(INDEX(Raw_Orders!H2070:H4498,MATCH(B2070,Raw_Orders!A2070:A4498,0)),0)</f>
        <v>38</v>
      </c>
      <c r="J2070" s="2" t="str">
        <f t="shared" si="128"/>
        <v>No</v>
      </c>
      <c r="K2070" s="2" t="str">
        <f t="shared" si="129"/>
        <v>Yes</v>
      </c>
      <c r="L2070" s="2" t="str">
        <f t="shared" si="131"/>
        <v>No</v>
      </c>
      <c r="M2070" s="2">
        <f t="shared" si="130"/>
        <v>0</v>
      </c>
    </row>
    <row r="2071" spans="1:13" x14ac:dyDescent="0.3">
      <c r="A2071" s="5" t="s">
        <v>4700</v>
      </c>
      <c r="B2071" s="5" t="s">
        <v>2220</v>
      </c>
      <c r="C2071" s="5" t="s">
        <v>2608</v>
      </c>
      <c r="D2071" s="6">
        <v>45970</v>
      </c>
      <c r="E2071" s="6">
        <v>45977</v>
      </c>
      <c r="F2071" s="6">
        <v>45987</v>
      </c>
      <c r="G2071" s="5" t="s">
        <v>2629</v>
      </c>
      <c r="H2071" s="5">
        <v>10</v>
      </c>
      <c r="I2071" s="5">
        <f>IFERROR(INDEX(Raw_Orders!H2071:H4499,MATCH(B2071,Raw_Orders!A2071:A4499,0)),0)</f>
        <v>10</v>
      </c>
      <c r="J2071" s="5" t="str">
        <f t="shared" si="128"/>
        <v>No</v>
      </c>
      <c r="K2071" s="5" t="str">
        <f t="shared" si="129"/>
        <v>Yes</v>
      </c>
      <c r="L2071" s="5" t="str">
        <f t="shared" si="131"/>
        <v>No</v>
      </c>
      <c r="M2071" s="5">
        <f t="shared" si="130"/>
        <v>0</v>
      </c>
    </row>
    <row r="2072" spans="1:13" x14ac:dyDescent="0.3">
      <c r="A2072" s="2" t="s">
        <v>4701</v>
      </c>
      <c r="B2072" s="2" t="s">
        <v>2221</v>
      </c>
      <c r="C2072" s="2" t="s">
        <v>2608</v>
      </c>
      <c r="D2072" s="3">
        <v>45970</v>
      </c>
      <c r="E2072" s="3">
        <v>45980</v>
      </c>
      <c r="F2072" s="3">
        <v>45984</v>
      </c>
      <c r="G2072" s="2" t="s">
        <v>2627</v>
      </c>
      <c r="H2072" s="2">
        <v>8</v>
      </c>
      <c r="I2072" s="2">
        <f>IFERROR(INDEX(Raw_Orders!H2072:H4500,MATCH(B2072,Raw_Orders!A2072:A4500,0)),0)</f>
        <v>8</v>
      </c>
      <c r="J2072" s="2" t="str">
        <f t="shared" si="128"/>
        <v>No</v>
      </c>
      <c r="K2072" s="2" t="str">
        <f t="shared" si="129"/>
        <v>Yes</v>
      </c>
      <c r="L2072" s="2" t="str">
        <f t="shared" si="131"/>
        <v>No</v>
      </c>
      <c r="M2072" s="2">
        <f t="shared" si="130"/>
        <v>0</v>
      </c>
    </row>
    <row r="2073" spans="1:13" x14ac:dyDescent="0.3">
      <c r="A2073" s="5" t="s">
        <v>4702</v>
      </c>
      <c r="B2073" s="5" t="s">
        <v>2222</v>
      </c>
      <c r="C2073" s="5" t="s">
        <v>2598</v>
      </c>
      <c r="D2073" s="6">
        <v>45973</v>
      </c>
      <c r="E2073" s="6">
        <v>45977</v>
      </c>
      <c r="F2073" s="6">
        <v>45986</v>
      </c>
      <c r="G2073" s="5" t="s">
        <v>2641</v>
      </c>
      <c r="H2073" s="5">
        <v>32</v>
      </c>
      <c r="I2073" s="5">
        <f>IFERROR(INDEX(Raw_Orders!H2073:H4501,MATCH(B2073,Raw_Orders!A2073:A4501,0)),0)</f>
        <v>32</v>
      </c>
      <c r="J2073" s="5" t="str">
        <f t="shared" si="128"/>
        <v>No</v>
      </c>
      <c r="K2073" s="5" t="str">
        <f t="shared" si="129"/>
        <v>Yes</v>
      </c>
      <c r="L2073" s="5" t="str">
        <f t="shared" si="131"/>
        <v>No</v>
      </c>
      <c r="M2073" s="5">
        <f t="shared" si="130"/>
        <v>0</v>
      </c>
    </row>
    <row r="2074" spans="1:13" x14ac:dyDescent="0.3">
      <c r="A2074" s="2" t="s">
        <v>4703</v>
      </c>
      <c r="B2074" s="2" t="s">
        <v>2223</v>
      </c>
      <c r="C2074" s="2" t="s">
        <v>2611</v>
      </c>
      <c r="D2074" s="3">
        <v>45973</v>
      </c>
      <c r="E2074" s="3">
        <v>45975</v>
      </c>
      <c r="F2074" s="3">
        <v>45980</v>
      </c>
      <c r="G2074" s="2" t="s">
        <v>2633</v>
      </c>
      <c r="H2074" s="2">
        <v>49</v>
      </c>
      <c r="I2074" s="2">
        <f>IFERROR(INDEX(Raw_Orders!H2074:H4502,MATCH(B2074,Raw_Orders!A2074:A4502,0)),0)</f>
        <v>49</v>
      </c>
      <c r="J2074" s="2" t="str">
        <f t="shared" si="128"/>
        <v>No</v>
      </c>
      <c r="K2074" s="2" t="str">
        <f t="shared" si="129"/>
        <v>Yes</v>
      </c>
      <c r="L2074" s="2" t="str">
        <f t="shared" si="131"/>
        <v>No</v>
      </c>
      <c r="M2074" s="2">
        <f t="shared" si="130"/>
        <v>0</v>
      </c>
    </row>
    <row r="2075" spans="1:13" x14ac:dyDescent="0.3">
      <c r="A2075" s="5" t="s">
        <v>4704</v>
      </c>
      <c r="B2075" s="5" t="s">
        <v>2224</v>
      </c>
      <c r="C2075" s="5" t="s">
        <v>2601</v>
      </c>
      <c r="D2075" s="6">
        <v>45973</v>
      </c>
      <c r="E2075" s="6">
        <v>45979</v>
      </c>
      <c r="F2075" s="6">
        <v>45977</v>
      </c>
      <c r="G2075" s="5" t="s">
        <v>2627</v>
      </c>
      <c r="H2075" s="5">
        <v>33</v>
      </c>
      <c r="I2075" s="5">
        <f>IFERROR(INDEX(Raw_Orders!H2075:H4503,MATCH(B2075,Raw_Orders!A2075:A4503,0)),0)</f>
        <v>33</v>
      </c>
      <c r="J2075" s="5" t="str">
        <f t="shared" si="128"/>
        <v>Yes</v>
      </c>
      <c r="K2075" s="5" t="str">
        <f t="shared" si="129"/>
        <v>Yes</v>
      </c>
      <c r="L2075" s="5" t="str">
        <f t="shared" si="131"/>
        <v>Yes</v>
      </c>
      <c r="M2075" s="5">
        <f t="shared" si="130"/>
        <v>1</v>
      </c>
    </row>
    <row r="2076" spans="1:13" x14ac:dyDescent="0.3">
      <c r="A2076" s="2" t="s">
        <v>4705</v>
      </c>
      <c r="B2076" s="2" t="s">
        <v>2225</v>
      </c>
      <c r="C2076" s="2" t="s">
        <v>2601</v>
      </c>
      <c r="D2076" s="3">
        <v>45971</v>
      </c>
      <c r="E2076" s="3">
        <v>45980</v>
      </c>
      <c r="F2076" s="3">
        <v>45976</v>
      </c>
      <c r="G2076" s="2" t="s">
        <v>2627</v>
      </c>
      <c r="H2076" s="2">
        <v>20</v>
      </c>
      <c r="I2076" s="2">
        <f>IFERROR(INDEX(Raw_Orders!H2076:H4504,MATCH(B2076,Raw_Orders!A2076:A4504,0)),0)</f>
        <v>20</v>
      </c>
      <c r="J2076" s="2" t="str">
        <f t="shared" si="128"/>
        <v>Yes</v>
      </c>
      <c r="K2076" s="2" t="str">
        <f t="shared" si="129"/>
        <v>Yes</v>
      </c>
      <c r="L2076" s="2" t="str">
        <f t="shared" si="131"/>
        <v>Yes</v>
      </c>
      <c r="M2076" s="2">
        <f t="shared" si="130"/>
        <v>1</v>
      </c>
    </row>
    <row r="2077" spans="1:13" x14ac:dyDescent="0.3">
      <c r="A2077" s="5" t="s">
        <v>4706</v>
      </c>
      <c r="B2077" s="5" t="s">
        <v>2226</v>
      </c>
      <c r="C2077" s="5" t="s">
        <v>2616</v>
      </c>
      <c r="D2077" s="6">
        <v>45972</v>
      </c>
      <c r="E2077" s="6">
        <v>45977</v>
      </c>
      <c r="F2077" s="6">
        <v>45988</v>
      </c>
      <c r="G2077" s="5" t="s">
        <v>2633</v>
      </c>
      <c r="H2077" s="5">
        <v>28</v>
      </c>
      <c r="I2077" s="5">
        <f>IFERROR(INDEX(Raw_Orders!H2077:H4505,MATCH(B2077,Raw_Orders!A2077:A4505,0)),0)</f>
        <v>28</v>
      </c>
      <c r="J2077" s="5" t="str">
        <f t="shared" si="128"/>
        <v>No</v>
      </c>
      <c r="K2077" s="5" t="str">
        <f t="shared" si="129"/>
        <v>Yes</v>
      </c>
      <c r="L2077" s="5" t="str">
        <f t="shared" si="131"/>
        <v>No</v>
      </c>
      <c r="M2077" s="5">
        <f t="shared" si="130"/>
        <v>0</v>
      </c>
    </row>
    <row r="2078" spans="1:13" x14ac:dyDescent="0.3">
      <c r="A2078" s="2" t="s">
        <v>4707</v>
      </c>
      <c r="B2078" s="2" t="s">
        <v>2227</v>
      </c>
      <c r="C2078" s="2" t="s">
        <v>2606</v>
      </c>
      <c r="D2078" s="3">
        <v>45972</v>
      </c>
      <c r="E2078" s="3">
        <v>45980</v>
      </c>
      <c r="F2078" s="3">
        <v>45978</v>
      </c>
      <c r="G2078" s="2" t="s">
        <v>2629</v>
      </c>
      <c r="H2078" s="2">
        <v>26</v>
      </c>
      <c r="I2078" s="2">
        <f>IFERROR(INDEX(Raw_Orders!H2078:H4506,MATCH(B2078,Raw_Orders!A2078:A4506,0)),0)</f>
        <v>26</v>
      </c>
      <c r="J2078" s="2" t="str">
        <f t="shared" si="128"/>
        <v>Yes</v>
      </c>
      <c r="K2078" s="2" t="str">
        <f t="shared" si="129"/>
        <v>Yes</v>
      </c>
      <c r="L2078" s="2" t="str">
        <f t="shared" si="131"/>
        <v>Yes</v>
      </c>
      <c r="M2078" s="2">
        <f t="shared" si="130"/>
        <v>1</v>
      </c>
    </row>
    <row r="2079" spans="1:13" x14ac:dyDescent="0.3">
      <c r="A2079" s="5" t="s">
        <v>4708</v>
      </c>
      <c r="B2079" s="5" t="s">
        <v>2228</v>
      </c>
      <c r="C2079" s="5" t="s">
        <v>2606</v>
      </c>
      <c r="D2079" s="6">
        <v>45972</v>
      </c>
      <c r="E2079" s="6">
        <v>45977</v>
      </c>
      <c r="F2079" s="6">
        <v>45977</v>
      </c>
      <c r="G2079" s="5" t="s">
        <v>2627</v>
      </c>
      <c r="H2079" s="5">
        <v>12</v>
      </c>
      <c r="I2079" s="5">
        <f>IFERROR(INDEX(Raw_Orders!H2079:H4507,MATCH(B2079,Raw_Orders!A2079:A4507,0)),0)</f>
        <v>12</v>
      </c>
      <c r="J2079" s="5" t="str">
        <f t="shared" si="128"/>
        <v>Yes</v>
      </c>
      <c r="K2079" s="5" t="str">
        <f t="shared" si="129"/>
        <v>Yes</v>
      </c>
      <c r="L2079" s="5" t="str">
        <f t="shared" si="131"/>
        <v>Yes</v>
      </c>
      <c r="M2079" s="5">
        <f t="shared" si="130"/>
        <v>1</v>
      </c>
    </row>
    <row r="2080" spans="1:13" x14ac:dyDescent="0.3">
      <c r="A2080" s="2" t="s">
        <v>4709</v>
      </c>
      <c r="B2080" s="2" t="s">
        <v>2229</v>
      </c>
      <c r="C2080" s="2" t="s">
        <v>2608</v>
      </c>
      <c r="D2080" s="3">
        <v>45972</v>
      </c>
      <c r="E2080" s="3">
        <v>45976</v>
      </c>
      <c r="F2080" s="3">
        <v>45984</v>
      </c>
      <c r="G2080" s="2" t="s">
        <v>2631</v>
      </c>
      <c r="H2080" s="2">
        <v>11</v>
      </c>
      <c r="I2080" s="2">
        <f>IFERROR(INDEX(Raw_Orders!H2080:H4508,MATCH(B2080,Raw_Orders!A2080:A4508,0)),0)</f>
        <v>11</v>
      </c>
      <c r="J2080" s="2" t="str">
        <f t="shared" si="128"/>
        <v>No</v>
      </c>
      <c r="K2080" s="2" t="str">
        <f t="shared" si="129"/>
        <v>Yes</v>
      </c>
      <c r="L2080" s="2" t="str">
        <f t="shared" si="131"/>
        <v>No</v>
      </c>
      <c r="M2080" s="2">
        <f t="shared" si="130"/>
        <v>0</v>
      </c>
    </row>
    <row r="2081" spans="1:13" x14ac:dyDescent="0.3">
      <c r="A2081" s="5" t="s">
        <v>4710</v>
      </c>
      <c r="B2081" s="5" t="s">
        <v>2230</v>
      </c>
      <c r="C2081" s="5" t="s">
        <v>2608</v>
      </c>
      <c r="D2081" s="6">
        <v>45971</v>
      </c>
      <c r="E2081" s="6">
        <v>45978</v>
      </c>
      <c r="F2081" s="6">
        <v>45984</v>
      </c>
      <c r="G2081" s="5" t="s">
        <v>2641</v>
      </c>
      <c r="H2081" s="5">
        <v>10</v>
      </c>
      <c r="I2081" s="5">
        <f>IFERROR(INDEX(Raw_Orders!H2081:H4509,MATCH(B2081,Raw_Orders!A2081:A4509,0)),0)</f>
        <v>10</v>
      </c>
      <c r="J2081" s="5" t="str">
        <f t="shared" si="128"/>
        <v>No</v>
      </c>
      <c r="K2081" s="5" t="str">
        <f t="shared" si="129"/>
        <v>Yes</v>
      </c>
      <c r="L2081" s="5" t="str">
        <f t="shared" si="131"/>
        <v>No</v>
      </c>
      <c r="M2081" s="5">
        <f t="shared" si="130"/>
        <v>0</v>
      </c>
    </row>
    <row r="2082" spans="1:13" x14ac:dyDescent="0.3">
      <c r="A2082" s="2" t="s">
        <v>4711</v>
      </c>
      <c r="B2082" s="2" t="s">
        <v>2231</v>
      </c>
      <c r="C2082" s="2" t="s">
        <v>2598</v>
      </c>
      <c r="D2082" s="3">
        <v>45972</v>
      </c>
      <c r="E2082" s="3">
        <v>45975</v>
      </c>
      <c r="F2082" s="3">
        <v>45985</v>
      </c>
      <c r="G2082" s="2" t="s">
        <v>2641</v>
      </c>
      <c r="H2082" s="2">
        <v>21</v>
      </c>
      <c r="I2082" s="2">
        <f>IFERROR(INDEX(Raw_Orders!H2082:H4510,MATCH(B2082,Raw_Orders!A2082:A4510,0)),0)</f>
        <v>21</v>
      </c>
      <c r="J2082" s="2" t="str">
        <f t="shared" si="128"/>
        <v>No</v>
      </c>
      <c r="K2082" s="2" t="str">
        <f t="shared" si="129"/>
        <v>Yes</v>
      </c>
      <c r="L2082" s="2" t="str">
        <f t="shared" si="131"/>
        <v>No</v>
      </c>
      <c r="M2082" s="2">
        <f t="shared" si="130"/>
        <v>0</v>
      </c>
    </row>
    <row r="2083" spans="1:13" x14ac:dyDescent="0.3">
      <c r="A2083" s="5" t="s">
        <v>4712</v>
      </c>
      <c r="B2083" s="5" t="s">
        <v>2232</v>
      </c>
      <c r="C2083" s="5" t="s">
        <v>2598</v>
      </c>
      <c r="D2083" s="6">
        <v>45974</v>
      </c>
      <c r="E2083" s="6">
        <v>45982</v>
      </c>
      <c r="F2083" s="6">
        <v>45989</v>
      </c>
      <c r="G2083" s="5" t="s">
        <v>2627</v>
      </c>
      <c r="H2083" s="5">
        <v>53</v>
      </c>
      <c r="I2083" s="5">
        <f>IFERROR(INDEX(Raw_Orders!H2083:H4511,MATCH(B2083,Raw_Orders!A2083:A4511,0)),0)</f>
        <v>53</v>
      </c>
      <c r="J2083" s="5" t="str">
        <f t="shared" si="128"/>
        <v>No</v>
      </c>
      <c r="K2083" s="5" t="str">
        <f t="shared" si="129"/>
        <v>Yes</v>
      </c>
      <c r="L2083" s="5" t="str">
        <f t="shared" si="131"/>
        <v>No</v>
      </c>
      <c r="M2083" s="5">
        <f t="shared" si="130"/>
        <v>0</v>
      </c>
    </row>
    <row r="2084" spans="1:13" x14ac:dyDescent="0.3">
      <c r="A2084" s="2" t="s">
        <v>4713</v>
      </c>
      <c r="B2084" s="2" t="s">
        <v>2233</v>
      </c>
      <c r="C2084" s="2" t="s">
        <v>2601</v>
      </c>
      <c r="D2084" s="3">
        <v>45974</v>
      </c>
      <c r="E2084" s="3">
        <v>45981</v>
      </c>
      <c r="F2084" s="3">
        <v>45979</v>
      </c>
      <c r="G2084" s="2" t="s">
        <v>2629</v>
      </c>
      <c r="H2084" s="2">
        <v>28</v>
      </c>
      <c r="I2084" s="2">
        <f>IFERROR(INDEX(Raw_Orders!H2084:H4512,MATCH(B2084,Raw_Orders!A2084:A4512,0)),0)</f>
        <v>28</v>
      </c>
      <c r="J2084" s="2" t="str">
        <f t="shared" si="128"/>
        <v>Yes</v>
      </c>
      <c r="K2084" s="2" t="str">
        <f t="shared" si="129"/>
        <v>Yes</v>
      </c>
      <c r="L2084" s="2" t="str">
        <f t="shared" si="131"/>
        <v>Yes</v>
      </c>
      <c r="M2084" s="2">
        <f t="shared" si="130"/>
        <v>1</v>
      </c>
    </row>
    <row r="2085" spans="1:13" x14ac:dyDescent="0.3">
      <c r="A2085" s="5" t="s">
        <v>4714</v>
      </c>
      <c r="B2085" s="5" t="s">
        <v>2234</v>
      </c>
      <c r="C2085" s="5" t="s">
        <v>2606</v>
      </c>
      <c r="D2085" s="6">
        <v>45973</v>
      </c>
      <c r="E2085" s="6">
        <v>45981</v>
      </c>
      <c r="F2085" s="6">
        <v>45979</v>
      </c>
      <c r="G2085" s="5" t="s">
        <v>2641</v>
      </c>
      <c r="H2085" s="5">
        <v>39</v>
      </c>
      <c r="I2085" s="5">
        <f>IFERROR(INDEX(Raw_Orders!H2085:H4513,MATCH(B2085,Raw_Orders!A2085:A4513,0)),0)</f>
        <v>39</v>
      </c>
      <c r="J2085" s="5" t="str">
        <f t="shared" si="128"/>
        <v>Yes</v>
      </c>
      <c r="K2085" s="5" t="str">
        <f t="shared" si="129"/>
        <v>Yes</v>
      </c>
      <c r="L2085" s="5" t="str">
        <f t="shared" si="131"/>
        <v>Yes</v>
      </c>
      <c r="M2085" s="5">
        <f t="shared" si="130"/>
        <v>1</v>
      </c>
    </row>
    <row r="2086" spans="1:13" x14ac:dyDescent="0.3">
      <c r="A2086" s="2" t="s">
        <v>4715</v>
      </c>
      <c r="B2086" s="2" t="s">
        <v>2235</v>
      </c>
      <c r="C2086" s="2" t="s">
        <v>2606</v>
      </c>
      <c r="D2086" s="3">
        <v>45974</v>
      </c>
      <c r="E2086" s="3">
        <v>45980</v>
      </c>
      <c r="F2086" s="3">
        <v>45980</v>
      </c>
      <c r="G2086" s="2" t="s">
        <v>2633</v>
      </c>
      <c r="H2086" s="2">
        <v>43</v>
      </c>
      <c r="I2086" s="2">
        <f>IFERROR(INDEX(Raw_Orders!H2086:H4514,MATCH(B2086,Raw_Orders!A2086:A4514,0)),0)</f>
        <v>43</v>
      </c>
      <c r="J2086" s="2" t="str">
        <f t="shared" si="128"/>
        <v>Yes</v>
      </c>
      <c r="K2086" s="2" t="str">
        <f t="shared" si="129"/>
        <v>Yes</v>
      </c>
      <c r="L2086" s="2" t="str">
        <f t="shared" si="131"/>
        <v>Yes</v>
      </c>
      <c r="M2086" s="2">
        <f t="shared" si="130"/>
        <v>1</v>
      </c>
    </row>
    <row r="2087" spans="1:13" x14ac:dyDescent="0.3">
      <c r="A2087" s="5" t="s">
        <v>4716</v>
      </c>
      <c r="B2087" s="5" t="s">
        <v>2236</v>
      </c>
      <c r="C2087" s="5" t="s">
        <v>2606</v>
      </c>
      <c r="D2087" s="6">
        <v>45972</v>
      </c>
      <c r="E2087" s="6">
        <v>45979</v>
      </c>
      <c r="F2087" s="6">
        <v>45982</v>
      </c>
      <c r="G2087" s="5" t="s">
        <v>2633</v>
      </c>
      <c r="H2087" s="5">
        <v>18</v>
      </c>
      <c r="I2087" s="5">
        <f>IFERROR(INDEX(Raw_Orders!H2087:H4515,MATCH(B2087,Raw_Orders!A2087:A4515,0)),0)</f>
        <v>18</v>
      </c>
      <c r="J2087" s="5" t="str">
        <f t="shared" si="128"/>
        <v>No</v>
      </c>
      <c r="K2087" s="5" t="str">
        <f t="shared" si="129"/>
        <v>Yes</v>
      </c>
      <c r="L2087" s="5" t="str">
        <f t="shared" si="131"/>
        <v>No</v>
      </c>
      <c r="M2087" s="5">
        <f t="shared" si="130"/>
        <v>0</v>
      </c>
    </row>
    <row r="2088" spans="1:13" x14ac:dyDescent="0.3">
      <c r="A2088" s="2" t="s">
        <v>4717</v>
      </c>
      <c r="B2088" s="2" t="s">
        <v>2237</v>
      </c>
      <c r="C2088" s="2" t="s">
        <v>2608</v>
      </c>
      <c r="D2088" s="3">
        <v>45974</v>
      </c>
      <c r="E2088" s="3">
        <v>45979</v>
      </c>
      <c r="F2088" s="3">
        <v>45989</v>
      </c>
      <c r="G2088" s="2" t="s">
        <v>2631</v>
      </c>
      <c r="H2088" s="2">
        <v>45</v>
      </c>
      <c r="I2088" s="2">
        <f>IFERROR(INDEX(Raw_Orders!H2088:H4516,MATCH(B2088,Raw_Orders!A2088:A4516,0)),0)</f>
        <v>45</v>
      </c>
      <c r="J2088" s="2" t="str">
        <f t="shared" si="128"/>
        <v>No</v>
      </c>
      <c r="K2088" s="2" t="str">
        <f t="shared" si="129"/>
        <v>Yes</v>
      </c>
      <c r="L2088" s="2" t="str">
        <f t="shared" si="131"/>
        <v>No</v>
      </c>
      <c r="M2088" s="2">
        <f t="shared" si="130"/>
        <v>0</v>
      </c>
    </row>
    <row r="2089" spans="1:13" x14ac:dyDescent="0.3">
      <c r="A2089" s="5" t="s">
        <v>4718</v>
      </c>
      <c r="B2089" s="5" t="s">
        <v>2238</v>
      </c>
      <c r="C2089" s="5" t="s">
        <v>2608</v>
      </c>
      <c r="D2089" s="6">
        <v>45972</v>
      </c>
      <c r="E2089" s="6">
        <v>45978</v>
      </c>
      <c r="F2089" s="6">
        <v>45985</v>
      </c>
      <c r="G2089" s="5" t="s">
        <v>2631</v>
      </c>
      <c r="H2089" s="5">
        <v>10</v>
      </c>
      <c r="I2089" s="5">
        <f>IFERROR(INDEX(Raw_Orders!H2089:H4517,MATCH(B2089,Raw_Orders!A2089:A4517,0)),0)</f>
        <v>10</v>
      </c>
      <c r="J2089" s="5" t="str">
        <f t="shared" si="128"/>
        <v>No</v>
      </c>
      <c r="K2089" s="5" t="str">
        <f t="shared" si="129"/>
        <v>Yes</v>
      </c>
      <c r="L2089" s="5" t="str">
        <f t="shared" si="131"/>
        <v>No</v>
      </c>
      <c r="M2089" s="5">
        <f t="shared" si="130"/>
        <v>0</v>
      </c>
    </row>
    <row r="2090" spans="1:13" x14ac:dyDescent="0.3">
      <c r="A2090" s="2" t="s">
        <v>4719</v>
      </c>
      <c r="B2090" s="2" t="s">
        <v>2239</v>
      </c>
      <c r="C2090" s="2" t="s">
        <v>2598</v>
      </c>
      <c r="D2090" s="3">
        <v>45973</v>
      </c>
      <c r="E2090" s="3">
        <v>45979</v>
      </c>
      <c r="F2090" s="3">
        <v>45990</v>
      </c>
      <c r="G2090" s="2" t="s">
        <v>2629</v>
      </c>
      <c r="H2090" s="2">
        <v>23</v>
      </c>
      <c r="I2090" s="2">
        <f>IFERROR(INDEX(Raw_Orders!H2090:H4518,MATCH(B2090,Raw_Orders!A2090:A4518,0)),0)</f>
        <v>23</v>
      </c>
      <c r="J2090" s="2" t="str">
        <f t="shared" si="128"/>
        <v>No</v>
      </c>
      <c r="K2090" s="2" t="str">
        <f t="shared" si="129"/>
        <v>Yes</v>
      </c>
      <c r="L2090" s="2" t="str">
        <f t="shared" si="131"/>
        <v>No</v>
      </c>
      <c r="M2090" s="2">
        <f t="shared" si="130"/>
        <v>0</v>
      </c>
    </row>
    <row r="2091" spans="1:13" x14ac:dyDescent="0.3">
      <c r="A2091" s="5" t="s">
        <v>4720</v>
      </c>
      <c r="B2091" s="5" t="s">
        <v>2240</v>
      </c>
      <c r="C2091" s="5" t="s">
        <v>2611</v>
      </c>
      <c r="D2091" s="6">
        <v>45973</v>
      </c>
      <c r="E2091" s="6">
        <v>45978</v>
      </c>
      <c r="F2091" s="6">
        <v>45984</v>
      </c>
      <c r="G2091" s="5" t="s">
        <v>2631</v>
      </c>
      <c r="H2091" s="5">
        <v>43</v>
      </c>
      <c r="I2091" s="5">
        <f>IFERROR(INDEX(Raw_Orders!H2091:H4519,MATCH(B2091,Raw_Orders!A2091:A4519,0)),0)</f>
        <v>43</v>
      </c>
      <c r="J2091" s="5" t="str">
        <f t="shared" si="128"/>
        <v>No</v>
      </c>
      <c r="K2091" s="5" t="str">
        <f t="shared" si="129"/>
        <v>Yes</v>
      </c>
      <c r="L2091" s="5" t="str">
        <f t="shared" si="131"/>
        <v>No</v>
      </c>
      <c r="M2091" s="5">
        <f t="shared" si="130"/>
        <v>0</v>
      </c>
    </row>
    <row r="2092" spans="1:13" x14ac:dyDescent="0.3">
      <c r="A2092" s="2" t="s">
        <v>4721</v>
      </c>
      <c r="B2092" s="2" t="s">
        <v>2241</v>
      </c>
      <c r="C2092" s="2" t="s">
        <v>2614</v>
      </c>
      <c r="D2092" s="3">
        <v>45974</v>
      </c>
      <c r="E2092" s="3">
        <v>45978</v>
      </c>
      <c r="F2092" s="3">
        <v>45990</v>
      </c>
      <c r="G2092" s="2" t="s">
        <v>2633</v>
      </c>
      <c r="H2092" s="2">
        <v>15</v>
      </c>
      <c r="I2092" s="2">
        <f>IFERROR(INDEX(Raw_Orders!H2092:H4520,MATCH(B2092,Raw_Orders!A2092:A4520,0)),0)</f>
        <v>15</v>
      </c>
      <c r="J2092" s="2" t="str">
        <f t="shared" si="128"/>
        <v>No</v>
      </c>
      <c r="K2092" s="2" t="str">
        <f t="shared" si="129"/>
        <v>Yes</v>
      </c>
      <c r="L2092" s="2" t="str">
        <f t="shared" si="131"/>
        <v>No</v>
      </c>
      <c r="M2092" s="2">
        <f t="shared" si="130"/>
        <v>0</v>
      </c>
    </row>
    <row r="2093" spans="1:13" x14ac:dyDescent="0.3">
      <c r="A2093" s="5" t="s">
        <v>4722</v>
      </c>
      <c r="B2093" s="5" t="s">
        <v>2242</v>
      </c>
      <c r="C2093" s="5" t="s">
        <v>2604</v>
      </c>
      <c r="D2093" s="6">
        <v>45974</v>
      </c>
      <c r="E2093" s="6">
        <v>45976</v>
      </c>
      <c r="F2093" s="6">
        <v>45977</v>
      </c>
      <c r="G2093" s="5" t="s">
        <v>2627</v>
      </c>
      <c r="H2093" s="5">
        <v>21</v>
      </c>
      <c r="I2093" s="5">
        <f>IFERROR(INDEX(Raw_Orders!H2093:H4521,MATCH(B2093,Raw_Orders!A2093:A4521,0)),0)</f>
        <v>21</v>
      </c>
      <c r="J2093" s="5" t="str">
        <f t="shared" si="128"/>
        <v>No</v>
      </c>
      <c r="K2093" s="5" t="str">
        <f t="shared" si="129"/>
        <v>Yes</v>
      </c>
      <c r="L2093" s="5" t="str">
        <f t="shared" si="131"/>
        <v>No</v>
      </c>
      <c r="M2093" s="5">
        <f t="shared" si="130"/>
        <v>0</v>
      </c>
    </row>
    <row r="2094" spans="1:13" x14ac:dyDescent="0.3">
      <c r="A2094" s="2" t="s">
        <v>4723</v>
      </c>
      <c r="B2094" s="2" t="s">
        <v>2243</v>
      </c>
      <c r="C2094" s="2" t="s">
        <v>2616</v>
      </c>
      <c r="D2094" s="3">
        <v>45974</v>
      </c>
      <c r="E2094" s="3">
        <v>45976</v>
      </c>
      <c r="F2094" s="3">
        <v>45990</v>
      </c>
      <c r="G2094" s="2" t="s">
        <v>2629</v>
      </c>
      <c r="H2094" s="2">
        <v>35</v>
      </c>
      <c r="I2094" s="2">
        <f>IFERROR(INDEX(Raw_Orders!H2094:H4522,MATCH(B2094,Raw_Orders!A2094:A4522,0)),0)</f>
        <v>41</v>
      </c>
      <c r="J2094" s="2" t="str">
        <f t="shared" si="128"/>
        <v>No</v>
      </c>
      <c r="K2094" s="2" t="str">
        <f t="shared" si="129"/>
        <v>N0</v>
      </c>
      <c r="L2094" s="2" t="str">
        <f t="shared" si="131"/>
        <v>No</v>
      </c>
      <c r="M2094" s="2">
        <f t="shared" si="130"/>
        <v>0</v>
      </c>
    </row>
    <row r="2095" spans="1:13" x14ac:dyDescent="0.3">
      <c r="A2095" s="5" t="s">
        <v>4724</v>
      </c>
      <c r="B2095" s="5" t="s">
        <v>2244</v>
      </c>
      <c r="C2095" s="5" t="s">
        <v>2606</v>
      </c>
      <c r="D2095" s="6">
        <v>45975</v>
      </c>
      <c r="E2095" s="6">
        <v>45981</v>
      </c>
      <c r="F2095" s="6">
        <v>45983</v>
      </c>
      <c r="G2095" s="5" t="s">
        <v>2633</v>
      </c>
      <c r="H2095" s="5">
        <v>49</v>
      </c>
      <c r="I2095" s="5">
        <f>IFERROR(INDEX(Raw_Orders!H2095:H4523,MATCH(B2095,Raw_Orders!A2095:A4523,0)),0)</f>
        <v>49</v>
      </c>
      <c r="J2095" s="5" t="str">
        <f t="shared" si="128"/>
        <v>No</v>
      </c>
      <c r="K2095" s="5" t="str">
        <f t="shared" si="129"/>
        <v>Yes</v>
      </c>
      <c r="L2095" s="5" t="str">
        <f t="shared" si="131"/>
        <v>No</v>
      </c>
      <c r="M2095" s="5">
        <f t="shared" si="130"/>
        <v>0</v>
      </c>
    </row>
    <row r="2096" spans="1:13" x14ac:dyDescent="0.3">
      <c r="A2096" s="2" t="s">
        <v>4725</v>
      </c>
      <c r="B2096" s="2" t="s">
        <v>2245</v>
      </c>
      <c r="C2096" s="2" t="s">
        <v>2606</v>
      </c>
      <c r="D2096" s="3">
        <v>45973</v>
      </c>
      <c r="E2096" s="3">
        <v>45981</v>
      </c>
      <c r="F2096" s="3">
        <v>45979</v>
      </c>
      <c r="G2096" s="2" t="s">
        <v>2633</v>
      </c>
      <c r="H2096" s="2">
        <v>47</v>
      </c>
      <c r="I2096" s="2">
        <f>IFERROR(INDEX(Raw_Orders!H2096:H4524,MATCH(B2096,Raw_Orders!A2096:A4524,0)),0)</f>
        <v>47</v>
      </c>
      <c r="J2096" s="2" t="str">
        <f t="shared" si="128"/>
        <v>Yes</v>
      </c>
      <c r="K2096" s="2" t="str">
        <f t="shared" si="129"/>
        <v>Yes</v>
      </c>
      <c r="L2096" s="2" t="str">
        <f t="shared" si="131"/>
        <v>Yes</v>
      </c>
      <c r="M2096" s="2">
        <f t="shared" si="130"/>
        <v>1</v>
      </c>
    </row>
    <row r="2097" spans="1:13" x14ac:dyDescent="0.3">
      <c r="A2097" s="5" t="s">
        <v>4726</v>
      </c>
      <c r="B2097" s="5" t="s">
        <v>2246</v>
      </c>
      <c r="C2097" s="5" t="s">
        <v>2608</v>
      </c>
      <c r="D2097" s="6">
        <v>45974</v>
      </c>
      <c r="E2097" s="6">
        <v>45977</v>
      </c>
      <c r="F2097" s="6">
        <v>45986</v>
      </c>
      <c r="G2097" s="5" t="s">
        <v>2633</v>
      </c>
      <c r="H2097" s="5">
        <v>13</v>
      </c>
      <c r="I2097" s="5">
        <f>IFERROR(INDEX(Raw_Orders!H2097:H4525,MATCH(B2097,Raw_Orders!A2097:A4525,0)),0)</f>
        <v>13</v>
      </c>
      <c r="J2097" s="5" t="str">
        <f t="shared" si="128"/>
        <v>No</v>
      </c>
      <c r="K2097" s="5" t="str">
        <f t="shared" si="129"/>
        <v>Yes</v>
      </c>
      <c r="L2097" s="5" t="str">
        <f t="shared" si="131"/>
        <v>No</v>
      </c>
      <c r="M2097" s="5">
        <f t="shared" si="130"/>
        <v>0</v>
      </c>
    </row>
    <row r="2098" spans="1:13" x14ac:dyDescent="0.3">
      <c r="A2098" s="2" t="s">
        <v>4727</v>
      </c>
      <c r="B2098" s="2" t="s">
        <v>2247</v>
      </c>
      <c r="C2098" s="2" t="s">
        <v>2598</v>
      </c>
      <c r="D2098" s="3">
        <v>45974</v>
      </c>
      <c r="E2098" s="3">
        <v>45983</v>
      </c>
      <c r="F2098" s="3">
        <v>45987</v>
      </c>
      <c r="G2098" s="2" t="s">
        <v>2633</v>
      </c>
      <c r="H2098" s="2">
        <v>13</v>
      </c>
      <c r="I2098" s="2">
        <f>IFERROR(INDEX(Raw_Orders!H2098:H4526,MATCH(B2098,Raw_Orders!A2098:A4526,0)),0)</f>
        <v>13</v>
      </c>
      <c r="J2098" s="2" t="str">
        <f t="shared" si="128"/>
        <v>No</v>
      </c>
      <c r="K2098" s="2" t="str">
        <f t="shared" si="129"/>
        <v>Yes</v>
      </c>
      <c r="L2098" s="2" t="str">
        <f t="shared" si="131"/>
        <v>No</v>
      </c>
      <c r="M2098" s="2">
        <f t="shared" si="130"/>
        <v>0</v>
      </c>
    </row>
    <row r="2099" spans="1:13" x14ac:dyDescent="0.3">
      <c r="A2099" s="5" t="s">
        <v>4728</v>
      </c>
      <c r="B2099" s="5" t="s">
        <v>2248</v>
      </c>
      <c r="C2099" s="5" t="s">
        <v>2614</v>
      </c>
      <c r="D2099" s="6">
        <v>45975</v>
      </c>
      <c r="E2099" s="6">
        <v>45980</v>
      </c>
      <c r="F2099" s="6">
        <v>45993</v>
      </c>
      <c r="G2099" s="5" t="s">
        <v>2633</v>
      </c>
      <c r="H2099" s="5">
        <v>21</v>
      </c>
      <c r="I2099" s="5">
        <f>IFERROR(INDEX(Raw_Orders!H2099:H4527,MATCH(B2099,Raw_Orders!A2099:A4527,0)),0)</f>
        <v>21</v>
      </c>
      <c r="J2099" s="5" t="str">
        <f t="shared" si="128"/>
        <v>No</v>
      </c>
      <c r="K2099" s="5" t="str">
        <f t="shared" si="129"/>
        <v>Yes</v>
      </c>
      <c r="L2099" s="5" t="str">
        <f t="shared" si="131"/>
        <v>No</v>
      </c>
      <c r="M2099" s="5">
        <f t="shared" si="130"/>
        <v>0</v>
      </c>
    </row>
    <row r="2100" spans="1:13" x14ac:dyDescent="0.3">
      <c r="A2100" s="2" t="s">
        <v>4729</v>
      </c>
      <c r="B2100" s="2" t="s">
        <v>2249</v>
      </c>
      <c r="C2100" s="2" t="s">
        <v>2601</v>
      </c>
      <c r="D2100" s="3">
        <v>45974</v>
      </c>
      <c r="E2100" s="3">
        <v>45984</v>
      </c>
      <c r="F2100" s="3">
        <v>45980</v>
      </c>
      <c r="G2100" s="2" t="s">
        <v>2631</v>
      </c>
      <c r="H2100" s="2">
        <v>29</v>
      </c>
      <c r="I2100" s="2">
        <f>IFERROR(INDEX(Raw_Orders!H2100:H4528,MATCH(B2100,Raw_Orders!A2100:A4528,0)),0)</f>
        <v>29</v>
      </c>
      <c r="J2100" s="2" t="str">
        <f t="shared" si="128"/>
        <v>Yes</v>
      </c>
      <c r="K2100" s="2" t="str">
        <f t="shared" si="129"/>
        <v>Yes</v>
      </c>
      <c r="L2100" s="2" t="str">
        <f t="shared" si="131"/>
        <v>Yes</v>
      </c>
      <c r="M2100" s="2">
        <f t="shared" si="130"/>
        <v>1</v>
      </c>
    </row>
    <row r="2101" spans="1:13" x14ac:dyDescent="0.3">
      <c r="A2101" s="5" t="s">
        <v>4730</v>
      </c>
      <c r="B2101" s="5" t="s">
        <v>2250</v>
      </c>
      <c r="C2101" s="5" t="s">
        <v>2604</v>
      </c>
      <c r="D2101" s="6">
        <v>45975</v>
      </c>
      <c r="E2101" s="6">
        <v>45977</v>
      </c>
      <c r="F2101" s="6">
        <v>45979</v>
      </c>
      <c r="G2101" s="5" t="s">
        <v>2633</v>
      </c>
      <c r="H2101" s="5">
        <v>20</v>
      </c>
      <c r="I2101" s="5">
        <f>IFERROR(INDEX(Raw_Orders!H2101:H4529,MATCH(B2101,Raw_Orders!A2101:A4529,0)),0)</f>
        <v>20</v>
      </c>
      <c r="J2101" s="5" t="str">
        <f t="shared" si="128"/>
        <v>No</v>
      </c>
      <c r="K2101" s="5" t="str">
        <f t="shared" si="129"/>
        <v>Yes</v>
      </c>
      <c r="L2101" s="5" t="str">
        <f t="shared" si="131"/>
        <v>No</v>
      </c>
      <c r="M2101" s="5">
        <f t="shared" si="130"/>
        <v>0</v>
      </c>
    </row>
    <row r="2102" spans="1:13" x14ac:dyDescent="0.3">
      <c r="A2102" s="2" t="s">
        <v>4731</v>
      </c>
      <c r="B2102" s="2" t="s">
        <v>2251</v>
      </c>
      <c r="C2102" s="2" t="s">
        <v>2606</v>
      </c>
      <c r="D2102" s="3">
        <v>45974</v>
      </c>
      <c r="E2102" s="3">
        <v>45982</v>
      </c>
      <c r="F2102" s="3">
        <v>45980</v>
      </c>
      <c r="G2102" s="2" t="s">
        <v>2627</v>
      </c>
      <c r="H2102" s="2">
        <v>82</v>
      </c>
      <c r="I2102" s="2">
        <f>IFERROR(INDEX(Raw_Orders!H2102:H4530,MATCH(B2102,Raw_Orders!A2102:A4530,0)),0)</f>
        <v>82</v>
      </c>
      <c r="J2102" s="2" t="str">
        <f t="shared" si="128"/>
        <v>Yes</v>
      </c>
      <c r="K2102" s="2" t="str">
        <f t="shared" si="129"/>
        <v>Yes</v>
      </c>
      <c r="L2102" s="2" t="str">
        <f t="shared" si="131"/>
        <v>Yes</v>
      </c>
      <c r="M2102" s="2">
        <f t="shared" si="130"/>
        <v>1</v>
      </c>
    </row>
    <row r="2103" spans="1:13" x14ac:dyDescent="0.3">
      <c r="A2103" s="5" t="s">
        <v>4732</v>
      </c>
      <c r="B2103" s="5" t="s">
        <v>2252</v>
      </c>
      <c r="C2103" s="5" t="s">
        <v>2606</v>
      </c>
      <c r="D2103" s="6">
        <v>45975</v>
      </c>
      <c r="E2103" s="6">
        <v>45979</v>
      </c>
      <c r="F2103" s="6">
        <v>45982</v>
      </c>
      <c r="G2103" s="5" t="s">
        <v>2641</v>
      </c>
      <c r="H2103" s="5">
        <v>14</v>
      </c>
      <c r="I2103" s="5">
        <f>IFERROR(INDEX(Raw_Orders!H2103:H4531,MATCH(B2103,Raw_Orders!A2103:A4531,0)),0)</f>
        <v>14</v>
      </c>
      <c r="J2103" s="5" t="str">
        <f t="shared" si="128"/>
        <v>No</v>
      </c>
      <c r="K2103" s="5" t="str">
        <f t="shared" si="129"/>
        <v>Yes</v>
      </c>
      <c r="L2103" s="5" t="str">
        <f t="shared" si="131"/>
        <v>No</v>
      </c>
      <c r="M2103" s="5">
        <f t="shared" si="130"/>
        <v>0</v>
      </c>
    </row>
    <row r="2104" spans="1:13" x14ac:dyDescent="0.3">
      <c r="A2104" s="2" t="s">
        <v>4733</v>
      </c>
      <c r="B2104" s="2" t="s">
        <v>2253</v>
      </c>
      <c r="C2104" s="2" t="s">
        <v>2608</v>
      </c>
      <c r="D2104" s="3">
        <v>45974</v>
      </c>
      <c r="E2104" s="3">
        <v>45980</v>
      </c>
      <c r="F2104" s="3">
        <v>45988</v>
      </c>
      <c r="G2104" s="2" t="s">
        <v>2633</v>
      </c>
      <c r="H2104" s="2">
        <v>20</v>
      </c>
      <c r="I2104" s="2">
        <f>IFERROR(INDEX(Raw_Orders!H2104:H4532,MATCH(B2104,Raw_Orders!A2104:A4532,0)),0)</f>
        <v>20</v>
      </c>
      <c r="J2104" s="2" t="str">
        <f t="shared" si="128"/>
        <v>No</v>
      </c>
      <c r="K2104" s="2" t="str">
        <f t="shared" si="129"/>
        <v>Yes</v>
      </c>
      <c r="L2104" s="2" t="str">
        <f t="shared" si="131"/>
        <v>No</v>
      </c>
      <c r="M2104" s="2">
        <f t="shared" si="130"/>
        <v>0</v>
      </c>
    </row>
    <row r="2105" spans="1:13" x14ac:dyDescent="0.3">
      <c r="A2105" s="5" t="s">
        <v>4734</v>
      </c>
      <c r="B2105" s="5" t="s">
        <v>2254</v>
      </c>
      <c r="C2105" s="5" t="s">
        <v>2611</v>
      </c>
      <c r="D2105" s="6">
        <v>45977</v>
      </c>
      <c r="E2105" s="6">
        <v>45979</v>
      </c>
      <c r="F2105" s="6">
        <v>45986</v>
      </c>
      <c r="G2105" s="5" t="s">
        <v>2627</v>
      </c>
      <c r="H2105" s="5">
        <v>27</v>
      </c>
      <c r="I2105" s="5">
        <f>IFERROR(INDEX(Raw_Orders!H2105:H4533,MATCH(B2105,Raw_Orders!A2105:A4533,0)),0)</f>
        <v>27</v>
      </c>
      <c r="J2105" s="5" t="str">
        <f t="shared" si="128"/>
        <v>No</v>
      </c>
      <c r="K2105" s="5" t="str">
        <f t="shared" si="129"/>
        <v>Yes</v>
      </c>
      <c r="L2105" s="5" t="str">
        <f t="shared" si="131"/>
        <v>No</v>
      </c>
      <c r="M2105" s="5">
        <f t="shared" si="130"/>
        <v>0</v>
      </c>
    </row>
    <row r="2106" spans="1:13" x14ac:dyDescent="0.3">
      <c r="A2106" s="2" t="s">
        <v>4735</v>
      </c>
      <c r="B2106" s="2" t="s">
        <v>2255</v>
      </c>
      <c r="C2106" s="2" t="s">
        <v>2611</v>
      </c>
      <c r="D2106" s="3">
        <v>45976</v>
      </c>
      <c r="E2106" s="3">
        <v>45980</v>
      </c>
      <c r="F2106" s="3">
        <v>45983</v>
      </c>
      <c r="G2106" s="2" t="s">
        <v>2641</v>
      </c>
      <c r="H2106" s="2">
        <v>27</v>
      </c>
      <c r="I2106" s="2">
        <f>IFERROR(INDEX(Raw_Orders!H2106:H4534,MATCH(B2106,Raw_Orders!A2106:A4534,0)),0)</f>
        <v>27</v>
      </c>
      <c r="J2106" s="2" t="str">
        <f t="shared" si="128"/>
        <v>No</v>
      </c>
      <c r="K2106" s="2" t="str">
        <f t="shared" si="129"/>
        <v>Yes</v>
      </c>
      <c r="L2106" s="2" t="str">
        <f t="shared" si="131"/>
        <v>No</v>
      </c>
      <c r="M2106" s="2">
        <f t="shared" si="130"/>
        <v>0</v>
      </c>
    </row>
    <row r="2107" spans="1:13" x14ac:dyDescent="0.3">
      <c r="A2107" s="5" t="s">
        <v>4736</v>
      </c>
      <c r="B2107" s="5" t="s">
        <v>2256</v>
      </c>
      <c r="C2107" s="5" t="s">
        <v>2598</v>
      </c>
      <c r="D2107" s="6">
        <v>45977</v>
      </c>
      <c r="E2107" s="6">
        <v>45982</v>
      </c>
      <c r="F2107" s="6">
        <v>45992</v>
      </c>
      <c r="G2107" s="5" t="s">
        <v>2631</v>
      </c>
      <c r="H2107" s="5">
        <v>27</v>
      </c>
      <c r="I2107" s="5">
        <f>IFERROR(INDEX(Raw_Orders!H2107:H4535,MATCH(B2107,Raw_Orders!A2107:A4535,0)),0)</f>
        <v>34</v>
      </c>
      <c r="J2107" s="5" t="str">
        <f t="shared" si="128"/>
        <v>No</v>
      </c>
      <c r="K2107" s="5" t="str">
        <f t="shared" si="129"/>
        <v>N0</v>
      </c>
      <c r="L2107" s="5" t="str">
        <f t="shared" si="131"/>
        <v>No</v>
      </c>
      <c r="M2107" s="5">
        <f t="shared" si="130"/>
        <v>0</v>
      </c>
    </row>
    <row r="2108" spans="1:13" x14ac:dyDescent="0.3">
      <c r="A2108" s="2" t="s">
        <v>4737</v>
      </c>
      <c r="B2108" s="2" t="s">
        <v>2257</v>
      </c>
      <c r="C2108" s="2" t="s">
        <v>2614</v>
      </c>
      <c r="D2108" s="3">
        <v>45976</v>
      </c>
      <c r="E2108" s="3">
        <v>45985</v>
      </c>
      <c r="F2108" s="3">
        <v>45990</v>
      </c>
      <c r="G2108" s="2" t="s">
        <v>2629</v>
      </c>
      <c r="H2108" s="2">
        <v>17</v>
      </c>
      <c r="I2108" s="2">
        <f>IFERROR(INDEX(Raw_Orders!H2108:H4536,MATCH(B2108,Raw_Orders!A2108:A4536,0)),0)</f>
        <v>17</v>
      </c>
      <c r="J2108" s="2" t="str">
        <f t="shared" si="128"/>
        <v>No</v>
      </c>
      <c r="K2108" s="2" t="str">
        <f t="shared" si="129"/>
        <v>Yes</v>
      </c>
      <c r="L2108" s="2" t="str">
        <f t="shared" si="131"/>
        <v>No</v>
      </c>
      <c r="M2108" s="2">
        <f t="shared" si="130"/>
        <v>0</v>
      </c>
    </row>
    <row r="2109" spans="1:13" x14ac:dyDescent="0.3">
      <c r="A2109" s="5" t="s">
        <v>4738</v>
      </c>
      <c r="B2109" s="5" t="s">
        <v>2258</v>
      </c>
      <c r="C2109" s="5" t="s">
        <v>2616</v>
      </c>
      <c r="D2109" s="6">
        <v>45977</v>
      </c>
      <c r="E2109" s="6">
        <v>45985</v>
      </c>
      <c r="F2109" s="6">
        <v>45992</v>
      </c>
      <c r="G2109" s="5" t="s">
        <v>2641</v>
      </c>
      <c r="H2109" s="5">
        <v>21</v>
      </c>
      <c r="I2109" s="5">
        <f>IFERROR(INDEX(Raw_Orders!H2109:H4537,MATCH(B2109,Raw_Orders!A2109:A4537,0)),0)</f>
        <v>22</v>
      </c>
      <c r="J2109" s="5" t="str">
        <f t="shared" si="128"/>
        <v>No</v>
      </c>
      <c r="K2109" s="5" t="str">
        <f t="shared" si="129"/>
        <v>N0</v>
      </c>
      <c r="L2109" s="5" t="str">
        <f t="shared" si="131"/>
        <v>No</v>
      </c>
      <c r="M2109" s="5">
        <f t="shared" si="130"/>
        <v>0</v>
      </c>
    </row>
    <row r="2110" spans="1:13" x14ac:dyDescent="0.3">
      <c r="A2110" s="2" t="s">
        <v>4739</v>
      </c>
      <c r="B2110" s="2" t="s">
        <v>2259</v>
      </c>
      <c r="C2110" s="2" t="s">
        <v>2616</v>
      </c>
      <c r="D2110" s="3">
        <v>45977</v>
      </c>
      <c r="E2110" s="3">
        <v>45978</v>
      </c>
      <c r="F2110" s="3">
        <v>45991</v>
      </c>
      <c r="G2110" s="2" t="s">
        <v>2631</v>
      </c>
      <c r="H2110" s="2">
        <v>85</v>
      </c>
      <c r="I2110" s="2">
        <f>IFERROR(INDEX(Raw_Orders!H2110:H4538,MATCH(B2110,Raw_Orders!A2110:A4538,0)),0)</f>
        <v>85</v>
      </c>
      <c r="J2110" s="2" t="str">
        <f t="shared" si="128"/>
        <v>No</v>
      </c>
      <c r="K2110" s="2" t="str">
        <f t="shared" si="129"/>
        <v>Yes</v>
      </c>
      <c r="L2110" s="2" t="str">
        <f t="shared" si="131"/>
        <v>No</v>
      </c>
      <c r="M2110" s="2">
        <f t="shared" si="130"/>
        <v>0</v>
      </c>
    </row>
    <row r="2111" spans="1:13" x14ac:dyDescent="0.3">
      <c r="A2111" s="5" t="s">
        <v>4740</v>
      </c>
      <c r="B2111" s="5" t="s">
        <v>2260</v>
      </c>
      <c r="C2111" s="5" t="s">
        <v>2604</v>
      </c>
      <c r="D2111" s="6">
        <v>45976</v>
      </c>
      <c r="E2111" s="6">
        <v>45981</v>
      </c>
      <c r="F2111" s="6">
        <v>45982</v>
      </c>
      <c r="G2111" s="5" t="s">
        <v>2633</v>
      </c>
      <c r="H2111" s="5">
        <v>25</v>
      </c>
      <c r="I2111" s="5">
        <f>IFERROR(INDEX(Raw_Orders!H2111:H4539,MATCH(B2111,Raw_Orders!A2111:A4539,0)),0)</f>
        <v>27</v>
      </c>
      <c r="J2111" s="5" t="str">
        <f t="shared" si="128"/>
        <v>No</v>
      </c>
      <c r="K2111" s="5" t="str">
        <f t="shared" si="129"/>
        <v>N0</v>
      </c>
      <c r="L2111" s="5" t="str">
        <f t="shared" si="131"/>
        <v>No</v>
      </c>
      <c r="M2111" s="5">
        <f t="shared" si="130"/>
        <v>0</v>
      </c>
    </row>
    <row r="2112" spans="1:13" x14ac:dyDescent="0.3">
      <c r="A2112" s="2" t="s">
        <v>4741</v>
      </c>
      <c r="B2112" s="2" t="s">
        <v>2261</v>
      </c>
      <c r="C2112" s="2" t="s">
        <v>2606</v>
      </c>
      <c r="D2112" s="3">
        <v>45977</v>
      </c>
      <c r="E2112" s="3">
        <v>45984</v>
      </c>
      <c r="F2112" s="3">
        <v>45983</v>
      </c>
      <c r="G2112" s="2" t="s">
        <v>2631</v>
      </c>
      <c r="H2112" s="2">
        <v>43</v>
      </c>
      <c r="I2112" s="2">
        <f>IFERROR(INDEX(Raw_Orders!H2112:H4540,MATCH(B2112,Raw_Orders!A2112:A4540,0)),0)</f>
        <v>43</v>
      </c>
      <c r="J2112" s="2" t="str">
        <f t="shared" si="128"/>
        <v>Yes</v>
      </c>
      <c r="K2112" s="2" t="str">
        <f t="shared" si="129"/>
        <v>Yes</v>
      </c>
      <c r="L2112" s="2" t="str">
        <f t="shared" si="131"/>
        <v>Yes</v>
      </c>
      <c r="M2112" s="2">
        <f t="shared" si="130"/>
        <v>1</v>
      </c>
    </row>
    <row r="2113" spans="1:13" x14ac:dyDescent="0.3">
      <c r="A2113" s="5" t="s">
        <v>4742</v>
      </c>
      <c r="B2113" s="5" t="s">
        <v>2262</v>
      </c>
      <c r="C2113" s="5" t="s">
        <v>2608</v>
      </c>
      <c r="D2113" s="6">
        <v>45975</v>
      </c>
      <c r="E2113" s="6">
        <v>45983</v>
      </c>
      <c r="F2113" s="6">
        <v>45987</v>
      </c>
      <c r="G2113" s="5" t="s">
        <v>2629</v>
      </c>
      <c r="H2113" s="5">
        <v>6</v>
      </c>
      <c r="I2113" s="5">
        <f>IFERROR(INDEX(Raw_Orders!H2113:H4541,MATCH(B2113,Raw_Orders!A2113:A4541,0)),0)</f>
        <v>6</v>
      </c>
      <c r="J2113" s="5" t="str">
        <f t="shared" si="128"/>
        <v>No</v>
      </c>
      <c r="K2113" s="5" t="str">
        <f t="shared" si="129"/>
        <v>Yes</v>
      </c>
      <c r="L2113" s="5" t="str">
        <f t="shared" si="131"/>
        <v>No</v>
      </c>
      <c r="M2113" s="5">
        <f t="shared" si="130"/>
        <v>0</v>
      </c>
    </row>
    <row r="2114" spans="1:13" x14ac:dyDescent="0.3">
      <c r="A2114" s="2" t="s">
        <v>4743</v>
      </c>
      <c r="B2114" s="2" t="s">
        <v>2263</v>
      </c>
      <c r="C2114" s="2" t="s">
        <v>2611</v>
      </c>
      <c r="D2114" s="3">
        <v>45977</v>
      </c>
      <c r="E2114" s="3">
        <v>45980</v>
      </c>
      <c r="F2114" s="3">
        <v>45984</v>
      </c>
      <c r="G2114" s="2" t="s">
        <v>2631</v>
      </c>
      <c r="H2114" s="2">
        <v>74</v>
      </c>
      <c r="I2114" s="2">
        <f>IFERROR(INDEX(Raw_Orders!H2114:H4542,MATCH(B2114,Raw_Orders!A2114:A4542,0)),0)</f>
        <v>74</v>
      </c>
      <c r="J2114" s="2" t="str">
        <f t="shared" si="128"/>
        <v>No</v>
      </c>
      <c r="K2114" s="2" t="str">
        <f t="shared" si="129"/>
        <v>Yes</v>
      </c>
      <c r="L2114" s="2" t="str">
        <f t="shared" si="131"/>
        <v>No</v>
      </c>
      <c r="M2114" s="2">
        <f t="shared" si="130"/>
        <v>0</v>
      </c>
    </row>
    <row r="2115" spans="1:13" x14ac:dyDescent="0.3">
      <c r="A2115" s="5" t="s">
        <v>4744</v>
      </c>
      <c r="B2115" s="5" t="s">
        <v>2264</v>
      </c>
      <c r="C2115" s="5" t="s">
        <v>2601</v>
      </c>
      <c r="D2115" s="6">
        <v>45978</v>
      </c>
      <c r="E2115" s="6">
        <v>45981</v>
      </c>
      <c r="F2115" s="6">
        <v>45983</v>
      </c>
      <c r="G2115" s="5" t="s">
        <v>2629</v>
      </c>
      <c r="H2115" s="5">
        <v>8</v>
      </c>
      <c r="I2115" s="5">
        <f>IFERROR(INDEX(Raw_Orders!H2115:H4543,MATCH(B2115,Raw_Orders!A2115:A4543,0)),0)</f>
        <v>10</v>
      </c>
      <c r="J2115" s="5" t="str">
        <f t="shared" ref="J2115:J2178" si="132">IF(E2115&gt;=F2115,"Yes","No")</f>
        <v>No</v>
      </c>
      <c r="K2115" s="5" t="str">
        <f t="shared" ref="K2115:K2178" si="133">IF(H2115&gt;=I2115,"Yes","N0")</f>
        <v>N0</v>
      </c>
      <c r="L2115" s="5" t="str">
        <f t="shared" si="131"/>
        <v>No</v>
      </c>
      <c r="M2115" s="5">
        <f t="shared" ref="M2115:M2178" si="134">IF(L2115="Yes",1,0)</f>
        <v>0</v>
      </c>
    </row>
    <row r="2116" spans="1:13" x14ac:dyDescent="0.3">
      <c r="A2116" s="2" t="s">
        <v>4745</v>
      </c>
      <c r="B2116" s="2" t="s">
        <v>2265</v>
      </c>
      <c r="C2116" s="2" t="s">
        <v>2604</v>
      </c>
      <c r="D2116" s="3">
        <v>45978</v>
      </c>
      <c r="E2116" s="3">
        <v>45982</v>
      </c>
      <c r="F2116" s="3">
        <v>45982</v>
      </c>
      <c r="G2116" s="2" t="s">
        <v>2627</v>
      </c>
      <c r="H2116" s="2">
        <v>18</v>
      </c>
      <c r="I2116" s="2">
        <f>IFERROR(INDEX(Raw_Orders!H2116:H4544,MATCH(B2116,Raw_Orders!A2116:A4544,0)),0)</f>
        <v>18</v>
      </c>
      <c r="J2116" s="2" t="str">
        <f t="shared" si="132"/>
        <v>Yes</v>
      </c>
      <c r="K2116" s="2" t="str">
        <f t="shared" si="133"/>
        <v>Yes</v>
      </c>
      <c r="L2116" s="2" t="str">
        <f t="shared" ref="L2116:L2179" si="135">IF(AND(J2116="Yes",K2116="Yes"),"Yes","No")</f>
        <v>Yes</v>
      </c>
      <c r="M2116" s="2">
        <f t="shared" si="134"/>
        <v>1</v>
      </c>
    </row>
    <row r="2117" spans="1:13" x14ac:dyDescent="0.3">
      <c r="A2117" s="5" t="s">
        <v>4746</v>
      </c>
      <c r="B2117" s="5" t="s">
        <v>2266</v>
      </c>
      <c r="C2117" s="5" t="s">
        <v>2604</v>
      </c>
      <c r="D2117" s="6">
        <v>45977</v>
      </c>
      <c r="E2117" s="6">
        <v>45979</v>
      </c>
      <c r="F2117" s="6">
        <v>45981</v>
      </c>
      <c r="G2117" s="5" t="s">
        <v>2631</v>
      </c>
      <c r="H2117" s="5">
        <v>27</v>
      </c>
      <c r="I2117" s="5">
        <f>IFERROR(INDEX(Raw_Orders!H2117:H4545,MATCH(B2117,Raw_Orders!A2117:A4545,0)),0)</f>
        <v>27</v>
      </c>
      <c r="J2117" s="5" t="str">
        <f t="shared" si="132"/>
        <v>No</v>
      </c>
      <c r="K2117" s="5" t="str">
        <f t="shared" si="133"/>
        <v>Yes</v>
      </c>
      <c r="L2117" s="5" t="str">
        <f t="shared" si="135"/>
        <v>No</v>
      </c>
      <c r="M2117" s="5">
        <f t="shared" si="134"/>
        <v>0</v>
      </c>
    </row>
    <row r="2118" spans="1:13" x14ac:dyDescent="0.3">
      <c r="A2118" s="2" t="s">
        <v>4747</v>
      </c>
      <c r="B2118" s="2" t="s">
        <v>2267</v>
      </c>
      <c r="C2118" s="2" t="s">
        <v>2606</v>
      </c>
      <c r="D2118" s="3">
        <v>45978</v>
      </c>
      <c r="E2118" s="3">
        <v>45986</v>
      </c>
      <c r="F2118" s="3">
        <v>45984</v>
      </c>
      <c r="G2118" s="2" t="s">
        <v>2629</v>
      </c>
      <c r="H2118" s="2">
        <v>16</v>
      </c>
      <c r="I2118" s="2">
        <f>IFERROR(INDEX(Raw_Orders!H2118:H4546,MATCH(B2118,Raw_Orders!A2118:A4546,0)),0)</f>
        <v>16</v>
      </c>
      <c r="J2118" s="2" t="str">
        <f t="shared" si="132"/>
        <v>Yes</v>
      </c>
      <c r="K2118" s="2" t="str">
        <f t="shared" si="133"/>
        <v>Yes</v>
      </c>
      <c r="L2118" s="2" t="str">
        <f t="shared" si="135"/>
        <v>Yes</v>
      </c>
      <c r="M2118" s="2">
        <f t="shared" si="134"/>
        <v>1</v>
      </c>
    </row>
    <row r="2119" spans="1:13" x14ac:dyDescent="0.3">
      <c r="A2119" s="5" t="s">
        <v>4748</v>
      </c>
      <c r="B2119" s="5" t="s">
        <v>2268</v>
      </c>
      <c r="C2119" s="5" t="s">
        <v>2608</v>
      </c>
      <c r="D2119" s="6">
        <v>45978</v>
      </c>
      <c r="E2119" s="6">
        <v>45980</v>
      </c>
      <c r="F2119" s="6">
        <v>45991</v>
      </c>
      <c r="G2119" s="5" t="s">
        <v>2641</v>
      </c>
      <c r="H2119" s="5">
        <v>4</v>
      </c>
      <c r="I2119" s="5">
        <f>IFERROR(INDEX(Raw_Orders!H2119:H4547,MATCH(B2119,Raw_Orders!A2119:A4547,0)),0)</f>
        <v>4</v>
      </c>
      <c r="J2119" s="5" t="str">
        <f t="shared" si="132"/>
        <v>No</v>
      </c>
      <c r="K2119" s="5" t="str">
        <f t="shared" si="133"/>
        <v>Yes</v>
      </c>
      <c r="L2119" s="5" t="str">
        <f t="shared" si="135"/>
        <v>No</v>
      </c>
      <c r="M2119" s="5">
        <f t="shared" si="134"/>
        <v>0</v>
      </c>
    </row>
    <row r="2120" spans="1:13" x14ac:dyDescent="0.3">
      <c r="A2120" s="2" t="s">
        <v>4749</v>
      </c>
      <c r="B2120" s="2" t="s">
        <v>2269</v>
      </c>
      <c r="C2120" s="2" t="s">
        <v>2608</v>
      </c>
      <c r="D2120" s="3">
        <v>45978</v>
      </c>
      <c r="E2120" s="3">
        <v>45980</v>
      </c>
      <c r="F2120" s="3">
        <v>45993</v>
      </c>
      <c r="G2120" s="2" t="s">
        <v>2631</v>
      </c>
      <c r="H2120" s="2">
        <v>11</v>
      </c>
      <c r="I2120" s="2">
        <f>IFERROR(INDEX(Raw_Orders!H2120:H4548,MATCH(B2120,Raw_Orders!A2120:A4548,0)),0)</f>
        <v>11</v>
      </c>
      <c r="J2120" s="2" t="str">
        <f t="shared" si="132"/>
        <v>No</v>
      </c>
      <c r="K2120" s="2" t="str">
        <f t="shared" si="133"/>
        <v>Yes</v>
      </c>
      <c r="L2120" s="2" t="str">
        <f t="shared" si="135"/>
        <v>No</v>
      </c>
      <c r="M2120" s="2">
        <f t="shared" si="134"/>
        <v>0</v>
      </c>
    </row>
    <row r="2121" spans="1:13" x14ac:dyDescent="0.3">
      <c r="A2121" s="5" t="s">
        <v>4750</v>
      </c>
      <c r="B2121" s="5" t="s">
        <v>2270</v>
      </c>
      <c r="C2121" s="5" t="s">
        <v>2598</v>
      </c>
      <c r="D2121" s="6">
        <v>45978</v>
      </c>
      <c r="E2121" s="6">
        <v>45983</v>
      </c>
      <c r="F2121" s="6">
        <v>45991</v>
      </c>
      <c r="G2121" s="5" t="s">
        <v>2641</v>
      </c>
      <c r="H2121" s="5">
        <v>35</v>
      </c>
      <c r="I2121" s="5">
        <f>IFERROR(INDEX(Raw_Orders!H2121:H4549,MATCH(B2121,Raw_Orders!A2121:A4549,0)),0)</f>
        <v>35</v>
      </c>
      <c r="J2121" s="5" t="str">
        <f t="shared" si="132"/>
        <v>No</v>
      </c>
      <c r="K2121" s="5" t="str">
        <f t="shared" si="133"/>
        <v>Yes</v>
      </c>
      <c r="L2121" s="5" t="str">
        <f t="shared" si="135"/>
        <v>No</v>
      </c>
      <c r="M2121" s="5">
        <f t="shared" si="134"/>
        <v>0</v>
      </c>
    </row>
    <row r="2122" spans="1:13" x14ac:dyDescent="0.3">
      <c r="A2122" s="2" t="s">
        <v>4751</v>
      </c>
      <c r="B2122" s="2" t="s">
        <v>2271</v>
      </c>
      <c r="C2122" s="2" t="s">
        <v>2598</v>
      </c>
      <c r="D2122" s="3">
        <v>45978</v>
      </c>
      <c r="E2122" s="3">
        <v>45983</v>
      </c>
      <c r="F2122" s="3">
        <v>45995</v>
      </c>
      <c r="G2122" s="2" t="s">
        <v>2627</v>
      </c>
      <c r="H2122" s="2">
        <v>37</v>
      </c>
      <c r="I2122" s="2">
        <f>IFERROR(INDEX(Raw_Orders!H2122:H4550,MATCH(B2122,Raw_Orders!A2122:A4550,0)),0)</f>
        <v>37</v>
      </c>
      <c r="J2122" s="2" t="str">
        <f t="shared" si="132"/>
        <v>No</v>
      </c>
      <c r="K2122" s="2" t="str">
        <f t="shared" si="133"/>
        <v>Yes</v>
      </c>
      <c r="L2122" s="2" t="str">
        <f t="shared" si="135"/>
        <v>No</v>
      </c>
      <c r="M2122" s="2">
        <f t="shared" si="134"/>
        <v>0</v>
      </c>
    </row>
    <row r="2123" spans="1:13" x14ac:dyDescent="0.3">
      <c r="A2123" s="5" t="s">
        <v>4752</v>
      </c>
      <c r="B2123" s="5" t="s">
        <v>2272</v>
      </c>
      <c r="C2123" s="5" t="s">
        <v>2601</v>
      </c>
      <c r="D2123" s="6">
        <v>45977</v>
      </c>
      <c r="E2123" s="6">
        <v>45984</v>
      </c>
      <c r="F2123" s="6">
        <v>45984</v>
      </c>
      <c r="G2123" s="5" t="s">
        <v>2627</v>
      </c>
      <c r="H2123" s="5">
        <v>28</v>
      </c>
      <c r="I2123" s="5">
        <f>IFERROR(INDEX(Raw_Orders!H2123:H4551,MATCH(B2123,Raw_Orders!A2123:A4551,0)),0)</f>
        <v>28</v>
      </c>
      <c r="J2123" s="5" t="str">
        <f t="shared" si="132"/>
        <v>Yes</v>
      </c>
      <c r="K2123" s="5" t="str">
        <f t="shared" si="133"/>
        <v>Yes</v>
      </c>
      <c r="L2123" s="5" t="str">
        <f t="shared" si="135"/>
        <v>Yes</v>
      </c>
      <c r="M2123" s="5">
        <f t="shared" si="134"/>
        <v>1</v>
      </c>
    </row>
    <row r="2124" spans="1:13" x14ac:dyDescent="0.3">
      <c r="A2124" s="2" t="s">
        <v>4753</v>
      </c>
      <c r="B2124" s="2" t="s">
        <v>2273</v>
      </c>
      <c r="C2124" s="2" t="s">
        <v>2614</v>
      </c>
      <c r="D2124" s="3">
        <v>45978</v>
      </c>
      <c r="E2124" s="3">
        <v>45983</v>
      </c>
      <c r="F2124" s="3">
        <v>45993</v>
      </c>
      <c r="G2124" s="2" t="s">
        <v>2641</v>
      </c>
      <c r="H2124" s="2">
        <v>15</v>
      </c>
      <c r="I2124" s="2">
        <f>IFERROR(INDEX(Raw_Orders!H2124:H4552,MATCH(B2124,Raw_Orders!A2124:A4552,0)),0)</f>
        <v>15</v>
      </c>
      <c r="J2124" s="2" t="str">
        <f t="shared" si="132"/>
        <v>No</v>
      </c>
      <c r="K2124" s="2" t="str">
        <f t="shared" si="133"/>
        <v>Yes</v>
      </c>
      <c r="L2124" s="2" t="str">
        <f t="shared" si="135"/>
        <v>No</v>
      </c>
      <c r="M2124" s="2">
        <f t="shared" si="134"/>
        <v>0</v>
      </c>
    </row>
    <row r="2125" spans="1:13" x14ac:dyDescent="0.3">
      <c r="A2125" s="5" t="s">
        <v>4754</v>
      </c>
      <c r="B2125" s="5" t="s">
        <v>2274</v>
      </c>
      <c r="C2125" s="5" t="s">
        <v>2604</v>
      </c>
      <c r="D2125" s="6">
        <v>45977</v>
      </c>
      <c r="E2125" s="6">
        <v>45981</v>
      </c>
      <c r="F2125" s="6">
        <v>45980</v>
      </c>
      <c r="G2125" s="5" t="s">
        <v>2641</v>
      </c>
      <c r="H2125" s="5">
        <v>18</v>
      </c>
      <c r="I2125" s="5">
        <f>IFERROR(INDEX(Raw_Orders!H2125:H4553,MATCH(B2125,Raw_Orders!A2125:A4553,0)),0)</f>
        <v>24</v>
      </c>
      <c r="J2125" s="5" t="str">
        <f t="shared" si="132"/>
        <v>Yes</v>
      </c>
      <c r="K2125" s="5" t="str">
        <f t="shared" si="133"/>
        <v>N0</v>
      </c>
      <c r="L2125" s="5" t="str">
        <f t="shared" si="135"/>
        <v>No</v>
      </c>
      <c r="M2125" s="5">
        <f t="shared" si="134"/>
        <v>0</v>
      </c>
    </row>
    <row r="2126" spans="1:13" x14ac:dyDescent="0.3">
      <c r="A2126" s="2" t="s">
        <v>4755</v>
      </c>
      <c r="B2126" s="2" t="s">
        <v>2275</v>
      </c>
      <c r="C2126" s="2" t="s">
        <v>2606</v>
      </c>
      <c r="D2126" s="3">
        <v>45978</v>
      </c>
      <c r="E2126" s="3">
        <v>45983</v>
      </c>
      <c r="F2126" s="3">
        <v>45984</v>
      </c>
      <c r="G2126" s="2" t="s">
        <v>2629</v>
      </c>
      <c r="H2126" s="2">
        <v>64</v>
      </c>
      <c r="I2126" s="2">
        <f>IFERROR(INDEX(Raw_Orders!H2126:H4554,MATCH(B2126,Raw_Orders!A2126:A4554,0)),0)</f>
        <v>64</v>
      </c>
      <c r="J2126" s="2" t="str">
        <f t="shared" si="132"/>
        <v>No</v>
      </c>
      <c r="K2126" s="2" t="str">
        <f t="shared" si="133"/>
        <v>Yes</v>
      </c>
      <c r="L2126" s="2" t="str">
        <f t="shared" si="135"/>
        <v>No</v>
      </c>
      <c r="M2126" s="2">
        <f t="shared" si="134"/>
        <v>0</v>
      </c>
    </row>
    <row r="2127" spans="1:13" x14ac:dyDescent="0.3">
      <c r="A2127" s="5" t="s">
        <v>4756</v>
      </c>
      <c r="B2127" s="5" t="s">
        <v>2276</v>
      </c>
      <c r="C2127" s="5" t="s">
        <v>2608</v>
      </c>
      <c r="D2127" s="6">
        <v>45979</v>
      </c>
      <c r="E2127" s="6">
        <v>45986</v>
      </c>
      <c r="F2127" s="6">
        <v>45993</v>
      </c>
      <c r="G2127" s="5" t="s">
        <v>2641</v>
      </c>
      <c r="H2127" s="5">
        <v>6</v>
      </c>
      <c r="I2127" s="5">
        <f>IFERROR(INDEX(Raw_Orders!H2127:H4555,MATCH(B2127,Raw_Orders!A2127:A4555,0)),0)</f>
        <v>6</v>
      </c>
      <c r="J2127" s="5" t="str">
        <f t="shared" si="132"/>
        <v>No</v>
      </c>
      <c r="K2127" s="5" t="str">
        <f t="shared" si="133"/>
        <v>Yes</v>
      </c>
      <c r="L2127" s="5" t="str">
        <f t="shared" si="135"/>
        <v>No</v>
      </c>
      <c r="M2127" s="5">
        <f t="shared" si="134"/>
        <v>0</v>
      </c>
    </row>
    <row r="2128" spans="1:13" x14ac:dyDescent="0.3">
      <c r="A2128" s="2" t="s">
        <v>4757</v>
      </c>
      <c r="B2128" s="2" t="s">
        <v>2277</v>
      </c>
      <c r="C2128" s="2" t="s">
        <v>2614</v>
      </c>
      <c r="D2128" s="3">
        <v>45979</v>
      </c>
      <c r="E2128" s="3">
        <v>45982</v>
      </c>
      <c r="F2128" s="3">
        <v>45992</v>
      </c>
      <c r="G2128" s="2" t="s">
        <v>2633</v>
      </c>
      <c r="H2128" s="2">
        <v>34</v>
      </c>
      <c r="I2128" s="2">
        <f>IFERROR(INDEX(Raw_Orders!H2128:H4556,MATCH(B2128,Raw_Orders!A2128:A4556,0)),0)</f>
        <v>34</v>
      </c>
      <c r="J2128" s="2" t="str">
        <f t="shared" si="132"/>
        <v>No</v>
      </c>
      <c r="K2128" s="2" t="str">
        <f t="shared" si="133"/>
        <v>Yes</v>
      </c>
      <c r="L2128" s="2" t="str">
        <f t="shared" si="135"/>
        <v>No</v>
      </c>
      <c r="M2128" s="2">
        <f t="shared" si="134"/>
        <v>0</v>
      </c>
    </row>
    <row r="2129" spans="1:13" x14ac:dyDescent="0.3">
      <c r="A2129" s="5" t="s">
        <v>4758</v>
      </c>
      <c r="B2129" s="5" t="s">
        <v>2278</v>
      </c>
      <c r="C2129" s="5" t="s">
        <v>2604</v>
      </c>
      <c r="D2129" s="6">
        <v>45979</v>
      </c>
      <c r="E2129" s="6">
        <v>45987</v>
      </c>
      <c r="F2129" s="6">
        <v>45983</v>
      </c>
      <c r="G2129" s="5" t="s">
        <v>2627</v>
      </c>
      <c r="H2129" s="5">
        <v>15</v>
      </c>
      <c r="I2129" s="5">
        <f>IFERROR(INDEX(Raw_Orders!H2129:H4557,MATCH(B2129,Raw_Orders!A2129:A4557,0)),0)</f>
        <v>15</v>
      </c>
      <c r="J2129" s="5" t="str">
        <f t="shared" si="132"/>
        <v>Yes</v>
      </c>
      <c r="K2129" s="5" t="str">
        <f t="shared" si="133"/>
        <v>Yes</v>
      </c>
      <c r="L2129" s="5" t="str">
        <f t="shared" si="135"/>
        <v>Yes</v>
      </c>
      <c r="M2129" s="5">
        <f t="shared" si="134"/>
        <v>1</v>
      </c>
    </row>
    <row r="2130" spans="1:13" x14ac:dyDescent="0.3">
      <c r="A2130" s="2" t="s">
        <v>4759</v>
      </c>
      <c r="B2130" s="2" t="s">
        <v>2279</v>
      </c>
      <c r="C2130" s="2" t="s">
        <v>2616</v>
      </c>
      <c r="D2130" s="3">
        <v>45979</v>
      </c>
      <c r="E2130" s="3">
        <v>45986</v>
      </c>
      <c r="F2130" s="3">
        <v>45993</v>
      </c>
      <c r="G2130" s="2" t="s">
        <v>2633</v>
      </c>
      <c r="H2130" s="2">
        <v>50</v>
      </c>
      <c r="I2130" s="2">
        <f>IFERROR(INDEX(Raw_Orders!H2130:H4558,MATCH(B2130,Raw_Orders!A2130:A4558,0)),0)</f>
        <v>50</v>
      </c>
      <c r="J2130" s="2" t="str">
        <f t="shared" si="132"/>
        <v>No</v>
      </c>
      <c r="K2130" s="2" t="str">
        <f t="shared" si="133"/>
        <v>Yes</v>
      </c>
      <c r="L2130" s="2" t="str">
        <f t="shared" si="135"/>
        <v>No</v>
      </c>
      <c r="M2130" s="2">
        <f t="shared" si="134"/>
        <v>0</v>
      </c>
    </row>
    <row r="2131" spans="1:13" x14ac:dyDescent="0.3">
      <c r="A2131" s="5" t="s">
        <v>4760</v>
      </c>
      <c r="B2131" s="5" t="s">
        <v>2280</v>
      </c>
      <c r="C2131" s="5" t="s">
        <v>2606</v>
      </c>
      <c r="D2131" s="6">
        <v>45978</v>
      </c>
      <c r="E2131" s="6">
        <v>45986</v>
      </c>
      <c r="F2131" s="6">
        <v>45983</v>
      </c>
      <c r="G2131" s="5" t="s">
        <v>2631</v>
      </c>
      <c r="H2131" s="5">
        <v>41</v>
      </c>
      <c r="I2131" s="5">
        <f>IFERROR(INDEX(Raw_Orders!H2131:H4559,MATCH(B2131,Raw_Orders!A2131:A4559,0)),0)</f>
        <v>41</v>
      </c>
      <c r="J2131" s="5" t="str">
        <f t="shared" si="132"/>
        <v>Yes</v>
      </c>
      <c r="K2131" s="5" t="str">
        <f t="shared" si="133"/>
        <v>Yes</v>
      </c>
      <c r="L2131" s="5" t="str">
        <f t="shared" si="135"/>
        <v>Yes</v>
      </c>
      <c r="M2131" s="5">
        <f t="shared" si="134"/>
        <v>1</v>
      </c>
    </row>
    <row r="2132" spans="1:13" x14ac:dyDescent="0.3">
      <c r="A2132" s="2" t="s">
        <v>4761</v>
      </c>
      <c r="B2132" s="2" t="s">
        <v>2281</v>
      </c>
      <c r="C2132" s="2" t="s">
        <v>2606</v>
      </c>
      <c r="D2132" s="3">
        <v>45978</v>
      </c>
      <c r="E2132" s="3">
        <v>45984</v>
      </c>
      <c r="F2132" s="3">
        <v>45986</v>
      </c>
      <c r="G2132" s="2" t="s">
        <v>2629</v>
      </c>
      <c r="H2132" s="2">
        <v>28</v>
      </c>
      <c r="I2132" s="2">
        <f>IFERROR(INDEX(Raw_Orders!H2132:H4560,MATCH(B2132,Raw_Orders!A2132:A4560,0)),0)</f>
        <v>28</v>
      </c>
      <c r="J2132" s="2" t="str">
        <f t="shared" si="132"/>
        <v>No</v>
      </c>
      <c r="K2132" s="2" t="str">
        <f t="shared" si="133"/>
        <v>Yes</v>
      </c>
      <c r="L2132" s="2" t="str">
        <f t="shared" si="135"/>
        <v>No</v>
      </c>
      <c r="M2132" s="2">
        <f t="shared" si="134"/>
        <v>0</v>
      </c>
    </row>
    <row r="2133" spans="1:13" x14ac:dyDescent="0.3">
      <c r="A2133" s="5" t="s">
        <v>4762</v>
      </c>
      <c r="B2133" s="5" t="s">
        <v>2282</v>
      </c>
      <c r="C2133" s="5" t="s">
        <v>2608</v>
      </c>
      <c r="D2133" s="6">
        <v>45980</v>
      </c>
      <c r="E2133" s="6">
        <v>45986</v>
      </c>
      <c r="F2133" s="6">
        <v>45997</v>
      </c>
      <c r="G2133" s="5" t="s">
        <v>2641</v>
      </c>
      <c r="H2133" s="5">
        <v>44</v>
      </c>
      <c r="I2133" s="5">
        <f>IFERROR(INDEX(Raw_Orders!H2133:H4561,MATCH(B2133,Raw_Orders!A2133:A4561,0)),0)</f>
        <v>44</v>
      </c>
      <c r="J2133" s="5" t="str">
        <f t="shared" si="132"/>
        <v>No</v>
      </c>
      <c r="K2133" s="5" t="str">
        <f t="shared" si="133"/>
        <v>Yes</v>
      </c>
      <c r="L2133" s="5" t="str">
        <f t="shared" si="135"/>
        <v>No</v>
      </c>
      <c r="M2133" s="5">
        <f t="shared" si="134"/>
        <v>0</v>
      </c>
    </row>
    <row r="2134" spans="1:13" x14ac:dyDescent="0.3">
      <c r="A2134" s="2" t="s">
        <v>4763</v>
      </c>
      <c r="B2134" s="2" t="s">
        <v>2283</v>
      </c>
      <c r="C2134" s="2" t="s">
        <v>2608</v>
      </c>
      <c r="D2134" s="3">
        <v>45979</v>
      </c>
      <c r="E2134" s="3">
        <v>45987</v>
      </c>
      <c r="F2134" s="3">
        <v>45992</v>
      </c>
      <c r="G2134" s="2" t="s">
        <v>2633</v>
      </c>
      <c r="H2134" s="2">
        <v>13</v>
      </c>
      <c r="I2134" s="2">
        <f>IFERROR(INDEX(Raw_Orders!H2134:H4562,MATCH(B2134,Raw_Orders!A2134:A4562,0)),0)</f>
        <v>13</v>
      </c>
      <c r="J2134" s="2" t="str">
        <f t="shared" si="132"/>
        <v>No</v>
      </c>
      <c r="K2134" s="2" t="str">
        <f t="shared" si="133"/>
        <v>Yes</v>
      </c>
      <c r="L2134" s="2" t="str">
        <f t="shared" si="135"/>
        <v>No</v>
      </c>
      <c r="M2134" s="2">
        <f t="shared" si="134"/>
        <v>0</v>
      </c>
    </row>
    <row r="2135" spans="1:13" x14ac:dyDescent="0.3">
      <c r="A2135" s="5" t="s">
        <v>4764</v>
      </c>
      <c r="B2135" s="5" t="s">
        <v>2284</v>
      </c>
      <c r="C2135" s="5" t="s">
        <v>2598</v>
      </c>
      <c r="D2135" s="6">
        <v>45981</v>
      </c>
      <c r="E2135" s="6">
        <v>45988</v>
      </c>
      <c r="F2135" s="6">
        <v>45994</v>
      </c>
      <c r="G2135" s="5" t="s">
        <v>2629</v>
      </c>
      <c r="H2135" s="5">
        <v>1</v>
      </c>
      <c r="I2135" s="5">
        <f>IFERROR(INDEX(Raw_Orders!H2135:H4563,MATCH(B2135,Raw_Orders!A2135:A4563,0)),0)</f>
        <v>4</v>
      </c>
      <c r="J2135" s="5" t="str">
        <f t="shared" si="132"/>
        <v>No</v>
      </c>
      <c r="K2135" s="5" t="str">
        <f t="shared" si="133"/>
        <v>N0</v>
      </c>
      <c r="L2135" s="5" t="str">
        <f t="shared" si="135"/>
        <v>No</v>
      </c>
      <c r="M2135" s="5">
        <f t="shared" si="134"/>
        <v>0</v>
      </c>
    </row>
    <row r="2136" spans="1:13" x14ac:dyDescent="0.3">
      <c r="A2136" s="2" t="s">
        <v>4765</v>
      </c>
      <c r="B2136" s="2" t="s">
        <v>2285</v>
      </c>
      <c r="C2136" s="2" t="s">
        <v>2614</v>
      </c>
      <c r="D2136" s="3">
        <v>45979</v>
      </c>
      <c r="E2136" s="3">
        <v>45987</v>
      </c>
      <c r="F2136" s="3">
        <v>45992</v>
      </c>
      <c r="G2136" s="2" t="s">
        <v>2633</v>
      </c>
      <c r="H2136" s="2">
        <v>38</v>
      </c>
      <c r="I2136" s="2">
        <f>IFERROR(INDEX(Raw_Orders!H2136:H4564,MATCH(B2136,Raw_Orders!A2136:A4564,0)),0)</f>
        <v>38</v>
      </c>
      <c r="J2136" s="2" t="str">
        <f t="shared" si="132"/>
        <v>No</v>
      </c>
      <c r="K2136" s="2" t="str">
        <f t="shared" si="133"/>
        <v>Yes</v>
      </c>
      <c r="L2136" s="2" t="str">
        <f t="shared" si="135"/>
        <v>No</v>
      </c>
      <c r="M2136" s="2">
        <f t="shared" si="134"/>
        <v>0</v>
      </c>
    </row>
    <row r="2137" spans="1:13" x14ac:dyDescent="0.3">
      <c r="A2137" s="5" t="s">
        <v>4766</v>
      </c>
      <c r="B2137" s="5" t="s">
        <v>2286</v>
      </c>
      <c r="C2137" s="5" t="s">
        <v>2604</v>
      </c>
      <c r="D2137" s="6">
        <v>45980</v>
      </c>
      <c r="E2137" s="6">
        <v>45984</v>
      </c>
      <c r="F2137" s="6">
        <v>45983</v>
      </c>
      <c r="G2137" s="5" t="s">
        <v>2641</v>
      </c>
      <c r="H2137" s="5">
        <v>42</v>
      </c>
      <c r="I2137" s="5">
        <f>IFERROR(INDEX(Raw_Orders!H2137:H4565,MATCH(B2137,Raw_Orders!A2137:A4565,0)),0)</f>
        <v>43</v>
      </c>
      <c r="J2137" s="5" t="str">
        <f t="shared" si="132"/>
        <v>Yes</v>
      </c>
      <c r="K2137" s="5" t="str">
        <f t="shared" si="133"/>
        <v>N0</v>
      </c>
      <c r="L2137" s="5" t="str">
        <f t="shared" si="135"/>
        <v>No</v>
      </c>
      <c r="M2137" s="5">
        <f t="shared" si="134"/>
        <v>0</v>
      </c>
    </row>
    <row r="2138" spans="1:13" x14ac:dyDescent="0.3">
      <c r="A2138" s="2" t="s">
        <v>4767</v>
      </c>
      <c r="B2138" s="2" t="s">
        <v>2287</v>
      </c>
      <c r="C2138" s="2" t="s">
        <v>2616</v>
      </c>
      <c r="D2138" s="3">
        <v>45979</v>
      </c>
      <c r="E2138" s="3">
        <v>45985</v>
      </c>
      <c r="F2138" s="3">
        <v>45994</v>
      </c>
      <c r="G2138" s="2" t="s">
        <v>2627</v>
      </c>
      <c r="H2138" s="2">
        <v>17</v>
      </c>
      <c r="I2138" s="2">
        <f>IFERROR(INDEX(Raw_Orders!H2138:H4566,MATCH(B2138,Raw_Orders!A2138:A4566,0)),0)</f>
        <v>17</v>
      </c>
      <c r="J2138" s="2" t="str">
        <f t="shared" si="132"/>
        <v>No</v>
      </c>
      <c r="K2138" s="2" t="str">
        <f t="shared" si="133"/>
        <v>Yes</v>
      </c>
      <c r="L2138" s="2" t="str">
        <f t="shared" si="135"/>
        <v>No</v>
      </c>
      <c r="M2138" s="2">
        <f t="shared" si="134"/>
        <v>0</v>
      </c>
    </row>
    <row r="2139" spans="1:13" x14ac:dyDescent="0.3">
      <c r="A2139" s="5" t="s">
        <v>4768</v>
      </c>
      <c r="B2139" s="5" t="s">
        <v>2288</v>
      </c>
      <c r="C2139" s="5" t="s">
        <v>2606</v>
      </c>
      <c r="D2139" s="6">
        <v>45979</v>
      </c>
      <c r="E2139" s="6">
        <v>45986</v>
      </c>
      <c r="F2139" s="6">
        <v>45987</v>
      </c>
      <c r="G2139" s="5" t="s">
        <v>2627</v>
      </c>
      <c r="H2139" s="5">
        <v>50</v>
      </c>
      <c r="I2139" s="5">
        <f>IFERROR(INDEX(Raw_Orders!H2139:H4567,MATCH(B2139,Raw_Orders!A2139:A4567,0)),0)</f>
        <v>50</v>
      </c>
      <c r="J2139" s="5" t="str">
        <f t="shared" si="132"/>
        <v>No</v>
      </c>
      <c r="K2139" s="5" t="str">
        <f t="shared" si="133"/>
        <v>Yes</v>
      </c>
      <c r="L2139" s="5" t="str">
        <f t="shared" si="135"/>
        <v>No</v>
      </c>
      <c r="M2139" s="5">
        <f t="shared" si="134"/>
        <v>0</v>
      </c>
    </row>
    <row r="2140" spans="1:13" x14ac:dyDescent="0.3">
      <c r="A2140" s="2" t="s">
        <v>4769</v>
      </c>
      <c r="B2140" s="2" t="s">
        <v>2289</v>
      </c>
      <c r="C2140" s="2" t="s">
        <v>2606</v>
      </c>
      <c r="D2140" s="3">
        <v>45981</v>
      </c>
      <c r="E2140" s="3">
        <v>45988</v>
      </c>
      <c r="F2140" s="3">
        <v>45989</v>
      </c>
      <c r="G2140" s="2" t="s">
        <v>2629</v>
      </c>
      <c r="H2140" s="2">
        <v>21</v>
      </c>
      <c r="I2140" s="2">
        <f>IFERROR(INDEX(Raw_Orders!H2140:H4568,MATCH(B2140,Raw_Orders!A2140:A4568,0)),0)</f>
        <v>21</v>
      </c>
      <c r="J2140" s="2" t="str">
        <f t="shared" si="132"/>
        <v>No</v>
      </c>
      <c r="K2140" s="2" t="str">
        <f t="shared" si="133"/>
        <v>Yes</v>
      </c>
      <c r="L2140" s="2" t="str">
        <f t="shared" si="135"/>
        <v>No</v>
      </c>
      <c r="M2140" s="2">
        <f t="shared" si="134"/>
        <v>0</v>
      </c>
    </row>
    <row r="2141" spans="1:13" x14ac:dyDescent="0.3">
      <c r="A2141" s="5" t="s">
        <v>4770</v>
      </c>
      <c r="B2141" s="5" t="s">
        <v>2290</v>
      </c>
      <c r="C2141" s="5" t="s">
        <v>2608</v>
      </c>
      <c r="D2141" s="6">
        <v>45981</v>
      </c>
      <c r="E2141" s="6">
        <v>45983</v>
      </c>
      <c r="F2141" s="6">
        <v>45998</v>
      </c>
      <c r="G2141" s="5" t="s">
        <v>2629</v>
      </c>
      <c r="H2141" s="5">
        <v>8</v>
      </c>
      <c r="I2141" s="5">
        <f>IFERROR(INDEX(Raw_Orders!H2141:H4569,MATCH(B2141,Raw_Orders!A2141:A4569,0)),0)</f>
        <v>8</v>
      </c>
      <c r="J2141" s="5" t="str">
        <f t="shared" si="132"/>
        <v>No</v>
      </c>
      <c r="K2141" s="5" t="str">
        <f t="shared" si="133"/>
        <v>Yes</v>
      </c>
      <c r="L2141" s="5" t="str">
        <f t="shared" si="135"/>
        <v>No</v>
      </c>
      <c r="M2141" s="5">
        <f t="shared" si="134"/>
        <v>0</v>
      </c>
    </row>
    <row r="2142" spans="1:13" x14ac:dyDescent="0.3">
      <c r="A2142" s="2" t="s">
        <v>4771</v>
      </c>
      <c r="B2142" s="2" t="s">
        <v>2291</v>
      </c>
      <c r="C2142" s="2" t="s">
        <v>2598</v>
      </c>
      <c r="D2142" s="3">
        <v>45982</v>
      </c>
      <c r="E2142" s="3">
        <v>45986</v>
      </c>
      <c r="F2142" s="3">
        <v>45996</v>
      </c>
      <c r="G2142" s="2" t="s">
        <v>2629</v>
      </c>
      <c r="H2142" s="2">
        <v>13</v>
      </c>
      <c r="I2142" s="2">
        <f>IFERROR(INDEX(Raw_Orders!H2142:H4570,MATCH(B2142,Raw_Orders!A2142:A4570,0)),0)</f>
        <v>13</v>
      </c>
      <c r="J2142" s="2" t="str">
        <f t="shared" si="132"/>
        <v>No</v>
      </c>
      <c r="K2142" s="2" t="str">
        <f t="shared" si="133"/>
        <v>Yes</v>
      </c>
      <c r="L2142" s="2" t="str">
        <f t="shared" si="135"/>
        <v>No</v>
      </c>
      <c r="M2142" s="2">
        <f t="shared" si="134"/>
        <v>0</v>
      </c>
    </row>
    <row r="2143" spans="1:13" x14ac:dyDescent="0.3">
      <c r="A2143" s="5" t="s">
        <v>4772</v>
      </c>
      <c r="B2143" s="5" t="s">
        <v>2292</v>
      </c>
      <c r="C2143" s="5" t="s">
        <v>2598</v>
      </c>
      <c r="D2143" s="6">
        <v>45981</v>
      </c>
      <c r="E2143" s="6">
        <v>45987</v>
      </c>
      <c r="F2143" s="6">
        <v>45994</v>
      </c>
      <c r="G2143" s="5" t="s">
        <v>2629</v>
      </c>
      <c r="H2143" s="5">
        <v>42</v>
      </c>
      <c r="I2143" s="5">
        <f>IFERROR(INDEX(Raw_Orders!H2143:H4571,MATCH(B2143,Raw_Orders!A2143:A4571,0)),0)</f>
        <v>42</v>
      </c>
      <c r="J2143" s="5" t="str">
        <f t="shared" si="132"/>
        <v>No</v>
      </c>
      <c r="K2143" s="5" t="str">
        <f t="shared" si="133"/>
        <v>Yes</v>
      </c>
      <c r="L2143" s="5" t="str">
        <f t="shared" si="135"/>
        <v>No</v>
      </c>
      <c r="M2143" s="5">
        <f t="shared" si="134"/>
        <v>0</v>
      </c>
    </row>
    <row r="2144" spans="1:13" x14ac:dyDescent="0.3">
      <c r="A2144" s="2" t="s">
        <v>4773</v>
      </c>
      <c r="B2144" s="2" t="s">
        <v>2293</v>
      </c>
      <c r="C2144" s="2" t="s">
        <v>2614</v>
      </c>
      <c r="D2144" s="3">
        <v>45981</v>
      </c>
      <c r="E2144" s="3">
        <v>45984</v>
      </c>
      <c r="F2144" s="3">
        <v>45995</v>
      </c>
      <c r="G2144" s="2" t="s">
        <v>2629</v>
      </c>
      <c r="H2144" s="2">
        <v>14</v>
      </c>
      <c r="I2144" s="2">
        <f>IFERROR(INDEX(Raw_Orders!H2144:H4572,MATCH(B2144,Raw_Orders!A2144:A4572,0)),0)</f>
        <v>14</v>
      </c>
      <c r="J2144" s="2" t="str">
        <f t="shared" si="132"/>
        <v>No</v>
      </c>
      <c r="K2144" s="2" t="str">
        <f t="shared" si="133"/>
        <v>Yes</v>
      </c>
      <c r="L2144" s="2" t="str">
        <f t="shared" si="135"/>
        <v>No</v>
      </c>
      <c r="M2144" s="2">
        <f t="shared" si="134"/>
        <v>0</v>
      </c>
    </row>
    <row r="2145" spans="1:13" x14ac:dyDescent="0.3">
      <c r="A2145" s="5" t="s">
        <v>4774</v>
      </c>
      <c r="B2145" s="5" t="s">
        <v>2294</v>
      </c>
      <c r="C2145" s="5" t="s">
        <v>2614</v>
      </c>
      <c r="D2145" s="6">
        <v>45980</v>
      </c>
      <c r="E2145" s="6">
        <v>45988</v>
      </c>
      <c r="F2145" s="6">
        <v>45995</v>
      </c>
      <c r="G2145" s="5" t="s">
        <v>2629</v>
      </c>
      <c r="H2145" s="5">
        <v>25</v>
      </c>
      <c r="I2145" s="5">
        <f>IFERROR(INDEX(Raw_Orders!H2145:H4573,MATCH(B2145,Raw_Orders!A2145:A4573,0)),0)</f>
        <v>25</v>
      </c>
      <c r="J2145" s="5" t="str">
        <f t="shared" si="132"/>
        <v>No</v>
      </c>
      <c r="K2145" s="5" t="str">
        <f t="shared" si="133"/>
        <v>Yes</v>
      </c>
      <c r="L2145" s="5" t="str">
        <f t="shared" si="135"/>
        <v>No</v>
      </c>
      <c r="M2145" s="5">
        <f t="shared" si="134"/>
        <v>0</v>
      </c>
    </row>
    <row r="2146" spans="1:13" x14ac:dyDescent="0.3">
      <c r="A2146" s="2" t="s">
        <v>4775</v>
      </c>
      <c r="B2146" s="2" t="s">
        <v>2295</v>
      </c>
      <c r="C2146" s="2" t="s">
        <v>2604</v>
      </c>
      <c r="D2146" s="3">
        <v>45980</v>
      </c>
      <c r="E2146" s="3">
        <v>45990</v>
      </c>
      <c r="F2146" s="3">
        <v>45984</v>
      </c>
      <c r="G2146" s="2" t="s">
        <v>2633</v>
      </c>
      <c r="H2146" s="2">
        <v>19</v>
      </c>
      <c r="I2146" s="2">
        <f>IFERROR(INDEX(Raw_Orders!H2146:H4574,MATCH(B2146,Raw_Orders!A2146:A4574,0)),0)</f>
        <v>19</v>
      </c>
      <c r="J2146" s="2" t="str">
        <f t="shared" si="132"/>
        <v>Yes</v>
      </c>
      <c r="K2146" s="2" t="str">
        <f t="shared" si="133"/>
        <v>Yes</v>
      </c>
      <c r="L2146" s="2" t="str">
        <f t="shared" si="135"/>
        <v>Yes</v>
      </c>
      <c r="M2146" s="2">
        <f t="shared" si="134"/>
        <v>1</v>
      </c>
    </row>
    <row r="2147" spans="1:13" x14ac:dyDescent="0.3">
      <c r="A2147" s="5" t="s">
        <v>4776</v>
      </c>
      <c r="B2147" s="5" t="s">
        <v>2296</v>
      </c>
      <c r="C2147" s="5" t="s">
        <v>2604</v>
      </c>
      <c r="D2147" s="6">
        <v>45982</v>
      </c>
      <c r="E2147" s="6">
        <v>45988</v>
      </c>
      <c r="F2147" s="6">
        <v>45988</v>
      </c>
      <c r="G2147" s="5" t="s">
        <v>2641</v>
      </c>
      <c r="H2147" s="5">
        <v>49</v>
      </c>
      <c r="I2147" s="5">
        <f>IFERROR(INDEX(Raw_Orders!H2147:H4575,MATCH(B2147,Raw_Orders!A2147:A4575,0)),0)</f>
        <v>49</v>
      </c>
      <c r="J2147" s="5" t="str">
        <f t="shared" si="132"/>
        <v>Yes</v>
      </c>
      <c r="K2147" s="5" t="str">
        <f t="shared" si="133"/>
        <v>Yes</v>
      </c>
      <c r="L2147" s="5" t="str">
        <f t="shared" si="135"/>
        <v>Yes</v>
      </c>
      <c r="M2147" s="5">
        <f t="shared" si="134"/>
        <v>1</v>
      </c>
    </row>
    <row r="2148" spans="1:13" x14ac:dyDescent="0.3">
      <c r="A2148" s="2" t="s">
        <v>4777</v>
      </c>
      <c r="B2148" s="2" t="s">
        <v>2297</v>
      </c>
      <c r="C2148" s="2" t="s">
        <v>2608</v>
      </c>
      <c r="D2148" s="3">
        <v>45980</v>
      </c>
      <c r="E2148" s="3">
        <v>45986</v>
      </c>
      <c r="F2148" s="3">
        <v>45995</v>
      </c>
      <c r="G2148" s="2" t="s">
        <v>2627</v>
      </c>
      <c r="H2148" s="2">
        <v>5</v>
      </c>
      <c r="I2148" s="2">
        <f>IFERROR(INDEX(Raw_Orders!H2148:H4576,MATCH(B2148,Raw_Orders!A2148:A4576,0)),0)</f>
        <v>5</v>
      </c>
      <c r="J2148" s="2" t="str">
        <f t="shared" si="132"/>
        <v>No</v>
      </c>
      <c r="K2148" s="2" t="str">
        <f t="shared" si="133"/>
        <v>Yes</v>
      </c>
      <c r="L2148" s="2" t="str">
        <f t="shared" si="135"/>
        <v>No</v>
      </c>
      <c r="M2148" s="2">
        <f t="shared" si="134"/>
        <v>0</v>
      </c>
    </row>
    <row r="2149" spans="1:13" x14ac:dyDescent="0.3">
      <c r="A2149" s="5" t="s">
        <v>4778</v>
      </c>
      <c r="B2149" s="5" t="s">
        <v>2298</v>
      </c>
      <c r="C2149" s="5" t="s">
        <v>2601</v>
      </c>
      <c r="D2149" s="6">
        <v>45982</v>
      </c>
      <c r="E2149" s="6">
        <v>45991</v>
      </c>
      <c r="F2149" s="6">
        <v>45988</v>
      </c>
      <c r="G2149" s="5" t="s">
        <v>2641</v>
      </c>
      <c r="H2149" s="5">
        <v>26</v>
      </c>
      <c r="I2149" s="5">
        <f>IFERROR(INDEX(Raw_Orders!H2149:H4577,MATCH(B2149,Raw_Orders!A2149:A4577,0)),0)</f>
        <v>26</v>
      </c>
      <c r="J2149" s="5" t="str">
        <f t="shared" si="132"/>
        <v>Yes</v>
      </c>
      <c r="K2149" s="5" t="str">
        <f t="shared" si="133"/>
        <v>Yes</v>
      </c>
      <c r="L2149" s="5" t="str">
        <f t="shared" si="135"/>
        <v>Yes</v>
      </c>
      <c r="M2149" s="5">
        <f t="shared" si="134"/>
        <v>1</v>
      </c>
    </row>
    <row r="2150" spans="1:13" x14ac:dyDescent="0.3">
      <c r="A2150" s="2" t="s">
        <v>4779</v>
      </c>
      <c r="B2150" s="2" t="s">
        <v>2299</v>
      </c>
      <c r="C2150" s="2" t="s">
        <v>2604</v>
      </c>
      <c r="D2150" s="3">
        <v>45981</v>
      </c>
      <c r="E2150" s="3">
        <v>45985</v>
      </c>
      <c r="F2150" s="3">
        <v>45986</v>
      </c>
      <c r="G2150" s="2" t="s">
        <v>2641</v>
      </c>
      <c r="H2150" s="2">
        <v>45</v>
      </c>
      <c r="I2150" s="2">
        <f>IFERROR(INDEX(Raw_Orders!H2150:H4578,MATCH(B2150,Raw_Orders!A2150:A4578,0)),0)</f>
        <v>50</v>
      </c>
      <c r="J2150" s="2" t="str">
        <f t="shared" si="132"/>
        <v>No</v>
      </c>
      <c r="K2150" s="2" t="str">
        <f t="shared" si="133"/>
        <v>N0</v>
      </c>
      <c r="L2150" s="2" t="str">
        <f t="shared" si="135"/>
        <v>No</v>
      </c>
      <c r="M2150" s="2">
        <f t="shared" si="134"/>
        <v>0</v>
      </c>
    </row>
    <row r="2151" spans="1:13" x14ac:dyDescent="0.3">
      <c r="A2151" s="5" t="s">
        <v>4780</v>
      </c>
      <c r="B2151" s="5" t="s">
        <v>2300</v>
      </c>
      <c r="C2151" s="5" t="s">
        <v>2608</v>
      </c>
      <c r="D2151" s="6">
        <v>45982</v>
      </c>
      <c r="E2151" s="6">
        <v>45990</v>
      </c>
      <c r="F2151" s="6">
        <v>45994</v>
      </c>
      <c r="G2151" s="5" t="s">
        <v>2627</v>
      </c>
      <c r="H2151" s="5">
        <v>16</v>
      </c>
      <c r="I2151" s="5">
        <f>IFERROR(INDEX(Raw_Orders!H2151:H4579,MATCH(B2151,Raw_Orders!A2151:A4579,0)),0)</f>
        <v>16</v>
      </c>
      <c r="J2151" s="5" t="str">
        <f t="shared" si="132"/>
        <v>No</v>
      </c>
      <c r="K2151" s="5" t="str">
        <f t="shared" si="133"/>
        <v>Yes</v>
      </c>
      <c r="L2151" s="5" t="str">
        <f t="shared" si="135"/>
        <v>No</v>
      </c>
      <c r="M2151" s="5">
        <f t="shared" si="134"/>
        <v>0</v>
      </c>
    </row>
    <row r="2152" spans="1:13" x14ac:dyDescent="0.3">
      <c r="A2152" s="2" t="s">
        <v>4781</v>
      </c>
      <c r="B2152" s="2" t="s">
        <v>2301</v>
      </c>
      <c r="C2152" s="2" t="s">
        <v>2608</v>
      </c>
      <c r="D2152" s="3">
        <v>45983</v>
      </c>
      <c r="E2152" s="3">
        <v>45984</v>
      </c>
      <c r="F2152" s="3">
        <v>45996</v>
      </c>
      <c r="G2152" s="2" t="s">
        <v>2633</v>
      </c>
      <c r="H2152" s="2">
        <v>15</v>
      </c>
      <c r="I2152" s="2">
        <f>IFERROR(INDEX(Raw_Orders!H2152:H4580,MATCH(B2152,Raw_Orders!A2152:A4580,0)),0)</f>
        <v>15</v>
      </c>
      <c r="J2152" s="2" t="str">
        <f t="shared" si="132"/>
        <v>No</v>
      </c>
      <c r="K2152" s="2" t="str">
        <f t="shared" si="133"/>
        <v>Yes</v>
      </c>
      <c r="L2152" s="2" t="str">
        <f t="shared" si="135"/>
        <v>No</v>
      </c>
      <c r="M2152" s="2">
        <f t="shared" si="134"/>
        <v>0</v>
      </c>
    </row>
    <row r="2153" spans="1:13" x14ac:dyDescent="0.3">
      <c r="A2153" s="5" t="s">
        <v>4782</v>
      </c>
      <c r="B2153" s="5" t="s">
        <v>2302</v>
      </c>
      <c r="C2153" s="5" t="s">
        <v>2611</v>
      </c>
      <c r="D2153" s="6">
        <v>45983</v>
      </c>
      <c r="E2153" s="6">
        <v>45985</v>
      </c>
      <c r="F2153" s="6">
        <v>45994</v>
      </c>
      <c r="G2153" s="5" t="s">
        <v>2633</v>
      </c>
      <c r="H2153" s="5">
        <v>63</v>
      </c>
      <c r="I2153" s="5">
        <f>IFERROR(INDEX(Raw_Orders!H2153:H4581,MATCH(B2153,Raw_Orders!A2153:A4581,0)),0)</f>
        <v>63</v>
      </c>
      <c r="J2153" s="5" t="str">
        <f t="shared" si="132"/>
        <v>No</v>
      </c>
      <c r="K2153" s="5" t="str">
        <f t="shared" si="133"/>
        <v>Yes</v>
      </c>
      <c r="L2153" s="5" t="str">
        <f t="shared" si="135"/>
        <v>No</v>
      </c>
      <c r="M2153" s="5">
        <f t="shared" si="134"/>
        <v>0</v>
      </c>
    </row>
    <row r="2154" spans="1:13" x14ac:dyDescent="0.3">
      <c r="A2154" s="2" t="s">
        <v>4783</v>
      </c>
      <c r="B2154" s="2" t="s">
        <v>2303</v>
      </c>
      <c r="C2154" s="2" t="s">
        <v>2601</v>
      </c>
      <c r="D2154" s="3">
        <v>45983</v>
      </c>
      <c r="E2154" s="3">
        <v>45990</v>
      </c>
      <c r="F2154" s="3">
        <v>45987</v>
      </c>
      <c r="G2154" s="2" t="s">
        <v>2633</v>
      </c>
      <c r="H2154" s="2">
        <v>16</v>
      </c>
      <c r="I2154" s="2">
        <f>IFERROR(INDEX(Raw_Orders!H2154:H4582,MATCH(B2154,Raw_Orders!A2154:A4582,0)),0)</f>
        <v>16</v>
      </c>
      <c r="J2154" s="2" t="str">
        <f t="shared" si="132"/>
        <v>Yes</v>
      </c>
      <c r="K2154" s="2" t="str">
        <f t="shared" si="133"/>
        <v>Yes</v>
      </c>
      <c r="L2154" s="2" t="str">
        <f t="shared" si="135"/>
        <v>Yes</v>
      </c>
      <c r="M2154" s="2">
        <f t="shared" si="134"/>
        <v>1</v>
      </c>
    </row>
    <row r="2155" spans="1:13" x14ac:dyDescent="0.3">
      <c r="A2155" s="5" t="s">
        <v>4784</v>
      </c>
      <c r="B2155" s="5" t="s">
        <v>2304</v>
      </c>
      <c r="C2155" s="5" t="s">
        <v>2604</v>
      </c>
      <c r="D2155" s="6">
        <v>45982</v>
      </c>
      <c r="E2155" s="6">
        <v>45985</v>
      </c>
      <c r="F2155" s="6">
        <v>45986</v>
      </c>
      <c r="G2155" s="5" t="s">
        <v>2641</v>
      </c>
      <c r="H2155" s="5">
        <v>31</v>
      </c>
      <c r="I2155" s="5">
        <f>IFERROR(INDEX(Raw_Orders!H2155:H4583,MATCH(B2155,Raw_Orders!A2155:A4583,0)),0)</f>
        <v>31</v>
      </c>
      <c r="J2155" s="5" t="str">
        <f t="shared" si="132"/>
        <v>No</v>
      </c>
      <c r="K2155" s="5" t="str">
        <f t="shared" si="133"/>
        <v>Yes</v>
      </c>
      <c r="L2155" s="5" t="str">
        <f t="shared" si="135"/>
        <v>No</v>
      </c>
      <c r="M2155" s="5">
        <f t="shared" si="134"/>
        <v>0</v>
      </c>
    </row>
    <row r="2156" spans="1:13" x14ac:dyDescent="0.3">
      <c r="A2156" s="2" t="s">
        <v>4785</v>
      </c>
      <c r="B2156" s="2" t="s">
        <v>2305</v>
      </c>
      <c r="C2156" s="2" t="s">
        <v>2606</v>
      </c>
      <c r="D2156" s="3">
        <v>45982</v>
      </c>
      <c r="E2156" s="3">
        <v>45985</v>
      </c>
      <c r="F2156" s="3">
        <v>45987</v>
      </c>
      <c r="G2156" s="2" t="s">
        <v>2641</v>
      </c>
      <c r="H2156" s="2">
        <v>20</v>
      </c>
      <c r="I2156" s="2">
        <f>IFERROR(INDEX(Raw_Orders!H2156:H4584,MATCH(B2156,Raw_Orders!A2156:A4584,0)),0)</f>
        <v>20</v>
      </c>
      <c r="J2156" s="2" t="str">
        <f t="shared" si="132"/>
        <v>No</v>
      </c>
      <c r="K2156" s="2" t="str">
        <f t="shared" si="133"/>
        <v>Yes</v>
      </c>
      <c r="L2156" s="2" t="str">
        <f t="shared" si="135"/>
        <v>No</v>
      </c>
      <c r="M2156" s="2">
        <f t="shared" si="134"/>
        <v>0</v>
      </c>
    </row>
    <row r="2157" spans="1:13" x14ac:dyDescent="0.3">
      <c r="A2157" s="5" t="s">
        <v>4786</v>
      </c>
      <c r="B2157" s="5" t="s">
        <v>2306</v>
      </c>
      <c r="C2157" s="5" t="s">
        <v>2608</v>
      </c>
      <c r="D2157" s="6">
        <v>45983</v>
      </c>
      <c r="E2157" s="6">
        <v>45989</v>
      </c>
      <c r="F2157" s="6">
        <v>45997</v>
      </c>
      <c r="G2157" s="5" t="s">
        <v>2641</v>
      </c>
      <c r="H2157" s="5">
        <v>44</v>
      </c>
      <c r="I2157" s="5">
        <f>IFERROR(INDEX(Raw_Orders!H2157:H4585,MATCH(B2157,Raw_Orders!A2157:A4585,0)),0)</f>
        <v>44</v>
      </c>
      <c r="J2157" s="5" t="str">
        <f t="shared" si="132"/>
        <v>No</v>
      </c>
      <c r="K2157" s="5" t="str">
        <f t="shared" si="133"/>
        <v>Yes</v>
      </c>
      <c r="L2157" s="5" t="str">
        <f t="shared" si="135"/>
        <v>No</v>
      </c>
      <c r="M2157" s="5">
        <f t="shared" si="134"/>
        <v>0</v>
      </c>
    </row>
    <row r="2158" spans="1:13" x14ac:dyDescent="0.3">
      <c r="A2158" s="2" t="s">
        <v>4787</v>
      </c>
      <c r="B2158" s="2" t="s">
        <v>2307</v>
      </c>
      <c r="C2158" s="2" t="s">
        <v>2611</v>
      </c>
      <c r="D2158" s="3">
        <v>45984</v>
      </c>
      <c r="E2158" s="3">
        <v>45988</v>
      </c>
      <c r="F2158" s="3">
        <v>45991</v>
      </c>
      <c r="G2158" s="2" t="s">
        <v>2631</v>
      </c>
      <c r="H2158" s="2">
        <v>10</v>
      </c>
      <c r="I2158" s="2">
        <f>IFERROR(INDEX(Raw_Orders!H2158:H4586,MATCH(B2158,Raw_Orders!A2158:A4586,0)),0)</f>
        <v>10</v>
      </c>
      <c r="J2158" s="2" t="str">
        <f t="shared" si="132"/>
        <v>No</v>
      </c>
      <c r="K2158" s="2" t="str">
        <f t="shared" si="133"/>
        <v>Yes</v>
      </c>
      <c r="L2158" s="2" t="str">
        <f t="shared" si="135"/>
        <v>No</v>
      </c>
      <c r="M2158" s="2">
        <f t="shared" si="134"/>
        <v>0</v>
      </c>
    </row>
    <row r="2159" spans="1:13" x14ac:dyDescent="0.3">
      <c r="A2159" s="5" t="s">
        <v>4788</v>
      </c>
      <c r="B2159" s="5" t="s">
        <v>2308</v>
      </c>
      <c r="C2159" s="5" t="s">
        <v>2601</v>
      </c>
      <c r="D2159" s="6">
        <v>45983</v>
      </c>
      <c r="E2159" s="6">
        <v>45990</v>
      </c>
      <c r="F2159" s="6">
        <v>45988</v>
      </c>
      <c r="G2159" s="5" t="s">
        <v>2631</v>
      </c>
      <c r="H2159" s="5">
        <v>39</v>
      </c>
      <c r="I2159" s="5">
        <f>IFERROR(INDEX(Raw_Orders!H2159:H4587,MATCH(B2159,Raw_Orders!A2159:A4587,0)),0)</f>
        <v>39</v>
      </c>
      <c r="J2159" s="5" t="str">
        <f t="shared" si="132"/>
        <v>Yes</v>
      </c>
      <c r="K2159" s="5" t="str">
        <f t="shared" si="133"/>
        <v>Yes</v>
      </c>
      <c r="L2159" s="5" t="str">
        <f t="shared" si="135"/>
        <v>Yes</v>
      </c>
      <c r="M2159" s="5">
        <f t="shared" si="134"/>
        <v>1</v>
      </c>
    </row>
    <row r="2160" spans="1:13" x14ac:dyDescent="0.3">
      <c r="A2160" s="2" t="s">
        <v>4789</v>
      </c>
      <c r="B2160" s="2" t="s">
        <v>2309</v>
      </c>
      <c r="C2160" s="2" t="s">
        <v>2601</v>
      </c>
      <c r="D2160" s="3">
        <v>45984</v>
      </c>
      <c r="E2160" s="3">
        <v>45988</v>
      </c>
      <c r="F2160" s="3">
        <v>45989</v>
      </c>
      <c r="G2160" s="2" t="s">
        <v>2631</v>
      </c>
      <c r="H2160" s="2">
        <v>13</v>
      </c>
      <c r="I2160" s="2">
        <f>IFERROR(INDEX(Raw_Orders!H2160:H4588,MATCH(B2160,Raw_Orders!A2160:A4588,0)),0)</f>
        <v>13</v>
      </c>
      <c r="J2160" s="2" t="str">
        <f t="shared" si="132"/>
        <v>No</v>
      </c>
      <c r="K2160" s="2" t="str">
        <f t="shared" si="133"/>
        <v>Yes</v>
      </c>
      <c r="L2160" s="2" t="str">
        <f t="shared" si="135"/>
        <v>No</v>
      </c>
      <c r="M2160" s="2">
        <f t="shared" si="134"/>
        <v>0</v>
      </c>
    </row>
    <row r="2161" spans="1:13" x14ac:dyDescent="0.3">
      <c r="A2161" s="5" t="s">
        <v>4790</v>
      </c>
      <c r="B2161" s="5" t="s">
        <v>2310</v>
      </c>
      <c r="C2161" s="5" t="s">
        <v>2604</v>
      </c>
      <c r="D2161" s="6">
        <v>45983</v>
      </c>
      <c r="E2161" s="6">
        <v>45991</v>
      </c>
      <c r="F2161" s="6">
        <v>45987</v>
      </c>
      <c r="G2161" s="5" t="s">
        <v>2629</v>
      </c>
      <c r="H2161" s="5">
        <v>14</v>
      </c>
      <c r="I2161" s="5">
        <f>IFERROR(INDEX(Raw_Orders!H2161:H4589,MATCH(B2161,Raw_Orders!A2161:A4589,0)),0)</f>
        <v>14</v>
      </c>
      <c r="J2161" s="5" t="str">
        <f t="shared" si="132"/>
        <v>Yes</v>
      </c>
      <c r="K2161" s="5" t="str">
        <f t="shared" si="133"/>
        <v>Yes</v>
      </c>
      <c r="L2161" s="5" t="str">
        <f t="shared" si="135"/>
        <v>Yes</v>
      </c>
      <c r="M2161" s="5">
        <f t="shared" si="134"/>
        <v>1</v>
      </c>
    </row>
    <row r="2162" spans="1:13" x14ac:dyDescent="0.3">
      <c r="A2162" s="2" t="s">
        <v>4791</v>
      </c>
      <c r="B2162" s="2" t="s">
        <v>2311</v>
      </c>
      <c r="C2162" s="2" t="s">
        <v>2604</v>
      </c>
      <c r="D2162" s="3">
        <v>45984</v>
      </c>
      <c r="E2162" s="3">
        <v>45986</v>
      </c>
      <c r="F2162" s="3">
        <v>45988</v>
      </c>
      <c r="G2162" s="2" t="s">
        <v>2631</v>
      </c>
      <c r="H2162" s="2">
        <v>39</v>
      </c>
      <c r="I2162" s="2">
        <f>IFERROR(INDEX(Raw_Orders!H2162:H4590,MATCH(B2162,Raw_Orders!A2162:A4590,0)),0)</f>
        <v>39</v>
      </c>
      <c r="J2162" s="2" t="str">
        <f t="shared" si="132"/>
        <v>No</v>
      </c>
      <c r="K2162" s="2" t="str">
        <f t="shared" si="133"/>
        <v>Yes</v>
      </c>
      <c r="L2162" s="2" t="str">
        <f t="shared" si="135"/>
        <v>No</v>
      </c>
      <c r="M2162" s="2">
        <f t="shared" si="134"/>
        <v>0</v>
      </c>
    </row>
    <row r="2163" spans="1:13" x14ac:dyDescent="0.3">
      <c r="A2163" s="5" t="s">
        <v>4792</v>
      </c>
      <c r="B2163" s="5" t="s">
        <v>2312</v>
      </c>
      <c r="C2163" s="5" t="s">
        <v>2606</v>
      </c>
      <c r="D2163" s="6">
        <v>45985</v>
      </c>
      <c r="E2163" s="6">
        <v>45991</v>
      </c>
      <c r="F2163" s="6">
        <v>45991</v>
      </c>
      <c r="G2163" s="5" t="s">
        <v>2641</v>
      </c>
      <c r="H2163" s="5">
        <v>72</v>
      </c>
      <c r="I2163" s="5">
        <f>IFERROR(INDEX(Raw_Orders!H2163:H4591,MATCH(B2163,Raw_Orders!A2163:A4591,0)),0)</f>
        <v>72</v>
      </c>
      <c r="J2163" s="5" t="str">
        <f t="shared" si="132"/>
        <v>Yes</v>
      </c>
      <c r="K2163" s="5" t="str">
        <f t="shared" si="133"/>
        <v>Yes</v>
      </c>
      <c r="L2163" s="5" t="str">
        <f t="shared" si="135"/>
        <v>Yes</v>
      </c>
      <c r="M2163" s="5">
        <f t="shared" si="134"/>
        <v>1</v>
      </c>
    </row>
    <row r="2164" spans="1:13" x14ac:dyDescent="0.3">
      <c r="A2164" s="2" t="s">
        <v>4793</v>
      </c>
      <c r="B2164" s="2" t="s">
        <v>2313</v>
      </c>
      <c r="C2164" s="2" t="s">
        <v>2606</v>
      </c>
      <c r="D2164" s="3">
        <v>45983</v>
      </c>
      <c r="E2164" s="3">
        <v>45986</v>
      </c>
      <c r="F2164" s="3">
        <v>45989</v>
      </c>
      <c r="G2164" s="2" t="s">
        <v>2641</v>
      </c>
      <c r="H2164" s="2">
        <v>25</v>
      </c>
      <c r="I2164" s="2">
        <f>IFERROR(INDEX(Raw_Orders!H2164:H4592,MATCH(B2164,Raw_Orders!A2164:A4592,0)),0)</f>
        <v>33</v>
      </c>
      <c r="J2164" s="2" t="str">
        <f t="shared" si="132"/>
        <v>No</v>
      </c>
      <c r="K2164" s="2" t="str">
        <f t="shared" si="133"/>
        <v>N0</v>
      </c>
      <c r="L2164" s="2" t="str">
        <f t="shared" si="135"/>
        <v>No</v>
      </c>
      <c r="M2164" s="2">
        <f t="shared" si="134"/>
        <v>0</v>
      </c>
    </row>
    <row r="2165" spans="1:13" x14ac:dyDescent="0.3">
      <c r="A2165" s="5" t="s">
        <v>4794</v>
      </c>
      <c r="B2165" s="5" t="s">
        <v>2314</v>
      </c>
      <c r="C2165" s="5" t="s">
        <v>2608</v>
      </c>
      <c r="D2165" s="6">
        <v>45984</v>
      </c>
      <c r="E2165" s="6">
        <v>45987</v>
      </c>
      <c r="F2165" s="6">
        <v>45997</v>
      </c>
      <c r="G2165" s="5" t="s">
        <v>2627</v>
      </c>
      <c r="H2165" s="5">
        <v>7</v>
      </c>
      <c r="I2165" s="5">
        <f>IFERROR(INDEX(Raw_Orders!H2165:H4593,MATCH(B2165,Raw_Orders!A2165:A4593,0)),0)</f>
        <v>10</v>
      </c>
      <c r="J2165" s="5" t="str">
        <f t="shared" si="132"/>
        <v>No</v>
      </c>
      <c r="K2165" s="5" t="str">
        <f t="shared" si="133"/>
        <v>N0</v>
      </c>
      <c r="L2165" s="5" t="str">
        <f t="shared" si="135"/>
        <v>No</v>
      </c>
      <c r="M2165" s="5">
        <f t="shared" si="134"/>
        <v>0</v>
      </c>
    </row>
    <row r="2166" spans="1:13" x14ac:dyDescent="0.3">
      <c r="A2166" s="2" t="s">
        <v>4795</v>
      </c>
      <c r="B2166" s="2" t="s">
        <v>2315</v>
      </c>
      <c r="C2166" s="2" t="s">
        <v>2611</v>
      </c>
      <c r="D2166" s="3">
        <v>45986</v>
      </c>
      <c r="E2166" s="3">
        <v>45992</v>
      </c>
      <c r="F2166" s="3">
        <v>45993</v>
      </c>
      <c r="G2166" s="2" t="s">
        <v>2631</v>
      </c>
      <c r="H2166" s="2">
        <v>22</v>
      </c>
      <c r="I2166" s="2">
        <f>IFERROR(INDEX(Raw_Orders!H2166:H4594,MATCH(B2166,Raw_Orders!A2166:A4594,0)),0)</f>
        <v>22</v>
      </c>
      <c r="J2166" s="2" t="str">
        <f t="shared" si="132"/>
        <v>No</v>
      </c>
      <c r="K2166" s="2" t="str">
        <f t="shared" si="133"/>
        <v>Yes</v>
      </c>
      <c r="L2166" s="2" t="str">
        <f t="shared" si="135"/>
        <v>No</v>
      </c>
      <c r="M2166" s="2">
        <f t="shared" si="134"/>
        <v>0</v>
      </c>
    </row>
    <row r="2167" spans="1:13" x14ac:dyDescent="0.3">
      <c r="A2167" s="5" t="s">
        <v>4796</v>
      </c>
      <c r="B2167" s="5" t="s">
        <v>2316</v>
      </c>
      <c r="C2167" s="5" t="s">
        <v>2598</v>
      </c>
      <c r="D2167" s="6">
        <v>45986</v>
      </c>
      <c r="E2167" s="6">
        <v>45988</v>
      </c>
      <c r="F2167" s="6">
        <v>45999</v>
      </c>
      <c r="G2167" s="5" t="s">
        <v>2627</v>
      </c>
      <c r="H2167" s="5">
        <v>3</v>
      </c>
      <c r="I2167" s="5">
        <f>IFERROR(INDEX(Raw_Orders!H2167:H4595,MATCH(B2167,Raw_Orders!A2167:A4595,0)),0)</f>
        <v>3</v>
      </c>
      <c r="J2167" s="5" t="str">
        <f t="shared" si="132"/>
        <v>No</v>
      </c>
      <c r="K2167" s="5" t="str">
        <f t="shared" si="133"/>
        <v>Yes</v>
      </c>
      <c r="L2167" s="5" t="str">
        <f t="shared" si="135"/>
        <v>No</v>
      </c>
      <c r="M2167" s="5">
        <f t="shared" si="134"/>
        <v>0</v>
      </c>
    </row>
    <row r="2168" spans="1:13" x14ac:dyDescent="0.3">
      <c r="A2168" s="2" t="s">
        <v>4797</v>
      </c>
      <c r="B2168" s="2" t="s">
        <v>2317</v>
      </c>
      <c r="C2168" s="2" t="s">
        <v>2604</v>
      </c>
      <c r="D2168" s="3">
        <v>45984</v>
      </c>
      <c r="E2168" s="3">
        <v>45990</v>
      </c>
      <c r="F2168" s="3">
        <v>45992</v>
      </c>
      <c r="G2168" s="2" t="s">
        <v>2633</v>
      </c>
      <c r="H2168" s="2">
        <v>20</v>
      </c>
      <c r="I2168" s="2">
        <f>IFERROR(INDEX(Raw_Orders!H2168:H4596,MATCH(B2168,Raw_Orders!A2168:A4596,0)),0)</f>
        <v>23</v>
      </c>
      <c r="J2168" s="2" t="str">
        <f t="shared" si="132"/>
        <v>No</v>
      </c>
      <c r="K2168" s="2" t="str">
        <f t="shared" si="133"/>
        <v>N0</v>
      </c>
      <c r="L2168" s="2" t="str">
        <f t="shared" si="135"/>
        <v>No</v>
      </c>
      <c r="M2168" s="2">
        <f t="shared" si="134"/>
        <v>0</v>
      </c>
    </row>
    <row r="2169" spans="1:13" x14ac:dyDescent="0.3">
      <c r="A2169" s="5" t="s">
        <v>4798</v>
      </c>
      <c r="B2169" s="5" t="s">
        <v>2318</v>
      </c>
      <c r="C2169" s="5" t="s">
        <v>2616</v>
      </c>
      <c r="D2169" s="6">
        <v>45986</v>
      </c>
      <c r="E2169" s="6">
        <v>45991</v>
      </c>
      <c r="F2169" s="6">
        <v>46000</v>
      </c>
      <c r="G2169" s="5" t="s">
        <v>2633</v>
      </c>
      <c r="H2169" s="5">
        <v>70</v>
      </c>
      <c r="I2169" s="5">
        <f>IFERROR(INDEX(Raw_Orders!H2169:H4597,MATCH(B2169,Raw_Orders!A2169:A4597,0)),0)</f>
        <v>77</v>
      </c>
      <c r="J2169" s="5" t="str">
        <f t="shared" si="132"/>
        <v>No</v>
      </c>
      <c r="K2169" s="5" t="str">
        <f t="shared" si="133"/>
        <v>N0</v>
      </c>
      <c r="L2169" s="5" t="str">
        <f t="shared" si="135"/>
        <v>No</v>
      </c>
      <c r="M2169" s="5">
        <f t="shared" si="134"/>
        <v>0</v>
      </c>
    </row>
    <row r="2170" spans="1:13" x14ac:dyDescent="0.3">
      <c r="A2170" s="2" t="s">
        <v>4799</v>
      </c>
      <c r="B2170" s="2" t="s">
        <v>2319</v>
      </c>
      <c r="C2170" s="2" t="s">
        <v>2616</v>
      </c>
      <c r="D2170" s="3">
        <v>45984</v>
      </c>
      <c r="E2170" s="3">
        <v>45990</v>
      </c>
      <c r="F2170" s="3">
        <v>46000</v>
      </c>
      <c r="G2170" s="2" t="s">
        <v>2627</v>
      </c>
      <c r="H2170" s="2">
        <v>17</v>
      </c>
      <c r="I2170" s="2">
        <f>IFERROR(INDEX(Raw_Orders!H2170:H4598,MATCH(B2170,Raw_Orders!A2170:A4598,0)),0)</f>
        <v>23</v>
      </c>
      <c r="J2170" s="2" t="str">
        <f t="shared" si="132"/>
        <v>No</v>
      </c>
      <c r="K2170" s="2" t="str">
        <f t="shared" si="133"/>
        <v>N0</v>
      </c>
      <c r="L2170" s="2" t="str">
        <f t="shared" si="135"/>
        <v>No</v>
      </c>
      <c r="M2170" s="2">
        <f t="shared" si="134"/>
        <v>0</v>
      </c>
    </row>
    <row r="2171" spans="1:13" x14ac:dyDescent="0.3">
      <c r="A2171" s="5" t="s">
        <v>4800</v>
      </c>
      <c r="B2171" s="5" t="s">
        <v>2320</v>
      </c>
      <c r="C2171" s="5" t="s">
        <v>2606</v>
      </c>
      <c r="D2171" s="6">
        <v>45984</v>
      </c>
      <c r="E2171" s="6">
        <v>45990</v>
      </c>
      <c r="F2171" s="6">
        <v>45990</v>
      </c>
      <c r="G2171" s="5" t="s">
        <v>2629</v>
      </c>
      <c r="H2171" s="5">
        <v>44</v>
      </c>
      <c r="I2171" s="5">
        <f>IFERROR(INDEX(Raw_Orders!H2171:H4599,MATCH(B2171,Raw_Orders!A2171:A4599,0)),0)</f>
        <v>44</v>
      </c>
      <c r="J2171" s="5" t="str">
        <f t="shared" si="132"/>
        <v>Yes</v>
      </c>
      <c r="K2171" s="5" t="str">
        <f t="shared" si="133"/>
        <v>Yes</v>
      </c>
      <c r="L2171" s="5" t="str">
        <f t="shared" si="135"/>
        <v>Yes</v>
      </c>
      <c r="M2171" s="5">
        <f t="shared" si="134"/>
        <v>1</v>
      </c>
    </row>
    <row r="2172" spans="1:13" x14ac:dyDescent="0.3">
      <c r="A2172" s="2" t="s">
        <v>4801</v>
      </c>
      <c r="B2172" s="2" t="s">
        <v>2321</v>
      </c>
      <c r="C2172" s="2" t="s">
        <v>2606</v>
      </c>
      <c r="D2172" s="3">
        <v>45986</v>
      </c>
      <c r="E2172" s="3">
        <v>45987</v>
      </c>
      <c r="F2172" s="3">
        <v>45991</v>
      </c>
      <c r="G2172" s="2" t="s">
        <v>2641</v>
      </c>
      <c r="H2172" s="2">
        <v>33</v>
      </c>
      <c r="I2172" s="2">
        <f>IFERROR(INDEX(Raw_Orders!H2172:H4600,MATCH(B2172,Raw_Orders!A2172:A4600,0)),0)</f>
        <v>33</v>
      </c>
      <c r="J2172" s="2" t="str">
        <f t="shared" si="132"/>
        <v>No</v>
      </c>
      <c r="K2172" s="2" t="str">
        <f t="shared" si="133"/>
        <v>Yes</v>
      </c>
      <c r="L2172" s="2" t="str">
        <f t="shared" si="135"/>
        <v>No</v>
      </c>
      <c r="M2172" s="2">
        <f t="shared" si="134"/>
        <v>0</v>
      </c>
    </row>
    <row r="2173" spans="1:13" x14ac:dyDescent="0.3">
      <c r="A2173" s="5" t="s">
        <v>4802</v>
      </c>
      <c r="B2173" s="5" t="s">
        <v>2322</v>
      </c>
      <c r="C2173" s="5" t="s">
        <v>2598</v>
      </c>
      <c r="D2173" s="6">
        <v>45986</v>
      </c>
      <c r="E2173" s="6">
        <v>45988</v>
      </c>
      <c r="F2173" s="6">
        <v>45999</v>
      </c>
      <c r="G2173" s="5" t="s">
        <v>2641</v>
      </c>
      <c r="H2173" s="5">
        <v>10</v>
      </c>
      <c r="I2173" s="5">
        <f>IFERROR(INDEX(Raw_Orders!H2173:H4601,MATCH(B2173,Raw_Orders!A2173:A4601,0)),0)</f>
        <v>10</v>
      </c>
      <c r="J2173" s="5" t="str">
        <f t="shared" si="132"/>
        <v>No</v>
      </c>
      <c r="K2173" s="5" t="str">
        <f t="shared" si="133"/>
        <v>Yes</v>
      </c>
      <c r="L2173" s="5" t="str">
        <f t="shared" si="135"/>
        <v>No</v>
      </c>
      <c r="M2173" s="5">
        <f t="shared" si="134"/>
        <v>0</v>
      </c>
    </row>
    <row r="2174" spans="1:13" x14ac:dyDescent="0.3">
      <c r="A2174" s="2" t="s">
        <v>4803</v>
      </c>
      <c r="B2174" s="2" t="s">
        <v>2323</v>
      </c>
      <c r="C2174" s="2" t="s">
        <v>2614</v>
      </c>
      <c r="D2174" s="3">
        <v>45987</v>
      </c>
      <c r="E2174" s="3">
        <v>45993</v>
      </c>
      <c r="F2174" s="3">
        <v>46003</v>
      </c>
      <c r="G2174" s="2" t="s">
        <v>2641</v>
      </c>
      <c r="H2174" s="2">
        <v>15</v>
      </c>
      <c r="I2174" s="2">
        <f>IFERROR(INDEX(Raw_Orders!H2174:H4602,MATCH(B2174,Raw_Orders!A2174:A4602,0)),0)</f>
        <v>15</v>
      </c>
      <c r="J2174" s="2" t="str">
        <f t="shared" si="132"/>
        <v>No</v>
      </c>
      <c r="K2174" s="2" t="str">
        <f t="shared" si="133"/>
        <v>Yes</v>
      </c>
      <c r="L2174" s="2" t="str">
        <f t="shared" si="135"/>
        <v>No</v>
      </c>
      <c r="M2174" s="2">
        <f t="shared" si="134"/>
        <v>0</v>
      </c>
    </row>
    <row r="2175" spans="1:13" x14ac:dyDescent="0.3">
      <c r="A2175" s="5" t="s">
        <v>4804</v>
      </c>
      <c r="B2175" s="5" t="s">
        <v>2324</v>
      </c>
      <c r="C2175" s="5" t="s">
        <v>2601</v>
      </c>
      <c r="D2175" s="6">
        <v>45985</v>
      </c>
      <c r="E2175" s="6">
        <v>45990</v>
      </c>
      <c r="F2175" s="6">
        <v>45989</v>
      </c>
      <c r="G2175" s="5" t="s">
        <v>2631</v>
      </c>
      <c r="H2175" s="5">
        <v>18</v>
      </c>
      <c r="I2175" s="5">
        <f>IFERROR(INDEX(Raw_Orders!H2175:H4603,MATCH(B2175,Raw_Orders!A2175:A4603,0)),0)</f>
        <v>19</v>
      </c>
      <c r="J2175" s="5" t="str">
        <f t="shared" si="132"/>
        <v>Yes</v>
      </c>
      <c r="K2175" s="5" t="str">
        <f t="shared" si="133"/>
        <v>N0</v>
      </c>
      <c r="L2175" s="5" t="str">
        <f t="shared" si="135"/>
        <v>No</v>
      </c>
      <c r="M2175" s="5">
        <f t="shared" si="134"/>
        <v>0</v>
      </c>
    </row>
    <row r="2176" spans="1:13" x14ac:dyDescent="0.3">
      <c r="A2176" s="2" t="s">
        <v>4805</v>
      </c>
      <c r="B2176" s="2" t="s">
        <v>2325</v>
      </c>
      <c r="C2176" s="2" t="s">
        <v>2604</v>
      </c>
      <c r="D2176" s="3">
        <v>45987</v>
      </c>
      <c r="E2176" s="3">
        <v>45990</v>
      </c>
      <c r="F2176" s="3">
        <v>45995</v>
      </c>
      <c r="G2176" s="2" t="s">
        <v>2641</v>
      </c>
      <c r="H2176" s="2">
        <v>30</v>
      </c>
      <c r="I2176" s="2">
        <f>IFERROR(INDEX(Raw_Orders!H2176:H4604,MATCH(B2176,Raw_Orders!A2176:A4604,0)),0)</f>
        <v>30</v>
      </c>
      <c r="J2176" s="2" t="str">
        <f t="shared" si="132"/>
        <v>No</v>
      </c>
      <c r="K2176" s="2" t="str">
        <f t="shared" si="133"/>
        <v>Yes</v>
      </c>
      <c r="L2176" s="2" t="str">
        <f t="shared" si="135"/>
        <v>No</v>
      </c>
      <c r="M2176" s="2">
        <f t="shared" si="134"/>
        <v>0</v>
      </c>
    </row>
    <row r="2177" spans="1:13" x14ac:dyDescent="0.3">
      <c r="A2177" s="5" t="s">
        <v>4806</v>
      </c>
      <c r="B2177" s="5" t="s">
        <v>2326</v>
      </c>
      <c r="C2177" s="5" t="s">
        <v>2604</v>
      </c>
      <c r="D2177" s="6">
        <v>45987</v>
      </c>
      <c r="E2177" s="6">
        <v>45993</v>
      </c>
      <c r="F2177" s="6">
        <v>45991</v>
      </c>
      <c r="G2177" s="5" t="s">
        <v>2633</v>
      </c>
      <c r="H2177" s="5">
        <v>21</v>
      </c>
      <c r="I2177" s="5">
        <f>IFERROR(INDEX(Raw_Orders!H2177:H4605,MATCH(B2177,Raw_Orders!A2177:A4605,0)),0)</f>
        <v>21</v>
      </c>
      <c r="J2177" s="5" t="str">
        <f t="shared" si="132"/>
        <v>Yes</v>
      </c>
      <c r="K2177" s="5" t="str">
        <f t="shared" si="133"/>
        <v>Yes</v>
      </c>
      <c r="L2177" s="5" t="str">
        <f t="shared" si="135"/>
        <v>Yes</v>
      </c>
      <c r="M2177" s="5">
        <f t="shared" si="134"/>
        <v>1</v>
      </c>
    </row>
    <row r="2178" spans="1:13" x14ac:dyDescent="0.3">
      <c r="A2178" s="2" t="s">
        <v>4807</v>
      </c>
      <c r="B2178" s="2" t="s">
        <v>2327</v>
      </c>
      <c r="C2178" s="2" t="s">
        <v>2606</v>
      </c>
      <c r="D2178" s="3">
        <v>45987</v>
      </c>
      <c r="E2178" s="3">
        <v>45994</v>
      </c>
      <c r="F2178" s="3">
        <v>45992</v>
      </c>
      <c r="G2178" s="2" t="s">
        <v>2627</v>
      </c>
      <c r="H2178" s="2">
        <v>42</v>
      </c>
      <c r="I2178" s="2">
        <f>IFERROR(INDEX(Raw_Orders!H2178:H4606,MATCH(B2178,Raw_Orders!A2178:A4606,0)),0)</f>
        <v>46</v>
      </c>
      <c r="J2178" s="2" t="str">
        <f t="shared" si="132"/>
        <v>Yes</v>
      </c>
      <c r="K2178" s="2" t="str">
        <f t="shared" si="133"/>
        <v>N0</v>
      </c>
      <c r="L2178" s="2" t="str">
        <f t="shared" si="135"/>
        <v>No</v>
      </c>
      <c r="M2178" s="2">
        <f t="shared" si="134"/>
        <v>0</v>
      </c>
    </row>
    <row r="2179" spans="1:13" x14ac:dyDescent="0.3">
      <c r="A2179" s="5" t="s">
        <v>4808</v>
      </c>
      <c r="B2179" s="5" t="s">
        <v>2328</v>
      </c>
      <c r="C2179" s="5" t="s">
        <v>2606</v>
      </c>
      <c r="D2179" s="6">
        <v>45985</v>
      </c>
      <c r="E2179" s="6">
        <v>45994</v>
      </c>
      <c r="F2179" s="6">
        <v>45991</v>
      </c>
      <c r="G2179" s="5" t="s">
        <v>2631</v>
      </c>
      <c r="H2179" s="5">
        <v>52</v>
      </c>
      <c r="I2179" s="5">
        <f>IFERROR(INDEX(Raw_Orders!H2179:H4607,MATCH(B2179,Raw_Orders!A2179:A4607,0)),0)</f>
        <v>52</v>
      </c>
      <c r="J2179" s="5" t="str">
        <f t="shared" ref="J2179:J2242" si="136">IF(E2179&gt;=F2179,"Yes","No")</f>
        <v>Yes</v>
      </c>
      <c r="K2179" s="5" t="str">
        <f t="shared" ref="K2179:K2242" si="137">IF(H2179&gt;=I2179,"Yes","N0")</f>
        <v>Yes</v>
      </c>
      <c r="L2179" s="5" t="str">
        <f t="shared" si="135"/>
        <v>Yes</v>
      </c>
      <c r="M2179" s="5">
        <f t="shared" ref="M2179:M2242" si="138">IF(L2179="Yes",1,0)</f>
        <v>1</v>
      </c>
    </row>
    <row r="2180" spans="1:13" x14ac:dyDescent="0.3">
      <c r="A2180" s="2" t="s">
        <v>4809</v>
      </c>
      <c r="B2180" s="2" t="s">
        <v>2329</v>
      </c>
      <c r="C2180" s="2" t="s">
        <v>2606</v>
      </c>
      <c r="D2180" s="3">
        <v>45987</v>
      </c>
      <c r="E2180" s="3">
        <v>45991</v>
      </c>
      <c r="F2180" s="3">
        <v>45995</v>
      </c>
      <c r="G2180" s="2" t="s">
        <v>2633</v>
      </c>
      <c r="H2180" s="2">
        <v>11</v>
      </c>
      <c r="I2180" s="2">
        <f>IFERROR(INDEX(Raw_Orders!H2180:H4608,MATCH(B2180,Raw_Orders!A2180:A4608,0)),0)</f>
        <v>15</v>
      </c>
      <c r="J2180" s="2" t="str">
        <f t="shared" si="136"/>
        <v>No</v>
      </c>
      <c r="K2180" s="2" t="str">
        <f t="shared" si="137"/>
        <v>N0</v>
      </c>
      <c r="L2180" s="2" t="str">
        <f t="shared" ref="L2180:L2243" si="139">IF(AND(J2180="Yes",K2180="Yes"),"Yes","No")</f>
        <v>No</v>
      </c>
      <c r="M2180" s="2">
        <f t="shared" si="138"/>
        <v>0</v>
      </c>
    </row>
    <row r="2181" spans="1:13" x14ac:dyDescent="0.3">
      <c r="A2181" s="5" t="s">
        <v>4810</v>
      </c>
      <c r="B2181" s="5" t="s">
        <v>2330</v>
      </c>
      <c r="C2181" s="5" t="s">
        <v>2608</v>
      </c>
      <c r="D2181" s="6">
        <v>45987</v>
      </c>
      <c r="E2181" s="6">
        <v>45988</v>
      </c>
      <c r="F2181" s="6">
        <v>46000</v>
      </c>
      <c r="G2181" s="5" t="s">
        <v>2629</v>
      </c>
      <c r="H2181" s="5">
        <v>24</v>
      </c>
      <c r="I2181" s="5">
        <f>IFERROR(INDEX(Raw_Orders!H2181:H4609,MATCH(B2181,Raw_Orders!A2181:A4609,0)),0)</f>
        <v>24</v>
      </c>
      <c r="J2181" s="5" t="str">
        <f t="shared" si="136"/>
        <v>No</v>
      </c>
      <c r="K2181" s="5" t="str">
        <f t="shared" si="137"/>
        <v>Yes</v>
      </c>
      <c r="L2181" s="5" t="str">
        <f t="shared" si="139"/>
        <v>No</v>
      </c>
      <c r="M2181" s="5">
        <f t="shared" si="138"/>
        <v>0</v>
      </c>
    </row>
    <row r="2182" spans="1:13" x14ac:dyDescent="0.3">
      <c r="A2182" s="2" t="s">
        <v>4811</v>
      </c>
      <c r="B2182" s="2" t="s">
        <v>2331</v>
      </c>
      <c r="C2182" s="2" t="s">
        <v>2611</v>
      </c>
      <c r="D2182" s="3">
        <v>45986</v>
      </c>
      <c r="E2182" s="3">
        <v>45992</v>
      </c>
      <c r="F2182" s="3">
        <v>45993</v>
      </c>
      <c r="G2182" s="2" t="s">
        <v>2629</v>
      </c>
      <c r="H2182" s="2">
        <v>29</v>
      </c>
      <c r="I2182" s="2">
        <f>IFERROR(INDEX(Raw_Orders!H2182:H4610,MATCH(B2182,Raw_Orders!A2182:A4610,0)),0)</f>
        <v>29</v>
      </c>
      <c r="J2182" s="2" t="str">
        <f t="shared" si="136"/>
        <v>No</v>
      </c>
      <c r="K2182" s="2" t="str">
        <f t="shared" si="137"/>
        <v>Yes</v>
      </c>
      <c r="L2182" s="2" t="str">
        <f t="shared" si="139"/>
        <v>No</v>
      </c>
      <c r="M2182" s="2">
        <f t="shared" si="138"/>
        <v>0</v>
      </c>
    </row>
    <row r="2183" spans="1:13" x14ac:dyDescent="0.3">
      <c r="A2183" s="5" t="s">
        <v>4812</v>
      </c>
      <c r="B2183" s="5" t="s">
        <v>2332</v>
      </c>
      <c r="C2183" s="5" t="s">
        <v>2598</v>
      </c>
      <c r="D2183" s="6">
        <v>45988</v>
      </c>
      <c r="E2183" s="6">
        <v>45995</v>
      </c>
      <c r="F2183" s="6">
        <v>46003</v>
      </c>
      <c r="G2183" s="5" t="s">
        <v>2641</v>
      </c>
      <c r="H2183" s="5">
        <v>19</v>
      </c>
      <c r="I2183" s="5">
        <f>IFERROR(INDEX(Raw_Orders!H2183:H4611,MATCH(B2183,Raw_Orders!A2183:A4611,0)),0)</f>
        <v>21</v>
      </c>
      <c r="J2183" s="5" t="str">
        <f t="shared" si="136"/>
        <v>No</v>
      </c>
      <c r="K2183" s="5" t="str">
        <f t="shared" si="137"/>
        <v>N0</v>
      </c>
      <c r="L2183" s="5" t="str">
        <f t="shared" si="139"/>
        <v>No</v>
      </c>
      <c r="M2183" s="5">
        <f t="shared" si="138"/>
        <v>0</v>
      </c>
    </row>
    <row r="2184" spans="1:13" x14ac:dyDescent="0.3">
      <c r="A2184" s="2" t="s">
        <v>4813</v>
      </c>
      <c r="B2184" s="2" t="s">
        <v>2333</v>
      </c>
      <c r="C2184" s="2" t="s">
        <v>2601</v>
      </c>
      <c r="D2184" s="3">
        <v>45988</v>
      </c>
      <c r="E2184" s="3">
        <v>45996</v>
      </c>
      <c r="F2184" s="3">
        <v>45995</v>
      </c>
      <c r="G2184" s="2" t="s">
        <v>2633</v>
      </c>
      <c r="H2184" s="2">
        <v>17</v>
      </c>
      <c r="I2184" s="2">
        <f>IFERROR(INDEX(Raw_Orders!H2184:H4612,MATCH(B2184,Raw_Orders!A2184:A4612,0)),0)</f>
        <v>17</v>
      </c>
      <c r="J2184" s="2" t="str">
        <f t="shared" si="136"/>
        <v>Yes</v>
      </c>
      <c r="K2184" s="2" t="str">
        <f t="shared" si="137"/>
        <v>Yes</v>
      </c>
      <c r="L2184" s="2" t="str">
        <f t="shared" si="139"/>
        <v>Yes</v>
      </c>
      <c r="M2184" s="2">
        <f t="shared" si="138"/>
        <v>1</v>
      </c>
    </row>
    <row r="2185" spans="1:13" x14ac:dyDescent="0.3">
      <c r="A2185" s="5" t="s">
        <v>4814</v>
      </c>
      <c r="B2185" s="5" t="s">
        <v>2334</v>
      </c>
      <c r="C2185" s="5" t="s">
        <v>2616</v>
      </c>
      <c r="D2185" s="6">
        <v>45988</v>
      </c>
      <c r="E2185" s="6">
        <v>45990</v>
      </c>
      <c r="F2185" s="6">
        <v>46003</v>
      </c>
      <c r="G2185" s="5" t="s">
        <v>2627</v>
      </c>
      <c r="H2185" s="5">
        <v>11</v>
      </c>
      <c r="I2185" s="5">
        <f>IFERROR(INDEX(Raw_Orders!H2185:H4613,MATCH(B2185,Raw_Orders!A2185:A4613,0)),0)</f>
        <v>11</v>
      </c>
      <c r="J2185" s="5" t="str">
        <f t="shared" si="136"/>
        <v>No</v>
      </c>
      <c r="K2185" s="5" t="str">
        <f t="shared" si="137"/>
        <v>Yes</v>
      </c>
      <c r="L2185" s="5" t="str">
        <f t="shared" si="139"/>
        <v>No</v>
      </c>
      <c r="M2185" s="5">
        <f t="shared" si="138"/>
        <v>0</v>
      </c>
    </row>
    <row r="2186" spans="1:13" x14ac:dyDescent="0.3">
      <c r="A2186" s="2" t="s">
        <v>4815</v>
      </c>
      <c r="B2186" s="2" t="s">
        <v>2335</v>
      </c>
      <c r="C2186" s="2" t="s">
        <v>2608</v>
      </c>
      <c r="D2186" s="3">
        <v>45986</v>
      </c>
      <c r="E2186" s="3">
        <v>45991</v>
      </c>
      <c r="F2186" s="3">
        <v>46003</v>
      </c>
      <c r="G2186" s="2" t="s">
        <v>2641</v>
      </c>
      <c r="H2186" s="2">
        <v>21</v>
      </c>
      <c r="I2186" s="2">
        <f>IFERROR(INDEX(Raw_Orders!H2186:H4614,MATCH(B2186,Raw_Orders!A2186:A4614,0)),0)</f>
        <v>21</v>
      </c>
      <c r="J2186" s="2" t="str">
        <f t="shared" si="136"/>
        <v>No</v>
      </c>
      <c r="K2186" s="2" t="str">
        <f t="shared" si="137"/>
        <v>Yes</v>
      </c>
      <c r="L2186" s="2" t="str">
        <f t="shared" si="139"/>
        <v>No</v>
      </c>
      <c r="M2186" s="2">
        <f t="shared" si="138"/>
        <v>0</v>
      </c>
    </row>
    <row r="2187" spans="1:13" x14ac:dyDescent="0.3">
      <c r="A2187" s="5" t="s">
        <v>4816</v>
      </c>
      <c r="B2187" s="5" t="s">
        <v>2336</v>
      </c>
      <c r="C2187" s="5" t="s">
        <v>2608</v>
      </c>
      <c r="D2187" s="6">
        <v>45986</v>
      </c>
      <c r="E2187" s="6">
        <v>45992</v>
      </c>
      <c r="F2187" s="6">
        <v>45998</v>
      </c>
      <c r="G2187" s="5" t="s">
        <v>2631</v>
      </c>
      <c r="H2187" s="5">
        <v>10</v>
      </c>
      <c r="I2187" s="5">
        <f>IFERROR(INDEX(Raw_Orders!H2187:H4615,MATCH(B2187,Raw_Orders!A2187:A4615,0)),0)</f>
        <v>10</v>
      </c>
      <c r="J2187" s="5" t="str">
        <f t="shared" si="136"/>
        <v>No</v>
      </c>
      <c r="K2187" s="5" t="str">
        <f t="shared" si="137"/>
        <v>Yes</v>
      </c>
      <c r="L2187" s="5" t="str">
        <f t="shared" si="139"/>
        <v>No</v>
      </c>
      <c r="M2187" s="5">
        <f t="shared" si="138"/>
        <v>0</v>
      </c>
    </row>
    <row r="2188" spans="1:13" x14ac:dyDescent="0.3">
      <c r="A2188" s="2" t="s">
        <v>4817</v>
      </c>
      <c r="B2188" s="2" t="s">
        <v>2337</v>
      </c>
      <c r="C2188" s="2" t="s">
        <v>2608</v>
      </c>
      <c r="D2188" s="3">
        <v>45988</v>
      </c>
      <c r="E2188" s="3">
        <v>45989</v>
      </c>
      <c r="F2188" s="3">
        <v>46005</v>
      </c>
      <c r="G2188" s="2" t="s">
        <v>2633</v>
      </c>
      <c r="H2188" s="2">
        <v>10</v>
      </c>
      <c r="I2188" s="2">
        <f>IFERROR(INDEX(Raw_Orders!H2188:H4616,MATCH(B2188,Raw_Orders!A2188:A4616,0)),0)</f>
        <v>10</v>
      </c>
      <c r="J2188" s="2" t="str">
        <f t="shared" si="136"/>
        <v>No</v>
      </c>
      <c r="K2188" s="2" t="str">
        <f t="shared" si="137"/>
        <v>Yes</v>
      </c>
      <c r="L2188" s="2" t="str">
        <f t="shared" si="139"/>
        <v>No</v>
      </c>
      <c r="M2188" s="2">
        <f t="shared" si="138"/>
        <v>0</v>
      </c>
    </row>
    <row r="2189" spans="1:13" x14ac:dyDescent="0.3">
      <c r="A2189" s="5" t="s">
        <v>4818</v>
      </c>
      <c r="B2189" s="5" t="s">
        <v>2338</v>
      </c>
      <c r="C2189" s="5" t="s">
        <v>2611</v>
      </c>
      <c r="D2189" s="6">
        <v>45988</v>
      </c>
      <c r="E2189" s="6">
        <v>45997</v>
      </c>
      <c r="F2189" s="6">
        <v>45995</v>
      </c>
      <c r="G2189" s="5" t="s">
        <v>2631</v>
      </c>
      <c r="H2189" s="5">
        <v>43</v>
      </c>
      <c r="I2189" s="5">
        <f>IFERROR(INDEX(Raw_Orders!H2189:H4617,MATCH(B2189,Raw_Orders!A2189:A4617,0)),0)</f>
        <v>43</v>
      </c>
      <c r="J2189" s="5" t="str">
        <f t="shared" si="136"/>
        <v>Yes</v>
      </c>
      <c r="K2189" s="5" t="str">
        <f t="shared" si="137"/>
        <v>Yes</v>
      </c>
      <c r="L2189" s="5" t="str">
        <f t="shared" si="139"/>
        <v>Yes</v>
      </c>
      <c r="M2189" s="5">
        <f t="shared" si="138"/>
        <v>1</v>
      </c>
    </row>
    <row r="2190" spans="1:13" x14ac:dyDescent="0.3">
      <c r="A2190" s="2" t="s">
        <v>4819</v>
      </c>
      <c r="B2190" s="2" t="s">
        <v>2339</v>
      </c>
      <c r="C2190" s="2" t="s">
        <v>2614</v>
      </c>
      <c r="D2190" s="3">
        <v>45987</v>
      </c>
      <c r="E2190" s="3">
        <v>45990</v>
      </c>
      <c r="F2190" s="3">
        <v>46000</v>
      </c>
      <c r="G2190" s="2" t="s">
        <v>2633</v>
      </c>
      <c r="H2190" s="2">
        <v>46</v>
      </c>
      <c r="I2190" s="2">
        <f>IFERROR(INDEX(Raw_Orders!H2190:H4618,MATCH(B2190,Raw_Orders!A2190:A4618,0)),0)</f>
        <v>46</v>
      </c>
      <c r="J2190" s="2" t="str">
        <f t="shared" si="136"/>
        <v>No</v>
      </c>
      <c r="K2190" s="2" t="str">
        <f t="shared" si="137"/>
        <v>Yes</v>
      </c>
      <c r="L2190" s="2" t="str">
        <f t="shared" si="139"/>
        <v>No</v>
      </c>
      <c r="M2190" s="2">
        <f t="shared" si="138"/>
        <v>0</v>
      </c>
    </row>
    <row r="2191" spans="1:13" x14ac:dyDescent="0.3">
      <c r="A2191" s="5" t="s">
        <v>4820</v>
      </c>
      <c r="B2191" s="5" t="s">
        <v>2340</v>
      </c>
      <c r="C2191" s="5" t="s">
        <v>2606</v>
      </c>
      <c r="D2191" s="6">
        <v>45987</v>
      </c>
      <c r="E2191" s="6">
        <v>45990</v>
      </c>
      <c r="F2191" s="6">
        <v>45995</v>
      </c>
      <c r="G2191" s="5" t="s">
        <v>2641</v>
      </c>
      <c r="H2191" s="5">
        <v>39</v>
      </c>
      <c r="I2191" s="5">
        <f>IFERROR(INDEX(Raw_Orders!H2191:H4619,MATCH(B2191,Raw_Orders!A2191:A4619,0)),0)</f>
        <v>39</v>
      </c>
      <c r="J2191" s="5" t="str">
        <f t="shared" si="136"/>
        <v>No</v>
      </c>
      <c r="K2191" s="5" t="str">
        <f t="shared" si="137"/>
        <v>Yes</v>
      </c>
      <c r="L2191" s="5" t="str">
        <f t="shared" si="139"/>
        <v>No</v>
      </c>
      <c r="M2191" s="5">
        <f t="shared" si="138"/>
        <v>0</v>
      </c>
    </row>
    <row r="2192" spans="1:13" x14ac:dyDescent="0.3">
      <c r="A2192" s="2" t="s">
        <v>4821</v>
      </c>
      <c r="B2192" s="2" t="s">
        <v>2341</v>
      </c>
      <c r="C2192" s="2" t="s">
        <v>2606</v>
      </c>
      <c r="D2192" s="3">
        <v>45988</v>
      </c>
      <c r="E2192" s="3">
        <v>45996</v>
      </c>
      <c r="F2192" s="3">
        <v>45996</v>
      </c>
      <c r="G2192" s="2" t="s">
        <v>2633</v>
      </c>
      <c r="H2192" s="2">
        <v>44</v>
      </c>
      <c r="I2192" s="2">
        <f>IFERROR(INDEX(Raw_Orders!H2192:H4620,MATCH(B2192,Raw_Orders!A2192:A4620,0)),0)</f>
        <v>44</v>
      </c>
      <c r="J2192" s="2" t="str">
        <f t="shared" si="136"/>
        <v>Yes</v>
      </c>
      <c r="K2192" s="2" t="str">
        <f t="shared" si="137"/>
        <v>Yes</v>
      </c>
      <c r="L2192" s="2" t="str">
        <f t="shared" si="139"/>
        <v>Yes</v>
      </c>
      <c r="M2192" s="2">
        <f t="shared" si="138"/>
        <v>1</v>
      </c>
    </row>
    <row r="2193" spans="1:13" x14ac:dyDescent="0.3">
      <c r="A2193" s="5" t="s">
        <v>4822</v>
      </c>
      <c r="B2193" s="5" t="s">
        <v>2342</v>
      </c>
      <c r="C2193" s="5" t="s">
        <v>2606</v>
      </c>
      <c r="D2193" s="6">
        <v>45988</v>
      </c>
      <c r="E2193" s="6">
        <v>45997</v>
      </c>
      <c r="F2193" s="6">
        <v>45998</v>
      </c>
      <c r="G2193" s="5" t="s">
        <v>2629</v>
      </c>
      <c r="H2193" s="5">
        <v>25</v>
      </c>
      <c r="I2193" s="5">
        <f>IFERROR(INDEX(Raw_Orders!H2193:H4621,MATCH(B2193,Raw_Orders!A2193:A4621,0)),0)</f>
        <v>25</v>
      </c>
      <c r="J2193" s="5" t="str">
        <f t="shared" si="136"/>
        <v>No</v>
      </c>
      <c r="K2193" s="5" t="str">
        <f t="shared" si="137"/>
        <v>Yes</v>
      </c>
      <c r="L2193" s="5" t="str">
        <f t="shared" si="139"/>
        <v>No</v>
      </c>
      <c r="M2193" s="5">
        <f t="shared" si="138"/>
        <v>0</v>
      </c>
    </row>
    <row r="2194" spans="1:13" x14ac:dyDescent="0.3">
      <c r="A2194" s="2" t="s">
        <v>4823</v>
      </c>
      <c r="B2194" s="2" t="s">
        <v>2343</v>
      </c>
      <c r="C2194" s="2" t="s">
        <v>2608</v>
      </c>
      <c r="D2194" s="3">
        <v>45989</v>
      </c>
      <c r="E2194" s="3">
        <v>45990</v>
      </c>
      <c r="F2194" s="3">
        <v>46002</v>
      </c>
      <c r="G2194" s="2" t="s">
        <v>2641</v>
      </c>
      <c r="H2194" s="2">
        <v>46</v>
      </c>
      <c r="I2194" s="2">
        <f>IFERROR(INDEX(Raw_Orders!H2194:H4622,MATCH(B2194,Raw_Orders!A2194:A4622,0)),0)</f>
        <v>46</v>
      </c>
      <c r="J2194" s="2" t="str">
        <f t="shared" si="136"/>
        <v>No</v>
      </c>
      <c r="K2194" s="2" t="str">
        <f t="shared" si="137"/>
        <v>Yes</v>
      </c>
      <c r="L2194" s="2" t="str">
        <f t="shared" si="139"/>
        <v>No</v>
      </c>
      <c r="M2194" s="2">
        <f t="shared" si="138"/>
        <v>0</v>
      </c>
    </row>
    <row r="2195" spans="1:13" x14ac:dyDescent="0.3">
      <c r="A2195" s="5" t="s">
        <v>4824</v>
      </c>
      <c r="B2195" s="5" t="s">
        <v>2344</v>
      </c>
      <c r="C2195" s="5" t="s">
        <v>2598</v>
      </c>
      <c r="D2195" s="6">
        <v>45989</v>
      </c>
      <c r="E2195" s="6">
        <v>45995</v>
      </c>
      <c r="F2195" s="6">
        <v>46002</v>
      </c>
      <c r="G2195" s="5" t="s">
        <v>2631</v>
      </c>
      <c r="H2195" s="5">
        <v>41</v>
      </c>
      <c r="I2195" s="5">
        <f>IFERROR(INDEX(Raw_Orders!H2195:H4623,MATCH(B2195,Raw_Orders!A2195:A4623,0)),0)</f>
        <v>41</v>
      </c>
      <c r="J2195" s="5" t="str">
        <f t="shared" si="136"/>
        <v>No</v>
      </c>
      <c r="K2195" s="5" t="str">
        <f t="shared" si="137"/>
        <v>Yes</v>
      </c>
      <c r="L2195" s="5" t="str">
        <f t="shared" si="139"/>
        <v>No</v>
      </c>
      <c r="M2195" s="5">
        <f t="shared" si="138"/>
        <v>0</v>
      </c>
    </row>
    <row r="2196" spans="1:13" x14ac:dyDescent="0.3">
      <c r="A2196" s="2" t="s">
        <v>4825</v>
      </c>
      <c r="B2196" s="2" t="s">
        <v>2345</v>
      </c>
      <c r="C2196" s="2" t="s">
        <v>2614</v>
      </c>
      <c r="D2196" s="3">
        <v>45988</v>
      </c>
      <c r="E2196" s="3">
        <v>45991</v>
      </c>
      <c r="F2196" s="3">
        <v>46001</v>
      </c>
      <c r="G2196" s="2" t="s">
        <v>2629</v>
      </c>
      <c r="H2196" s="2">
        <v>26</v>
      </c>
      <c r="I2196" s="2">
        <f>IFERROR(INDEX(Raw_Orders!H2196:H4624,MATCH(B2196,Raw_Orders!A2196:A4624,0)),0)</f>
        <v>26</v>
      </c>
      <c r="J2196" s="2" t="str">
        <f t="shared" si="136"/>
        <v>No</v>
      </c>
      <c r="K2196" s="2" t="str">
        <f t="shared" si="137"/>
        <v>Yes</v>
      </c>
      <c r="L2196" s="2" t="str">
        <f t="shared" si="139"/>
        <v>No</v>
      </c>
      <c r="M2196" s="2">
        <f t="shared" si="138"/>
        <v>0</v>
      </c>
    </row>
    <row r="2197" spans="1:13" x14ac:dyDescent="0.3">
      <c r="A2197" s="5" t="s">
        <v>4826</v>
      </c>
      <c r="B2197" s="5" t="s">
        <v>2346</v>
      </c>
      <c r="C2197" s="5" t="s">
        <v>2606</v>
      </c>
      <c r="D2197" s="6">
        <v>45989</v>
      </c>
      <c r="E2197" s="6">
        <v>45992</v>
      </c>
      <c r="F2197" s="6">
        <v>45995</v>
      </c>
      <c r="G2197" s="5" t="s">
        <v>2641</v>
      </c>
      <c r="H2197" s="5">
        <v>16</v>
      </c>
      <c r="I2197" s="5">
        <f>IFERROR(INDEX(Raw_Orders!H2197:H4625,MATCH(B2197,Raw_Orders!A2197:A4625,0)),0)</f>
        <v>19</v>
      </c>
      <c r="J2197" s="5" t="str">
        <f t="shared" si="136"/>
        <v>No</v>
      </c>
      <c r="K2197" s="5" t="str">
        <f t="shared" si="137"/>
        <v>N0</v>
      </c>
      <c r="L2197" s="5" t="str">
        <f t="shared" si="139"/>
        <v>No</v>
      </c>
      <c r="M2197" s="5">
        <f t="shared" si="138"/>
        <v>0</v>
      </c>
    </row>
    <row r="2198" spans="1:13" x14ac:dyDescent="0.3">
      <c r="A2198" s="2" t="s">
        <v>4827</v>
      </c>
      <c r="B2198" s="2" t="s">
        <v>2347</v>
      </c>
      <c r="C2198" s="2" t="s">
        <v>2608</v>
      </c>
      <c r="D2198" s="3">
        <v>45989</v>
      </c>
      <c r="E2198" s="3">
        <v>45993</v>
      </c>
      <c r="F2198" s="3">
        <v>46002</v>
      </c>
      <c r="G2198" s="2" t="s">
        <v>2631</v>
      </c>
      <c r="H2198" s="2">
        <v>6</v>
      </c>
      <c r="I2198" s="2">
        <f>IFERROR(INDEX(Raw_Orders!H2198:H4626,MATCH(B2198,Raw_Orders!A2198:A4626,0)),0)</f>
        <v>6</v>
      </c>
      <c r="J2198" s="2" t="str">
        <f t="shared" si="136"/>
        <v>No</v>
      </c>
      <c r="K2198" s="2" t="str">
        <f t="shared" si="137"/>
        <v>Yes</v>
      </c>
      <c r="L2198" s="2" t="str">
        <f t="shared" si="139"/>
        <v>No</v>
      </c>
      <c r="M2198" s="2">
        <f t="shared" si="138"/>
        <v>0</v>
      </c>
    </row>
    <row r="2199" spans="1:13" x14ac:dyDescent="0.3">
      <c r="A2199" s="5" t="s">
        <v>4828</v>
      </c>
      <c r="B2199" s="5" t="s">
        <v>2348</v>
      </c>
      <c r="C2199" s="5" t="s">
        <v>2608</v>
      </c>
      <c r="D2199" s="6">
        <v>45990</v>
      </c>
      <c r="E2199" s="6">
        <v>45997</v>
      </c>
      <c r="F2199" s="6">
        <v>46005</v>
      </c>
      <c r="G2199" s="5" t="s">
        <v>2629</v>
      </c>
      <c r="H2199" s="5">
        <v>8</v>
      </c>
      <c r="I2199" s="5">
        <f>IFERROR(INDEX(Raw_Orders!H2199:H4627,MATCH(B2199,Raw_Orders!A2199:A4627,0)),0)</f>
        <v>8</v>
      </c>
      <c r="J2199" s="5" t="str">
        <f t="shared" si="136"/>
        <v>No</v>
      </c>
      <c r="K2199" s="5" t="str">
        <f t="shared" si="137"/>
        <v>Yes</v>
      </c>
      <c r="L2199" s="5" t="str">
        <f t="shared" si="139"/>
        <v>No</v>
      </c>
      <c r="M2199" s="5">
        <f t="shared" si="138"/>
        <v>0</v>
      </c>
    </row>
    <row r="2200" spans="1:13" x14ac:dyDescent="0.3">
      <c r="A2200" s="2" t="s">
        <v>4829</v>
      </c>
      <c r="B2200" s="2" t="s">
        <v>2349</v>
      </c>
      <c r="C2200" s="2" t="s">
        <v>2611</v>
      </c>
      <c r="D2200" s="3">
        <v>45989</v>
      </c>
      <c r="E2200" s="3">
        <v>45998</v>
      </c>
      <c r="F2200" s="3">
        <v>45996</v>
      </c>
      <c r="G2200" s="2" t="s">
        <v>2627</v>
      </c>
      <c r="H2200" s="2">
        <v>29</v>
      </c>
      <c r="I2200" s="2">
        <f>IFERROR(INDEX(Raw_Orders!H2200:H4628,MATCH(B2200,Raw_Orders!A2200:A4628,0)),0)</f>
        <v>29</v>
      </c>
      <c r="J2200" s="2" t="str">
        <f t="shared" si="136"/>
        <v>Yes</v>
      </c>
      <c r="K2200" s="2" t="str">
        <f t="shared" si="137"/>
        <v>Yes</v>
      </c>
      <c r="L2200" s="2" t="str">
        <f t="shared" si="139"/>
        <v>Yes</v>
      </c>
      <c r="M2200" s="2">
        <f t="shared" si="138"/>
        <v>1</v>
      </c>
    </row>
    <row r="2201" spans="1:13" x14ac:dyDescent="0.3">
      <c r="A2201" s="5" t="s">
        <v>4830</v>
      </c>
      <c r="B2201" s="5" t="s">
        <v>2350</v>
      </c>
      <c r="C2201" s="5" t="s">
        <v>2601</v>
      </c>
      <c r="D2201" s="6">
        <v>45989</v>
      </c>
      <c r="E2201" s="6">
        <v>45996</v>
      </c>
      <c r="F2201" s="6">
        <v>45995</v>
      </c>
      <c r="G2201" s="5" t="s">
        <v>2631</v>
      </c>
      <c r="H2201" s="5">
        <v>6</v>
      </c>
      <c r="I2201" s="5">
        <f>IFERROR(INDEX(Raw_Orders!H2201:H4629,MATCH(B2201,Raw_Orders!A2201:A4629,0)),0)</f>
        <v>6</v>
      </c>
      <c r="J2201" s="5" t="str">
        <f t="shared" si="136"/>
        <v>Yes</v>
      </c>
      <c r="K2201" s="5" t="str">
        <f t="shared" si="137"/>
        <v>Yes</v>
      </c>
      <c r="L2201" s="5" t="str">
        <f t="shared" si="139"/>
        <v>Yes</v>
      </c>
      <c r="M2201" s="5">
        <f t="shared" si="138"/>
        <v>1</v>
      </c>
    </row>
    <row r="2202" spans="1:13" x14ac:dyDescent="0.3">
      <c r="A2202" s="2" t="s">
        <v>4831</v>
      </c>
      <c r="B2202" s="2" t="s">
        <v>2351</v>
      </c>
      <c r="C2202" s="2" t="s">
        <v>2606</v>
      </c>
      <c r="D2202" s="3">
        <v>45990</v>
      </c>
      <c r="E2202" s="3">
        <v>45994</v>
      </c>
      <c r="F2202" s="3">
        <v>45996</v>
      </c>
      <c r="G2202" s="2" t="s">
        <v>2641</v>
      </c>
      <c r="H2202" s="2">
        <v>89</v>
      </c>
      <c r="I2202" s="2">
        <f>IFERROR(INDEX(Raw_Orders!H2202:H4630,MATCH(B2202,Raw_Orders!A2202:A4630,0)),0)</f>
        <v>89</v>
      </c>
      <c r="J2202" s="2" t="str">
        <f t="shared" si="136"/>
        <v>No</v>
      </c>
      <c r="K2202" s="2" t="str">
        <f t="shared" si="137"/>
        <v>Yes</v>
      </c>
      <c r="L2202" s="2" t="str">
        <f t="shared" si="139"/>
        <v>No</v>
      </c>
      <c r="M2202" s="2">
        <f t="shared" si="138"/>
        <v>0</v>
      </c>
    </row>
    <row r="2203" spans="1:13" x14ac:dyDescent="0.3">
      <c r="A2203" s="5" t="s">
        <v>4832</v>
      </c>
      <c r="B2203" s="5" t="s">
        <v>2352</v>
      </c>
      <c r="C2203" s="5" t="s">
        <v>2608</v>
      </c>
      <c r="D2203" s="6">
        <v>45991</v>
      </c>
      <c r="E2203" s="6">
        <v>45994</v>
      </c>
      <c r="F2203" s="6">
        <v>46005</v>
      </c>
      <c r="G2203" s="5" t="s">
        <v>2627</v>
      </c>
      <c r="H2203" s="5">
        <v>1</v>
      </c>
      <c r="I2203" s="5">
        <f>IFERROR(INDEX(Raw_Orders!H2203:H4631,MATCH(B2203,Raw_Orders!A2203:A4631,0)),0)</f>
        <v>4</v>
      </c>
      <c r="J2203" s="5" t="str">
        <f t="shared" si="136"/>
        <v>No</v>
      </c>
      <c r="K2203" s="5" t="str">
        <f t="shared" si="137"/>
        <v>N0</v>
      </c>
      <c r="L2203" s="5" t="str">
        <f t="shared" si="139"/>
        <v>No</v>
      </c>
      <c r="M2203" s="5">
        <f t="shared" si="138"/>
        <v>0</v>
      </c>
    </row>
    <row r="2204" spans="1:13" x14ac:dyDescent="0.3">
      <c r="A2204" s="2" t="s">
        <v>4833</v>
      </c>
      <c r="B2204" s="2" t="s">
        <v>2353</v>
      </c>
      <c r="C2204" s="2" t="s">
        <v>2608</v>
      </c>
      <c r="D2204" s="3">
        <v>45990</v>
      </c>
      <c r="E2204" s="3">
        <v>45992</v>
      </c>
      <c r="F2204" s="3">
        <v>46003</v>
      </c>
      <c r="G2204" s="2" t="s">
        <v>2631</v>
      </c>
      <c r="H2204" s="2">
        <v>3</v>
      </c>
      <c r="I2204" s="2">
        <f>IFERROR(INDEX(Raw_Orders!H2204:H4632,MATCH(B2204,Raw_Orders!A2204:A4632,0)),0)</f>
        <v>9</v>
      </c>
      <c r="J2204" s="2" t="str">
        <f t="shared" si="136"/>
        <v>No</v>
      </c>
      <c r="K2204" s="2" t="str">
        <f t="shared" si="137"/>
        <v>N0</v>
      </c>
      <c r="L2204" s="2" t="str">
        <f t="shared" si="139"/>
        <v>No</v>
      </c>
      <c r="M2204" s="2">
        <f t="shared" si="138"/>
        <v>0</v>
      </c>
    </row>
    <row r="2205" spans="1:13" x14ac:dyDescent="0.3">
      <c r="A2205" s="5" t="s">
        <v>4834</v>
      </c>
      <c r="B2205" s="5" t="s">
        <v>2354</v>
      </c>
      <c r="C2205" s="5" t="s">
        <v>2611</v>
      </c>
      <c r="D2205" s="6">
        <v>45991</v>
      </c>
      <c r="E2205" s="6">
        <v>45995</v>
      </c>
      <c r="F2205" s="6">
        <v>45998</v>
      </c>
      <c r="G2205" s="5" t="s">
        <v>2631</v>
      </c>
      <c r="H2205" s="5">
        <v>19</v>
      </c>
      <c r="I2205" s="5">
        <f>IFERROR(INDEX(Raw_Orders!H2205:H4633,MATCH(B2205,Raw_Orders!A2205:A4633,0)),0)</f>
        <v>23</v>
      </c>
      <c r="J2205" s="5" t="str">
        <f t="shared" si="136"/>
        <v>No</v>
      </c>
      <c r="K2205" s="5" t="str">
        <f t="shared" si="137"/>
        <v>N0</v>
      </c>
      <c r="L2205" s="5" t="str">
        <f t="shared" si="139"/>
        <v>No</v>
      </c>
      <c r="M2205" s="5">
        <f t="shared" si="138"/>
        <v>0</v>
      </c>
    </row>
    <row r="2206" spans="1:13" x14ac:dyDescent="0.3">
      <c r="A2206" s="2" t="s">
        <v>4835</v>
      </c>
      <c r="B2206" s="2" t="s">
        <v>2355</v>
      </c>
      <c r="C2206" s="2" t="s">
        <v>2614</v>
      </c>
      <c r="D2206" s="3">
        <v>45992</v>
      </c>
      <c r="E2206" s="3">
        <v>45999</v>
      </c>
      <c r="F2206" s="3">
        <v>46007</v>
      </c>
      <c r="G2206" s="2" t="s">
        <v>2633</v>
      </c>
      <c r="H2206" s="2">
        <v>19</v>
      </c>
      <c r="I2206" s="2">
        <f>IFERROR(INDEX(Raw_Orders!H2206:H4634,MATCH(B2206,Raw_Orders!A2206:A4634,0)),0)</f>
        <v>20</v>
      </c>
      <c r="J2206" s="2" t="str">
        <f t="shared" si="136"/>
        <v>No</v>
      </c>
      <c r="K2206" s="2" t="str">
        <f t="shared" si="137"/>
        <v>N0</v>
      </c>
      <c r="L2206" s="2" t="str">
        <f t="shared" si="139"/>
        <v>No</v>
      </c>
      <c r="M2206" s="2">
        <f t="shared" si="138"/>
        <v>0</v>
      </c>
    </row>
    <row r="2207" spans="1:13" x14ac:dyDescent="0.3">
      <c r="A2207" s="5" t="s">
        <v>4836</v>
      </c>
      <c r="B2207" s="5" t="s">
        <v>2356</v>
      </c>
      <c r="C2207" s="5" t="s">
        <v>2616</v>
      </c>
      <c r="D2207" s="6">
        <v>45990</v>
      </c>
      <c r="E2207" s="6">
        <v>45998</v>
      </c>
      <c r="F2207" s="6">
        <v>46009</v>
      </c>
      <c r="G2207" s="5" t="s">
        <v>2629</v>
      </c>
      <c r="H2207" s="5">
        <v>12</v>
      </c>
      <c r="I2207" s="5">
        <f>IFERROR(INDEX(Raw_Orders!H2207:H4635,MATCH(B2207,Raw_Orders!A2207:A4635,0)),0)</f>
        <v>12</v>
      </c>
      <c r="J2207" s="5" t="str">
        <f t="shared" si="136"/>
        <v>No</v>
      </c>
      <c r="K2207" s="5" t="str">
        <f t="shared" si="137"/>
        <v>Yes</v>
      </c>
      <c r="L2207" s="5" t="str">
        <f t="shared" si="139"/>
        <v>No</v>
      </c>
      <c r="M2207" s="5">
        <f t="shared" si="138"/>
        <v>0</v>
      </c>
    </row>
    <row r="2208" spans="1:13" x14ac:dyDescent="0.3">
      <c r="A2208" s="2" t="s">
        <v>4837</v>
      </c>
      <c r="B2208" s="2" t="s">
        <v>2357</v>
      </c>
      <c r="C2208" s="2" t="s">
        <v>2606</v>
      </c>
      <c r="D2208" s="3">
        <v>45991</v>
      </c>
      <c r="E2208" s="3">
        <v>45996</v>
      </c>
      <c r="F2208" s="3">
        <v>45998</v>
      </c>
      <c r="G2208" s="2" t="s">
        <v>2631</v>
      </c>
      <c r="H2208" s="2">
        <v>41</v>
      </c>
      <c r="I2208" s="2">
        <f>IFERROR(INDEX(Raw_Orders!H2208:H4636,MATCH(B2208,Raw_Orders!A2208:A4636,0)),0)</f>
        <v>41</v>
      </c>
      <c r="J2208" s="2" t="str">
        <f t="shared" si="136"/>
        <v>No</v>
      </c>
      <c r="K2208" s="2" t="str">
        <f t="shared" si="137"/>
        <v>Yes</v>
      </c>
      <c r="L2208" s="2" t="str">
        <f t="shared" si="139"/>
        <v>No</v>
      </c>
      <c r="M2208" s="2">
        <f t="shared" si="138"/>
        <v>0</v>
      </c>
    </row>
    <row r="2209" spans="1:13" x14ac:dyDescent="0.3">
      <c r="A2209" s="5" t="s">
        <v>4838</v>
      </c>
      <c r="B2209" s="5" t="s">
        <v>2358</v>
      </c>
      <c r="C2209" s="5" t="s">
        <v>2598</v>
      </c>
      <c r="D2209" s="6">
        <v>45991</v>
      </c>
      <c r="E2209" s="6">
        <v>46000</v>
      </c>
      <c r="F2209" s="6">
        <v>46005</v>
      </c>
      <c r="G2209" s="5" t="s">
        <v>2627</v>
      </c>
      <c r="H2209" s="5">
        <v>18</v>
      </c>
      <c r="I2209" s="5">
        <f>IFERROR(INDEX(Raw_Orders!H2209:H4637,MATCH(B2209,Raw_Orders!A2209:A4637,0)),0)</f>
        <v>18</v>
      </c>
      <c r="J2209" s="5" t="str">
        <f t="shared" si="136"/>
        <v>No</v>
      </c>
      <c r="K2209" s="5" t="str">
        <f t="shared" si="137"/>
        <v>Yes</v>
      </c>
      <c r="L2209" s="5" t="str">
        <f t="shared" si="139"/>
        <v>No</v>
      </c>
      <c r="M2209" s="5">
        <f t="shared" si="138"/>
        <v>0</v>
      </c>
    </row>
    <row r="2210" spans="1:13" x14ac:dyDescent="0.3">
      <c r="A2210" s="2" t="s">
        <v>4839</v>
      </c>
      <c r="B2210" s="2" t="s">
        <v>2359</v>
      </c>
      <c r="C2210" s="2" t="s">
        <v>2614</v>
      </c>
      <c r="D2210" s="3">
        <v>45992</v>
      </c>
      <c r="E2210" s="3">
        <v>45994</v>
      </c>
      <c r="F2210" s="3">
        <v>46010</v>
      </c>
      <c r="G2210" s="2" t="s">
        <v>2633</v>
      </c>
      <c r="H2210" s="2">
        <v>10</v>
      </c>
      <c r="I2210" s="2">
        <f>IFERROR(INDEX(Raw_Orders!H2210:H4638,MATCH(B2210,Raw_Orders!A2210:A4638,0)),0)</f>
        <v>18</v>
      </c>
      <c r="J2210" s="2" t="str">
        <f t="shared" si="136"/>
        <v>No</v>
      </c>
      <c r="K2210" s="2" t="str">
        <f t="shared" si="137"/>
        <v>N0</v>
      </c>
      <c r="L2210" s="2" t="str">
        <f t="shared" si="139"/>
        <v>No</v>
      </c>
      <c r="M2210" s="2">
        <f t="shared" si="138"/>
        <v>0</v>
      </c>
    </row>
    <row r="2211" spans="1:13" x14ac:dyDescent="0.3">
      <c r="A2211" s="5" t="s">
        <v>4840</v>
      </c>
      <c r="B2211" s="5" t="s">
        <v>2360</v>
      </c>
      <c r="C2211" s="5" t="s">
        <v>2601</v>
      </c>
      <c r="D2211" s="6">
        <v>45992</v>
      </c>
      <c r="E2211" s="6">
        <v>45995</v>
      </c>
      <c r="F2211" s="6">
        <v>45998</v>
      </c>
      <c r="G2211" s="5" t="s">
        <v>2633</v>
      </c>
      <c r="H2211" s="5">
        <v>31</v>
      </c>
      <c r="I2211" s="5">
        <f>IFERROR(INDEX(Raw_Orders!H2211:H4639,MATCH(B2211,Raw_Orders!A2211:A4639,0)),0)</f>
        <v>31</v>
      </c>
      <c r="J2211" s="5" t="str">
        <f t="shared" si="136"/>
        <v>No</v>
      </c>
      <c r="K2211" s="5" t="str">
        <f t="shared" si="137"/>
        <v>Yes</v>
      </c>
      <c r="L2211" s="5" t="str">
        <f t="shared" si="139"/>
        <v>No</v>
      </c>
      <c r="M2211" s="5">
        <f t="shared" si="138"/>
        <v>0</v>
      </c>
    </row>
    <row r="2212" spans="1:13" x14ac:dyDescent="0.3">
      <c r="A2212" s="2" t="s">
        <v>4841</v>
      </c>
      <c r="B2212" s="2" t="s">
        <v>2361</v>
      </c>
      <c r="C2212" s="2" t="s">
        <v>2616</v>
      </c>
      <c r="D2212" s="3">
        <v>45991</v>
      </c>
      <c r="E2212" s="3">
        <v>45994</v>
      </c>
      <c r="F2212" s="3">
        <v>46005</v>
      </c>
      <c r="G2212" s="2" t="s">
        <v>2641</v>
      </c>
      <c r="H2212" s="2">
        <v>25</v>
      </c>
      <c r="I2212" s="2">
        <f>IFERROR(INDEX(Raw_Orders!H2212:H4640,MATCH(B2212,Raw_Orders!A2212:A4640,0)),0)</f>
        <v>25</v>
      </c>
      <c r="J2212" s="2" t="str">
        <f t="shared" si="136"/>
        <v>No</v>
      </c>
      <c r="K2212" s="2" t="str">
        <f t="shared" si="137"/>
        <v>Yes</v>
      </c>
      <c r="L2212" s="2" t="str">
        <f t="shared" si="139"/>
        <v>No</v>
      </c>
      <c r="M2212" s="2">
        <f t="shared" si="138"/>
        <v>0</v>
      </c>
    </row>
    <row r="2213" spans="1:13" x14ac:dyDescent="0.3">
      <c r="A2213" s="5" t="s">
        <v>4842</v>
      </c>
      <c r="B2213" s="5" t="s">
        <v>2362</v>
      </c>
      <c r="C2213" s="5" t="s">
        <v>2616</v>
      </c>
      <c r="D2213" s="6">
        <v>45992</v>
      </c>
      <c r="E2213" s="6">
        <v>45999</v>
      </c>
      <c r="F2213" s="6">
        <v>46008</v>
      </c>
      <c r="G2213" s="5" t="s">
        <v>2641</v>
      </c>
      <c r="H2213" s="5">
        <v>41</v>
      </c>
      <c r="I2213" s="5">
        <f>IFERROR(INDEX(Raw_Orders!H2213:H4641,MATCH(B2213,Raw_Orders!A2213:A4641,0)),0)</f>
        <v>41</v>
      </c>
      <c r="J2213" s="5" t="str">
        <f t="shared" si="136"/>
        <v>No</v>
      </c>
      <c r="K2213" s="5" t="str">
        <f t="shared" si="137"/>
        <v>Yes</v>
      </c>
      <c r="L2213" s="5" t="str">
        <f t="shared" si="139"/>
        <v>No</v>
      </c>
      <c r="M2213" s="5">
        <f t="shared" si="138"/>
        <v>0</v>
      </c>
    </row>
    <row r="2214" spans="1:13" x14ac:dyDescent="0.3">
      <c r="A2214" s="2" t="s">
        <v>4843</v>
      </c>
      <c r="B2214" s="2" t="s">
        <v>2363</v>
      </c>
      <c r="C2214" s="2" t="s">
        <v>2616</v>
      </c>
      <c r="D2214" s="3">
        <v>45993</v>
      </c>
      <c r="E2214" s="3">
        <v>45994</v>
      </c>
      <c r="F2214" s="3">
        <v>46012</v>
      </c>
      <c r="G2214" s="2" t="s">
        <v>2627</v>
      </c>
      <c r="H2214" s="2">
        <v>16</v>
      </c>
      <c r="I2214" s="2">
        <f>IFERROR(INDEX(Raw_Orders!H2214:H4642,MATCH(B2214,Raw_Orders!A2214:A4642,0)),0)</f>
        <v>16</v>
      </c>
      <c r="J2214" s="2" t="str">
        <f t="shared" si="136"/>
        <v>No</v>
      </c>
      <c r="K2214" s="2" t="str">
        <f t="shared" si="137"/>
        <v>Yes</v>
      </c>
      <c r="L2214" s="2" t="str">
        <f t="shared" si="139"/>
        <v>No</v>
      </c>
      <c r="M2214" s="2">
        <f t="shared" si="138"/>
        <v>0</v>
      </c>
    </row>
    <row r="2215" spans="1:13" x14ac:dyDescent="0.3">
      <c r="A2215" s="5" t="s">
        <v>4844</v>
      </c>
      <c r="B2215" s="5" t="s">
        <v>2364</v>
      </c>
      <c r="C2215" s="5" t="s">
        <v>2606</v>
      </c>
      <c r="D2215" s="6">
        <v>45991</v>
      </c>
      <c r="E2215" s="6">
        <v>45998</v>
      </c>
      <c r="F2215" s="6">
        <v>45999</v>
      </c>
      <c r="G2215" s="5" t="s">
        <v>2633</v>
      </c>
      <c r="H2215" s="5">
        <v>25</v>
      </c>
      <c r="I2215" s="5">
        <f>IFERROR(INDEX(Raw_Orders!H2215:H4643,MATCH(B2215,Raw_Orders!A2215:A4643,0)),0)</f>
        <v>25</v>
      </c>
      <c r="J2215" s="5" t="str">
        <f t="shared" si="136"/>
        <v>No</v>
      </c>
      <c r="K2215" s="5" t="str">
        <f t="shared" si="137"/>
        <v>Yes</v>
      </c>
      <c r="L2215" s="5" t="str">
        <f t="shared" si="139"/>
        <v>No</v>
      </c>
      <c r="M2215" s="5">
        <f t="shared" si="138"/>
        <v>0</v>
      </c>
    </row>
    <row r="2216" spans="1:13" x14ac:dyDescent="0.3">
      <c r="A2216" s="2" t="s">
        <v>4845</v>
      </c>
      <c r="B2216" s="2" t="s">
        <v>2365</v>
      </c>
      <c r="C2216" s="2" t="s">
        <v>2608</v>
      </c>
      <c r="D2216" s="3">
        <v>45993</v>
      </c>
      <c r="E2216" s="3">
        <v>45999</v>
      </c>
      <c r="F2216" s="3">
        <v>46006</v>
      </c>
      <c r="G2216" s="2" t="s">
        <v>2641</v>
      </c>
      <c r="H2216" s="2">
        <v>4</v>
      </c>
      <c r="I2216" s="2">
        <f>IFERROR(INDEX(Raw_Orders!H2216:H4644,MATCH(B2216,Raw_Orders!A2216:A4644,0)),0)</f>
        <v>6</v>
      </c>
      <c r="J2216" s="2" t="str">
        <f t="shared" si="136"/>
        <v>No</v>
      </c>
      <c r="K2216" s="2" t="str">
        <f t="shared" si="137"/>
        <v>N0</v>
      </c>
      <c r="L2216" s="2" t="str">
        <f t="shared" si="139"/>
        <v>No</v>
      </c>
      <c r="M2216" s="2">
        <f t="shared" si="138"/>
        <v>0</v>
      </c>
    </row>
    <row r="2217" spans="1:13" x14ac:dyDescent="0.3">
      <c r="A2217" s="5" t="s">
        <v>4846</v>
      </c>
      <c r="B2217" s="5" t="s">
        <v>2366</v>
      </c>
      <c r="C2217" s="5" t="s">
        <v>2611</v>
      </c>
      <c r="D2217" s="6">
        <v>45994</v>
      </c>
      <c r="E2217" s="6">
        <v>46002</v>
      </c>
      <c r="F2217" s="6">
        <v>46000</v>
      </c>
      <c r="G2217" s="5" t="s">
        <v>2633</v>
      </c>
      <c r="H2217" s="5">
        <v>33</v>
      </c>
      <c r="I2217" s="5">
        <f>IFERROR(INDEX(Raw_Orders!H2217:H4645,MATCH(B2217,Raw_Orders!A2217:A4645,0)),0)</f>
        <v>40</v>
      </c>
      <c r="J2217" s="5" t="str">
        <f t="shared" si="136"/>
        <v>Yes</v>
      </c>
      <c r="K2217" s="5" t="str">
        <f t="shared" si="137"/>
        <v>N0</v>
      </c>
      <c r="L2217" s="5" t="str">
        <f t="shared" si="139"/>
        <v>No</v>
      </c>
      <c r="M2217" s="5">
        <f t="shared" si="138"/>
        <v>0</v>
      </c>
    </row>
    <row r="2218" spans="1:13" x14ac:dyDescent="0.3">
      <c r="A2218" s="2" t="s">
        <v>4847</v>
      </c>
      <c r="B2218" s="2" t="s">
        <v>2367</v>
      </c>
      <c r="C2218" s="2" t="s">
        <v>2614</v>
      </c>
      <c r="D2218" s="3">
        <v>45993</v>
      </c>
      <c r="E2218" s="3">
        <v>45996</v>
      </c>
      <c r="F2218" s="3">
        <v>46007</v>
      </c>
      <c r="G2218" s="2" t="s">
        <v>2633</v>
      </c>
      <c r="H2218" s="2">
        <v>15</v>
      </c>
      <c r="I2218" s="2">
        <f>IFERROR(INDEX(Raw_Orders!H2218:H4646,MATCH(B2218,Raw_Orders!A2218:A4646,0)),0)</f>
        <v>15</v>
      </c>
      <c r="J2218" s="2" t="str">
        <f t="shared" si="136"/>
        <v>No</v>
      </c>
      <c r="K2218" s="2" t="str">
        <f t="shared" si="137"/>
        <v>Yes</v>
      </c>
      <c r="L2218" s="2" t="str">
        <f t="shared" si="139"/>
        <v>No</v>
      </c>
      <c r="M2218" s="2">
        <f t="shared" si="138"/>
        <v>0</v>
      </c>
    </row>
    <row r="2219" spans="1:13" x14ac:dyDescent="0.3">
      <c r="A2219" s="5" t="s">
        <v>4848</v>
      </c>
      <c r="B2219" s="5" t="s">
        <v>2368</v>
      </c>
      <c r="C2219" s="5" t="s">
        <v>2614</v>
      </c>
      <c r="D2219" s="6">
        <v>45994</v>
      </c>
      <c r="E2219" s="6">
        <v>46002</v>
      </c>
      <c r="F2219" s="6">
        <v>46010</v>
      </c>
      <c r="G2219" s="5" t="s">
        <v>2641</v>
      </c>
      <c r="H2219" s="5">
        <v>8</v>
      </c>
      <c r="I2219" s="5">
        <f>IFERROR(INDEX(Raw_Orders!H2219:H4647,MATCH(B2219,Raw_Orders!A2219:A4647,0)),0)</f>
        <v>8</v>
      </c>
      <c r="J2219" s="5" t="str">
        <f t="shared" si="136"/>
        <v>No</v>
      </c>
      <c r="K2219" s="5" t="str">
        <f t="shared" si="137"/>
        <v>Yes</v>
      </c>
      <c r="L2219" s="5" t="str">
        <f t="shared" si="139"/>
        <v>No</v>
      </c>
      <c r="M2219" s="5">
        <f t="shared" si="138"/>
        <v>0</v>
      </c>
    </row>
    <row r="2220" spans="1:13" x14ac:dyDescent="0.3">
      <c r="A2220" s="2" t="s">
        <v>4849</v>
      </c>
      <c r="B2220" s="2" t="s">
        <v>2369</v>
      </c>
      <c r="C2220" s="2" t="s">
        <v>2604</v>
      </c>
      <c r="D2220" s="3">
        <v>45992</v>
      </c>
      <c r="E2220" s="3">
        <v>45998</v>
      </c>
      <c r="F2220" s="3">
        <v>45996</v>
      </c>
      <c r="G2220" s="2" t="s">
        <v>2629</v>
      </c>
      <c r="H2220" s="2">
        <v>19</v>
      </c>
      <c r="I2220" s="2">
        <f>IFERROR(INDEX(Raw_Orders!H2220:H4648,MATCH(B2220,Raw_Orders!A2220:A4648,0)),0)</f>
        <v>19</v>
      </c>
      <c r="J2220" s="2" t="str">
        <f t="shared" si="136"/>
        <v>Yes</v>
      </c>
      <c r="K2220" s="2" t="str">
        <f t="shared" si="137"/>
        <v>Yes</v>
      </c>
      <c r="L2220" s="2" t="str">
        <f t="shared" si="139"/>
        <v>Yes</v>
      </c>
      <c r="M2220" s="2">
        <f t="shared" si="138"/>
        <v>1</v>
      </c>
    </row>
    <row r="2221" spans="1:13" x14ac:dyDescent="0.3">
      <c r="A2221" s="5" t="s">
        <v>4850</v>
      </c>
      <c r="B2221" s="5" t="s">
        <v>2370</v>
      </c>
      <c r="C2221" s="5" t="s">
        <v>2604</v>
      </c>
      <c r="D2221" s="6">
        <v>45992</v>
      </c>
      <c r="E2221" s="6">
        <v>45997</v>
      </c>
      <c r="F2221" s="6">
        <v>45998</v>
      </c>
      <c r="G2221" s="5" t="s">
        <v>2629</v>
      </c>
      <c r="H2221" s="5">
        <v>16</v>
      </c>
      <c r="I2221" s="5">
        <f>IFERROR(INDEX(Raw_Orders!H2221:H4649,MATCH(B2221,Raw_Orders!A2221:A4649,0)),0)</f>
        <v>16</v>
      </c>
      <c r="J2221" s="5" t="str">
        <f t="shared" si="136"/>
        <v>No</v>
      </c>
      <c r="K2221" s="5" t="str">
        <f t="shared" si="137"/>
        <v>Yes</v>
      </c>
      <c r="L2221" s="5" t="str">
        <f t="shared" si="139"/>
        <v>No</v>
      </c>
      <c r="M2221" s="5">
        <f t="shared" si="138"/>
        <v>0</v>
      </c>
    </row>
    <row r="2222" spans="1:13" x14ac:dyDescent="0.3">
      <c r="A2222" s="2" t="s">
        <v>4851</v>
      </c>
      <c r="B2222" s="2" t="s">
        <v>2371</v>
      </c>
      <c r="C2222" s="2" t="s">
        <v>2606</v>
      </c>
      <c r="D2222" s="3">
        <v>45992</v>
      </c>
      <c r="E2222" s="3">
        <v>46001</v>
      </c>
      <c r="F2222" s="3">
        <v>45997</v>
      </c>
      <c r="G2222" s="2" t="s">
        <v>2629</v>
      </c>
      <c r="H2222" s="2">
        <v>29</v>
      </c>
      <c r="I2222" s="2">
        <f>IFERROR(INDEX(Raw_Orders!H2222:H4650,MATCH(B2222,Raw_Orders!A2222:A4650,0)),0)</f>
        <v>29</v>
      </c>
      <c r="J2222" s="2" t="str">
        <f t="shared" si="136"/>
        <v>Yes</v>
      </c>
      <c r="K2222" s="2" t="str">
        <f t="shared" si="137"/>
        <v>Yes</v>
      </c>
      <c r="L2222" s="2" t="str">
        <f t="shared" si="139"/>
        <v>Yes</v>
      </c>
      <c r="M2222" s="2">
        <f t="shared" si="138"/>
        <v>1</v>
      </c>
    </row>
    <row r="2223" spans="1:13" x14ac:dyDescent="0.3">
      <c r="A2223" s="5" t="s">
        <v>4852</v>
      </c>
      <c r="B2223" s="5" t="s">
        <v>2372</v>
      </c>
      <c r="C2223" s="5" t="s">
        <v>2606</v>
      </c>
      <c r="D2223" s="6">
        <v>45992</v>
      </c>
      <c r="E2223" s="6">
        <v>45996</v>
      </c>
      <c r="F2223" s="6">
        <v>45998</v>
      </c>
      <c r="G2223" s="5" t="s">
        <v>2641</v>
      </c>
      <c r="H2223" s="5">
        <v>48</v>
      </c>
      <c r="I2223" s="5">
        <f>IFERROR(INDEX(Raw_Orders!H2223:H4651,MATCH(B2223,Raw_Orders!A2223:A4651,0)),0)</f>
        <v>48</v>
      </c>
      <c r="J2223" s="5" t="str">
        <f t="shared" si="136"/>
        <v>No</v>
      </c>
      <c r="K2223" s="5" t="str">
        <f t="shared" si="137"/>
        <v>Yes</v>
      </c>
      <c r="L2223" s="5" t="str">
        <f t="shared" si="139"/>
        <v>No</v>
      </c>
      <c r="M2223" s="5">
        <f t="shared" si="138"/>
        <v>0</v>
      </c>
    </row>
    <row r="2224" spans="1:13" x14ac:dyDescent="0.3">
      <c r="A2224" s="2" t="s">
        <v>4853</v>
      </c>
      <c r="B2224" s="2" t="s">
        <v>2373</v>
      </c>
      <c r="C2224" s="2" t="s">
        <v>2606</v>
      </c>
      <c r="D2224" s="3">
        <v>45994</v>
      </c>
      <c r="E2224" s="3">
        <v>45995</v>
      </c>
      <c r="F2224" s="3">
        <v>46002</v>
      </c>
      <c r="G2224" s="2" t="s">
        <v>2627</v>
      </c>
      <c r="H2224" s="2">
        <v>11</v>
      </c>
      <c r="I2224" s="2">
        <f>IFERROR(INDEX(Raw_Orders!H2224:H4652,MATCH(B2224,Raw_Orders!A2224:A4652,0)),0)</f>
        <v>11</v>
      </c>
      <c r="J2224" s="2" t="str">
        <f t="shared" si="136"/>
        <v>No</v>
      </c>
      <c r="K2224" s="2" t="str">
        <f t="shared" si="137"/>
        <v>Yes</v>
      </c>
      <c r="L2224" s="2" t="str">
        <f t="shared" si="139"/>
        <v>No</v>
      </c>
      <c r="M2224" s="2">
        <f t="shared" si="138"/>
        <v>0</v>
      </c>
    </row>
    <row r="2225" spans="1:13" x14ac:dyDescent="0.3">
      <c r="A2225" s="5" t="s">
        <v>4854</v>
      </c>
      <c r="B2225" s="5" t="s">
        <v>2374</v>
      </c>
      <c r="C2225" s="5" t="s">
        <v>2608</v>
      </c>
      <c r="D2225" s="6">
        <v>45993</v>
      </c>
      <c r="E2225" s="6">
        <v>45997</v>
      </c>
      <c r="F2225" s="6">
        <v>46006</v>
      </c>
      <c r="G2225" s="5" t="s">
        <v>2627</v>
      </c>
      <c r="H2225" s="5">
        <v>39</v>
      </c>
      <c r="I2225" s="5">
        <f>IFERROR(INDEX(Raw_Orders!H2225:H4653,MATCH(B2225,Raw_Orders!A2225:A4653,0)),0)</f>
        <v>39</v>
      </c>
      <c r="J2225" s="5" t="str">
        <f t="shared" si="136"/>
        <v>No</v>
      </c>
      <c r="K2225" s="5" t="str">
        <f t="shared" si="137"/>
        <v>Yes</v>
      </c>
      <c r="L2225" s="5" t="str">
        <f t="shared" si="139"/>
        <v>No</v>
      </c>
      <c r="M2225" s="5">
        <f t="shared" si="138"/>
        <v>0</v>
      </c>
    </row>
    <row r="2226" spans="1:13" x14ac:dyDescent="0.3">
      <c r="A2226" s="2" t="s">
        <v>4855</v>
      </c>
      <c r="B2226" s="2" t="s">
        <v>2375</v>
      </c>
      <c r="C2226" s="2" t="s">
        <v>2608</v>
      </c>
      <c r="D2226" s="3">
        <v>45994</v>
      </c>
      <c r="E2226" s="3">
        <v>45997</v>
      </c>
      <c r="F2226" s="3">
        <v>46011</v>
      </c>
      <c r="G2226" s="2" t="s">
        <v>2633</v>
      </c>
      <c r="H2226" s="2">
        <v>6</v>
      </c>
      <c r="I2226" s="2">
        <f>IFERROR(INDEX(Raw_Orders!H2226:H4654,MATCH(B2226,Raw_Orders!A2226:A4654,0)),0)</f>
        <v>6</v>
      </c>
      <c r="J2226" s="2" t="str">
        <f t="shared" si="136"/>
        <v>No</v>
      </c>
      <c r="K2226" s="2" t="str">
        <f t="shared" si="137"/>
        <v>Yes</v>
      </c>
      <c r="L2226" s="2" t="str">
        <f t="shared" si="139"/>
        <v>No</v>
      </c>
      <c r="M2226" s="2">
        <f t="shared" si="138"/>
        <v>0</v>
      </c>
    </row>
    <row r="2227" spans="1:13" x14ac:dyDescent="0.3">
      <c r="A2227" s="5" t="s">
        <v>4856</v>
      </c>
      <c r="B2227" s="5" t="s">
        <v>2376</v>
      </c>
      <c r="C2227" s="5" t="s">
        <v>2611</v>
      </c>
      <c r="D2227" s="6">
        <v>45994</v>
      </c>
      <c r="E2227" s="6">
        <v>45998</v>
      </c>
      <c r="F2227" s="6">
        <v>46001</v>
      </c>
      <c r="G2227" s="5" t="s">
        <v>2631</v>
      </c>
      <c r="H2227" s="5">
        <v>57</v>
      </c>
      <c r="I2227" s="5">
        <f>IFERROR(INDEX(Raw_Orders!H2227:H4655,MATCH(B2227,Raw_Orders!A2227:A4655,0)),0)</f>
        <v>57</v>
      </c>
      <c r="J2227" s="5" t="str">
        <f t="shared" si="136"/>
        <v>No</v>
      </c>
      <c r="K2227" s="5" t="str">
        <f t="shared" si="137"/>
        <v>Yes</v>
      </c>
      <c r="L2227" s="5" t="str">
        <f t="shared" si="139"/>
        <v>No</v>
      </c>
      <c r="M2227" s="5">
        <f t="shared" si="138"/>
        <v>0</v>
      </c>
    </row>
    <row r="2228" spans="1:13" x14ac:dyDescent="0.3">
      <c r="A2228" s="2" t="s">
        <v>4857</v>
      </c>
      <c r="B2228" s="2" t="s">
        <v>2377</v>
      </c>
      <c r="C2228" s="2" t="s">
        <v>2616</v>
      </c>
      <c r="D2228" s="3">
        <v>45994</v>
      </c>
      <c r="E2228" s="3">
        <v>45996</v>
      </c>
      <c r="F2228" s="3">
        <v>46011</v>
      </c>
      <c r="G2228" s="2" t="s">
        <v>2629</v>
      </c>
      <c r="H2228" s="2">
        <v>55</v>
      </c>
      <c r="I2228" s="2">
        <f>IFERROR(INDEX(Raw_Orders!H2228:H4656,MATCH(B2228,Raw_Orders!A2228:A4656,0)),0)</f>
        <v>55</v>
      </c>
      <c r="J2228" s="2" t="str">
        <f t="shared" si="136"/>
        <v>No</v>
      </c>
      <c r="K2228" s="2" t="str">
        <f t="shared" si="137"/>
        <v>Yes</v>
      </c>
      <c r="L2228" s="2" t="str">
        <f t="shared" si="139"/>
        <v>No</v>
      </c>
      <c r="M2228" s="2">
        <f t="shared" si="138"/>
        <v>0</v>
      </c>
    </row>
    <row r="2229" spans="1:13" x14ac:dyDescent="0.3">
      <c r="A2229" s="5" t="s">
        <v>4858</v>
      </c>
      <c r="B2229" s="5" t="s">
        <v>2378</v>
      </c>
      <c r="C2229" s="5" t="s">
        <v>2616</v>
      </c>
      <c r="D2229" s="6">
        <v>45993</v>
      </c>
      <c r="E2229" s="6">
        <v>46002</v>
      </c>
      <c r="F2229" s="6">
        <v>46010</v>
      </c>
      <c r="G2229" s="5" t="s">
        <v>2629</v>
      </c>
      <c r="H2229" s="5">
        <v>28</v>
      </c>
      <c r="I2229" s="5">
        <f>IFERROR(INDEX(Raw_Orders!H2229:H4657,MATCH(B2229,Raw_Orders!A2229:A4657,0)),0)</f>
        <v>28</v>
      </c>
      <c r="J2229" s="5" t="str">
        <f t="shared" si="136"/>
        <v>No</v>
      </c>
      <c r="K2229" s="5" t="str">
        <f t="shared" si="137"/>
        <v>Yes</v>
      </c>
      <c r="L2229" s="5" t="str">
        <f t="shared" si="139"/>
        <v>No</v>
      </c>
      <c r="M2229" s="5">
        <f t="shared" si="138"/>
        <v>0</v>
      </c>
    </row>
    <row r="2230" spans="1:13" x14ac:dyDescent="0.3">
      <c r="A2230" s="2" t="s">
        <v>4859</v>
      </c>
      <c r="B2230" s="2" t="s">
        <v>2379</v>
      </c>
      <c r="C2230" s="2" t="s">
        <v>2606</v>
      </c>
      <c r="D2230" s="3">
        <v>45994</v>
      </c>
      <c r="E2230" s="3">
        <v>46002</v>
      </c>
      <c r="F2230" s="3">
        <v>46002</v>
      </c>
      <c r="G2230" s="2" t="s">
        <v>2627</v>
      </c>
      <c r="H2230" s="2">
        <v>35</v>
      </c>
      <c r="I2230" s="2">
        <f>IFERROR(INDEX(Raw_Orders!H2230:H4658,MATCH(B2230,Raw_Orders!A2230:A4658,0)),0)</f>
        <v>35</v>
      </c>
      <c r="J2230" s="2" t="str">
        <f t="shared" si="136"/>
        <v>Yes</v>
      </c>
      <c r="K2230" s="2" t="str">
        <f t="shared" si="137"/>
        <v>Yes</v>
      </c>
      <c r="L2230" s="2" t="str">
        <f t="shared" si="139"/>
        <v>Yes</v>
      </c>
      <c r="M2230" s="2">
        <f t="shared" si="138"/>
        <v>1</v>
      </c>
    </row>
    <row r="2231" spans="1:13" x14ac:dyDescent="0.3">
      <c r="A2231" s="5" t="s">
        <v>4860</v>
      </c>
      <c r="B2231" s="5" t="s">
        <v>2380</v>
      </c>
      <c r="C2231" s="5" t="s">
        <v>2606</v>
      </c>
      <c r="D2231" s="6">
        <v>45994</v>
      </c>
      <c r="E2231" s="6">
        <v>46001</v>
      </c>
      <c r="F2231" s="6">
        <v>46000</v>
      </c>
      <c r="G2231" s="5" t="s">
        <v>2627</v>
      </c>
      <c r="H2231" s="5">
        <v>34</v>
      </c>
      <c r="I2231" s="5">
        <f>IFERROR(INDEX(Raw_Orders!H2231:H4659,MATCH(B2231,Raw_Orders!A2231:A4659,0)),0)</f>
        <v>34</v>
      </c>
      <c r="J2231" s="5" t="str">
        <f t="shared" si="136"/>
        <v>Yes</v>
      </c>
      <c r="K2231" s="5" t="str">
        <f t="shared" si="137"/>
        <v>Yes</v>
      </c>
      <c r="L2231" s="5" t="str">
        <f t="shared" si="139"/>
        <v>Yes</v>
      </c>
      <c r="M2231" s="5">
        <f t="shared" si="138"/>
        <v>1</v>
      </c>
    </row>
    <row r="2232" spans="1:13" x14ac:dyDescent="0.3">
      <c r="A2232" s="2" t="s">
        <v>4861</v>
      </c>
      <c r="B2232" s="2" t="s">
        <v>2381</v>
      </c>
      <c r="C2232" s="2" t="s">
        <v>2608</v>
      </c>
      <c r="D2232" s="3">
        <v>45995</v>
      </c>
      <c r="E2232" s="3">
        <v>45996</v>
      </c>
      <c r="F2232" s="3">
        <v>46008</v>
      </c>
      <c r="G2232" s="2" t="s">
        <v>2631</v>
      </c>
      <c r="H2232" s="2">
        <v>9</v>
      </c>
      <c r="I2232" s="2">
        <f>IFERROR(INDEX(Raw_Orders!H2232:H4660,MATCH(B2232,Raw_Orders!A2232:A4660,0)),0)</f>
        <v>9</v>
      </c>
      <c r="J2232" s="2" t="str">
        <f t="shared" si="136"/>
        <v>No</v>
      </c>
      <c r="K2232" s="2" t="str">
        <f t="shared" si="137"/>
        <v>Yes</v>
      </c>
      <c r="L2232" s="2" t="str">
        <f t="shared" si="139"/>
        <v>No</v>
      </c>
      <c r="M2232" s="2">
        <f t="shared" si="138"/>
        <v>0</v>
      </c>
    </row>
    <row r="2233" spans="1:13" x14ac:dyDescent="0.3">
      <c r="A2233" s="5" t="s">
        <v>4862</v>
      </c>
      <c r="B2233" s="5" t="s">
        <v>2382</v>
      </c>
      <c r="C2233" s="5" t="s">
        <v>2611</v>
      </c>
      <c r="D2233" s="6">
        <v>45995</v>
      </c>
      <c r="E2233" s="6">
        <v>46002</v>
      </c>
      <c r="F2233" s="6">
        <v>46006</v>
      </c>
      <c r="G2233" s="5" t="s">
        <v>2627</v>
      </c>
      <c r="H2233" s="5">
        <v>19</v>
      </c>
      <c r="I2233" s="5">
        <f>IFERROR(INDEX(Raw_Orders!H2233:H4661,MATCH(B2233,Raw_Orders!A2233:A4661,0)),0)</f>
        <v>19</v>
      </c>
      <c r="J2233" s="5" t="str">
        <f t="shared" si="136"/>
        <v>No</v>
      </c>
      <c r="K2233" s="5" t="str">
        <f t="shared" si="137"/>
        <v>Yes</v>
      </c>
      <c r="L2233" s="5" t="str">
        <f t="shared" si="139"/>
        <v>No</v>
      </c>
      <c r="M2233" s="5">
        <f t="shared" si="138"/>
        <v>0</v>
      </c>
    </row>
    <row r="2234" spans="1:13" x14ac:dyDescent="0.3">
      <c r="A2234" s="2" t="s">
        <v>4863</v>
      </c>
      <c r="B2234" s="2" t="s">
        <v>2383</v>
      </c>
      <c r="C2234" s="2" t="s">
        <v>2604</v>
      </c>
      <c r="D2234" s="3">
        <v>45995</v>
      </c>
      <c r="E2234" s="3">
        <v>46001</v>
      </c>
      <c r="F2234" s="3">
        <v>46000</v>
      </c>
      <c r="G2234" s="2" t="s">
        <v>2641</v>
      </c>
      <c r="H2234" s="2">
        <v>21</v>
      </c>
      <c r="I2234" s="2">
        <f>IFERROR(INDEX(Raw_Orders!H2234:H4662,MATCH(B2234,Raw_Orders!A2234:A4662,0)),0)</f>
        <v>21</v>
      </c>
      <c r="J2234" s="2" t="str">
        <f t="shared" si="136"/>
        <v>Yes</v>
      </c>
      <c r="K2234" s="2" t="str">
        <f t="shared" si="137"/>
        <v>Yes</v>
      </c>
      <c r="L2234" s="2" t="str">
        <f t="shared" si="139"/>
        <v>Yes</v>
      </c>
      <c r="M2234" s="2">
        <f t="shared" si="138"/>
        <v>1</v>
      </c>
    </row>
    <row r="2235" spans="1:13" x14ac:dyDescent="0.3">
      <c r="A2235" s="5" t="s">
        <v>4864</v>
      </c>
      <c r="B2235" s="5" t="s">
        <v>2384</v>
      </c>
      <c r="C2235" s="5" t="s">
        <v>2616</v>
      </c>
      <c r="D2235" s="6">
        <v>45996</v>
      </c>
      <c r="E2235" s="6">
        <v>45997</v>
      </c>
      <c r="F2235" s="6">
        <v>46012</v>
      </c>
      <c r="G2235" s="5" t="s">
        <v>2641</v>
      </c>
      <c r="H2235" s="5">
        <v>53</v>
      </c>
      <c r="I2235" s="5">
        <f>IFERROR(INDEX(Raw_Orders!H2235:H4663,MATCH(B2235,Raw_Orders!A2235:A4663,0)),0)</f>
        <v>53</v>
      </c>
      <c r="J2235" s="5" t="str">
        <f t="shared" si="136"/>
        <v>No</v>
      </c>
      <c r="K2235" s="5" t="str">
        <f t="shared" si="137"/>
        <v>Yes</v>
      </c>
      <c r="L2235" s="5" t="str">
        <f t="shared" si="139"/>
        <v>No</v>
      </c>
      <c r="M2235" s="5">
        <f t="shared" si="138"/>
        <v>0</v>
      </c>
    </row>
    <row r="2236" spans="1:13" x14ac:dyDescent="0.3">
      <c r="A2236" s="2" t="s">
        <v>4865</v>
      </c>
      <c r="B2236" s="2" t="s">
        <v>2385</v>
      </c>
      <c r="C2236" s="2" t="s">
        <v>2616</v>
      </c>
      <c r="D2236" s="3">
        <v>45995</v>
      </c>
      <c r="E2236" s="3">
        <v>45997</v>
      </c>
      <c r="F2236" s="3">
        <v>46010</v>
      </c>
      <c r="G2236" s="2" t="s">
        <v>2629</v>
      </c>
      <c r="H2236" s="2">
        <v>18</v>
      </c>
      <c r="I2236" s="2">
        <f>IFERROR(INDEX(Raw_Orders!H2236:H4664,MATCH(B2236,Raw_Orders!A2236:A4664,0)),0)</f>
        <v>18</v>
      </c>
      <c r="J2236" s="2" t="str">
        <f t="shared" si="136"/>
        <v>No</v>
      </c>
      <c r="K2236" s="2" t="str">
        <f t="shared" si="137"/>
        <v>Yes</v>
      </c>
      <c r="L2236" s="2" t="str">
        <f t="shared" si="139"/>
        <v>No</v>
      </c>
      <c r="M2236" s="2">
        <f t="shared" si="138"/>
        <v>0</v>
      </c>
    </row>
    <row r="2237" spans="1:13" x14ac:dyDescent="0.3">
      <c r="A2237" s="5" t="s">
        <v>4866</v>
      </c>
      <c r="B2237" s="5" t="s">
        <v>2386</v>
      </c>
      <c r="C2237" s="5" t="s">
        <v>2606</v>
      </c>
      <c r="D2237" s="6">
        <v>45996</v>
      </c>
      <c r="E2237" s="6">
        <v>46000</v>
      </c>
      <c r="F2237" s="6">
        <v>46002</v>
      </c>
      <c r="G2237" s="5" t="s">
        <v>2633</v>
      </c>
      <c r="H2237" s="5">
        <v>28</v>
      </c>
      <c r="I2237" s="5">
        <f>IFERROR(INDEX(Raw_Orders!H2237:H4665,MATCH(B2237,Raw_Orders!A2237:A4665,0)),0)</f>
        <v>28</v>
      </c>
      <c r="J2237" s="5" t="str">
        <f t="shared" si="136"/>
        <v>No</v>
      </c>
      <c r="K2237" s="5" t="str">
        <f t="shared" si="137"/>
        <v>Yes</v>
      </c>
      <c r="L2237" s="5" t="str">
        <f t="shared" si="139"/>
        <v>No</v>
      </c>
      <c r="M2237" s="5">
        <f t="shared" si="138"/>
        <v>0</v>
      </c>
    </row>
    <row r="2238" spans="1:13" x14ac:dyDescent="0.3">
      <c r="A2238" s="2" t="s">
        <v>4867</v>
      </c>
      <c r="B2238" s="2" t="s">
        <v>2387</v>
      </c>
      <c r="C2238" s="2" t="s">
        <v>2606</v>
      </c>
      <c r="D2238" s="3">
        <v>45995</v>
      </c>
      <c r="E2238" s="3">
        <v>45998</v>
      </c>
      <c r="F2238" s="3">
        <v>46001</v>
      </c>
      <c r="G2238" s="2" t="s">
        <v>2633</v>
      </c>
      <c r="H2238" s="2">
        <v>29</v>
      </c>
      <c r="I2238" s="2">
        <f>IFERROR(INDEX(Raw_Orders!H2238:H4666,MATCH(B2238,Raw_Orders!A2238:A4666,0)),0)</f>
        <v>29</v>
      </c>
      <c r="J2238" s="2" t="str">
        <f t="shared" si="136"/>
        <v>No</v>
      </c>
      <c r="K2238" s="2" t="str">
        <f t="shared" si="137"/>
        <v>Yes</v>
      </c>
      <c r="L2238" s="2" t="str">
        <f t="shared" si="139"/>
        <v>No</v>
      </c>
      <c r="M2238" s="2">
        <f t="shared" si="138"/>
        <v>0</v>
      </c>
    </row>
    <row r="2239" spans="1:13" x14ac:dyDescent="0.3">
      <c r="A2239" s="5" t="s">
        <v>4868</v>
      </c>
      <c r="B2239" s="5" t="s">
        <v>2388</v>
      </c>
      <c r="C2239" s="5" t="s">
        <v>2608</v>
      </c>
      <c r="D2239" s="6">
        <v>45994</v>
      </c>
      <c r="E2239" s="6">
        <v>45999</v>
      </c>
      <c r="F2239" s="6">
        <v>46007</v>
      </c>
      <c r="G2239" s="5" t="s">
        <v>2629</v>
      </c>
      <c r="H2239" s="5">
        <v>11</v>
      </c>
      <c r="I2239" s="5">
        <f>IFERROR(INDEX(Raw_Orders!H2239:H4667,MATCH(B2239,Raw_Orders!A2239:A4667,0)),0)</f>
        <v>11</v>
      </c>
      <c r="J2239" s="5" t="str">
        <f t="shared" si="136"/>
        <v>No</v>
      </c>
      <c r="K2239" s="5" t="str">
        <f t="shared" si="137"/>
        <v>Yes</v>
      </c>
      <c r="L2239" s="5" t="str">
        <f t="shared" si="139"/>
        <v>No</v>
      </c>
      <c r="M2239" s="5">
        <f t="shared" si="138"/>
        <v>0</v>
      </c>
    </row>
    <row r="2240" spans="1:13" x14ac:dyDescent="0.3">
      <c r="A2240" s="2" t="s">
        <v>4869</v>
      </c>
      <c r="B2240" s="2" t="s">
        <v>2389</v>
      </c>
      <c r="C2240" s="2" t="s">
        <v>2598</v>
      </c>
      <c r="D2240" s="3">
        <v>45997</v>
      </c>
      <c r="E2240" s="3">
        <v>46000</v>
      </c>
      <c r="F2240" s="3">
        <v>46014</v>
      </c>
      <c r="G2240" s="2" t="s">
        <v>2627</v>
      </c>
      <c r="H2240" s="2">
        <v>1</v>
      </c>
      <c r="I2240" s="2">
        <f>IFERROR(INDEX(Raw_Orders!H2240:H4668,MATCH(B2240,Raw_Orders!A2240:A4668,0)),0)</f>
        <v>1</v>
      </c>
      <c r="J2240" s="2" t="str">
        <f t="shared" si="136"/>
        <v>No</v>
      </c>
      <c r="K2240" s="2" t="str">
        <f t="shared" si="137"/>
        <v>Yes</v>
      </c>
      <c r="L2240" s="2" t="str">
        <f t="shared" si="139"/>
        <v>No</v>
      </c>
      <c r="M2240" s="2">
        <f t="shared" si="138"/>
        <v>0</v>
      </c>
    </row>
    <row r="2241" spans="1:13" x14ac:dyDescent="0.3">
      <c r="A2241" s="5" t="s">
        <v>4870</v>
      </c>
      <c r="B2241" s="5" t="s">
        <v>2390</v>
      </c>
      <c r="C2241" s="5" t="s">
        <v>2601</v>
      </c>
      <c r="D2241" s="6">
        <v>45997</v>
      </c>
      <c r="E2241" s="6">
        <v>46001</v>
      </c>
      <c r="F2241" s="6">
        <v>46002</v>
      </c>
      <c r="G2241" s="5" t="s">
        <v>2627</v>
      </c>
      <c r="H2241" s="5">
        <v>16</v>
      </c>
      <c r="I2241" s="5">
        <f>IFERROR(INDEX(Raw_Orders!H2241:H4669,MATCH(B2241,Raw_Orders!A2241:A4669,0)),0)</f>
        <v>16</v>
      </c>
      <c r="J2241" s="5" t="str">
        <f t="shared" si="136"/>
        <v>No</v>
      </c>
      <c r="K2241" s="5" t="str">
        <f t="shared" si="137"/>
        <v>Yes</v>
      </c>
      <c r="L2241" s="5" t="str">
        <f t="shared" si="139"/>
        <v>No</v>
      </c>
      <c r="M2241" s="5">
        <f t="shared" si="138"/>
        <v>0</v>
      </c>
    </row>
    <row r="2242" spans="1:13" x14ac:dyDescent="0.3">
      <c r="A2242" s="2" t="s">
        <v>4871</v>
      </c>
      <c r="B2242" s="2" t="s">
        <v>2391</v>
      </c>
      <c r="C2242" s="2" t="s">
        <v>2601</v>
      </c>
      <c r="D2242" s="3">
        <v>45996</v>
      </c>
      <c r="E2242" s="3">
        <v>46004</v>
      </c>
      <c r="F2242" s="3">
        <v>46000</v>
      </c>
      <c r="G2242" s="2" t="s">
        <v>2627</v>
      </c>
      <c r="H2242" s="2">
        <v>12</v>
      </c>
      <c r="I2242" s="2">
        <f>IFERROR(INDEX(Raw_Orders!H2242:H4670,MATCH(B2242,Raw_Orders!A2242:A4670,0)),0)</f>
        <v>12</v>
      </c>
      <c r="J2242" s="2" t="str">
        <f t="shared" si="136"/>
        <v>Yes</v>
      </c>
      <c r="K2242" s="2" t="str">
        <f t="shared" si="137"/>
        <v>Yes</v>
      </c>
      <c r="L2242" s="2" t="str">
        <f t="shared" si="139"/>
        <v>Yes</v>
      </c>
      <c r="M2242" s="2">
        <f t="shared" si="138"/>
        <v>1</v>
      </c>
    </row>
    <row r="2243" spans="1:13" x14ac:dyDescent="0.3">
      <c r="A2243" s="5" t="s">
        <v>4872</v>
      </c>
      <c r="B2243" s="5" t="s">
        <v>2392</v>
      </c>
      <c r="C2243" s="5" t="s">
        <v>2616</v>
      </c>
      <c r="D2243" s="6">
        <v>45995</v>
      </c>
      <c r="E2243" s="6">
        <v>46001</v>
      </c>
      <c r="F2243" s="6">
        <v>46010</v>
      </c>
      <c r="G2243" s="5" t="s">
        <v>2633</v>
      </c>
      <c r="H2243" s="5">
        <v>65</v>
      </c>
      <c r="I2243" s="5">
        <f>IFERROR(INDEX(Raw_Orders!H2243:H4671,MATCH(B2243,Raw_Orders!A2243:A4671,0)),0)</f>
        <v>65</v>
      </c>
      <c r="J2243" s="5" t="str">
        <f t="shared" ref="J2243:J2306" si="140">IF(E2243&gt;=F2243,"Yes","No")</f>
        <v>No</v>
      </c>
      <c r="K2243" s="5" t="str">
        <f t="shared" ref="K2243:K2306" si="141">IF(H2243&gt;=I2243,"Yes","N0")</f>
        <v>Yes</v>
      </c>
      <c r="L2243" s="5" t="str">
        <f t="shared" si="139"/>
        <v>No</v>
      </c>
      <c r="M2243" s="5">
        <f t="shared" ref="M2243:M2306" si="142">IF(L2243="Yes",1,0)</f>
        <v>0</v>
      </c>
    </row>
    <row r="2244" spans="1:13" x14ac:dyDescent="0.3">
      <c r="A2244" s="2" t="s">
        <v>4873</v>
      </c>
      <c r="B2244" s="2" t="s">
        <v>2393</v>
      </c>
      <c r="C2244" s="2" t="s">
        <v>2606</v>
      </c>
      <c r="D2244" s="3">
        <v>45997</v>
      </c>
      <c r="E2244" s="3">
        <v>46001</v>
      </c>
      <c r="F2244" s="3">
        <v>46003</v>
      </c>
      <c r="G2244" s="2" t="s">
        <v>2641</v>
      </c>
      <c r="H2244" s="2">
        <v>44</v>
      </c>
      <c r="I2244" s="2">
        <f>IFERROR(INDEX(Raw_Orders!H2244:H4672,MATCH(B2244,Raw_Orders!A2244:A4672,0)),0)</f>
        <v>44</v>
      </c>
      <c r="J2244" s="2" t="str">
        <f t="shared" si="140"/>
        <v>No</v>
      </c>
      <c r="K2244" s="2" t="str">
        <f t="shared" si="141"/>
        <v>Yes</v>
      </c>
      <c r="L2244" s="2" t="str">
        <f t="shared" ref="L2244:L2307" si="143">IF(AND(J2244="Yes",K2244="Yes"),"Yes","No")</f>
        <v>No</v>
      </c>
      <c r="M2244" s="2">
        <f t="shared" si="142"/>
        <v>0</v>
      </c>
    </row>
    <row r="2245" spans="1:13" x14ac:dyDescent="0.3">
      <c r="A2245" s="5" t="s">
        <v>4874</v>
      </c>
      <c r="B2245" s="5" t="s">
        <v>2394</v>
      </c>
      <c r="C2245" s="5" t="s">
        <v>2608</v>
      </c>
      <c r="D2245" s="6">
        <v>45995</v>
      </c>
      <c r="E2245" s="6">
        <v>45998</v>
      </c>
      <c r="F2245" s="6">
        <v>46008</v>
      </c>
      <c r="G2245" s="5" t="s">
        <v>2641</v>
      </c>
      <c r="H2245" s="5">
        <v>5</v>
      </c>
      <c r="I2245" s="5">
        <f>IFERROR(INDEX(Raw_Orders!H2245:H4673,MATCH(B2245,Raw_Orders!A2245:A4673,0)),0)</f>
        <v>5</v>
      </c>
      <c r="J2245" s="5" t="str">
        <f t="shared" si="140"/>
        <v>No</v>
      </c>
      <c r="K2245" s="5" t="str">
        <f t="shared" si="141"/>
        <v>Yes</v>
      </c>
      <c r="L2245" s="5" t="str">
        <f t="shared" si="143"/>
        <v>No</v>
      </c>
      <c r="M2245" s="5">
        <f t="shared" si="142"/>
        <v>0</v>
      </c>
    </row>
    <row r="2246" spans="1:13" x14ac:dyDescent="0.3">
      <c r="A2246" s="2" t="s">
        <v>4875</v>
      </c>
      <c r="B2246" s="2" t="s">
        <v>2395</v>
      </c>
      <c r="C2246" s="2" t="s">
        <v>2601</v>
      </c>
      <c r="D2246" s="3">
        <v>45998</v>
      </c>
      <c r="E2246" s="3">
        <v>46004</v>
      </c>
      <c r="F2246" s="3">
        <v>46002</v>
      </c>
      <c r="G2246" s="2" t="s">
        <v>2629</v>
      </c>
      <c r="H2246" s="2">
        <v>16</v>
      </c>
      <c r="I2246" s="2">
        <f>IFERROR(INDEX(Raw_Orders!H2246:H4674,MATCH(B2246,Raw_Orders!A2246:A4674,0)),0)</f>
        <v>16</v>
      </c>
      <c r="J2246" s="2" t="str">
        <f t="shared" si="140"/>
        <v>Yes</v>
      </c>
      <c r="K2246" s="2" t="str">
        <f t="shared" si="141"/>
        <v>Yes</v>
      </c>
      <c r="L2246" s="2" t="str">
        <f t="shared" si="143"/>
        <v>Yes</v>
      </c>
      <c r="M2246" s="2">
        <f t="shared" si="142"/>
        <v>1</v>
      </c>
    </row>
    <row r="2247" spans="1:13" x14ac:dyDescent="0.3">
      <c r="A2247" s="5" t="s">
        <v>4876</v>
      </c>
      <c r="B2247" s="5" t="s">
        <v>2396</v>
      </c>
      <c r="C2247" s="5" t="s">
        <v>2598</v>
      </c>
      <c r="D2247" s="6">
        <v>45999</v>
      </c>
      <c r="E2247" s="6">
        <v>46005</v>
      </c>
      <c r="F2247" s="6">
        <v>46012</v>
      </c>
      <c r="G2247" s="5" t="s">
        <v>2631</v>
      </c>
      <c r="H2247" s="5">
        <v>53</v>
      </c>
      <c r="I2247" s="5">
        <f>IFERROR(INDEX(Raw_Orders!H2247:H4675,MATCH(B2247,Raw_Orders!A2247:A4675,0)),0)</f>
        <v>53</v>
      </c>
      <c r="J2247" s="5" t="str">
        <f t="shared" si="140"/>
        <v>No</v>
      </c>
      <c r="K2247" s="5" t="str">
        <f t="shared" si="141"/>
        <v>Yes</v>
      </c>
      <c r="L2247" s="5" t="str">
        <f t="shared" si="143"/>
        <v>No</v>
      </c>
      <c r="M2247" s="5">
        <f t="shared" si="142"/>
        <v>0</v>
      </c>
    </row>
    <row r="2248" spans="1:13" x14ac:dyDescent="0.3">
      <c r="A2248" s="2" t="s">
        <v>4877</v>
      </c>
      <c r="B2248" s="2" t="s">
        <v>2397</v>
      </c>
      <c r="C2248" s="2" t="s">
        <v>2614</v>
      </c>
      <c r="D2248" s="3">
        <v>45998</v>
      </c>
      <c r="E2248" s="3">
        <v>46004</v>
      </c>
      <c r="F2248" s="3">
        <v>46014</v>
      </c>
      <c r="G2248" s="2" t="s">
        <v>2627</v>
      </c>
      <c r="H2248" s="2">
        <v>15</v>
      </c>
      <c r="I2248" s="2">
        <f>IFERROR(INDEX(Raw_Orders!H2248:H4676,MATCH(B2248,Raw_Orders!A2248:A4676,0)),0)</f>
        <v>15</v>
      </c>
      <c r="J2248" s="2" t="str">
        <f t="shared" si="140"/>
        <v>No</v>
      </c>
      <c r="K2248" s="2" t="str">
        <f t="shared" si="141"/>
        <v>Yes</v>
      </c>
      <c r="L2248" s="2" t="str">
        <f t="shared" si="143"/>
        <v>No</v>
      </c>
      <c r="M2248" s="2">
        <f t="shared" si="142"/>
        <v>0</v>
      </c>
    </row>
    <row r="2249" spans="1:13" x14ac:dyDescent="0.3">
      <c r="A2249" s="5" t="s">
        <v>4878</v>
      </c>
      <c r="B2249" s="5" t="s">
        <v>2398</v>
      </c>
      <c r="C2249" s="5" t="s">
        <v>2601</v>
      </c>
      <c r="D2249" s="6">
        <v>45997</v>
      </c>
      <c r="E2249" s="6">
        <v>46005</v>
      </c>
      <c r="F2249" s="6">
        <v>46003</v>
      </c>
      <c r="G2249" s="5" t="s">
        <v>2633</v>
      </c>
      <c r="H2249" s="5">
        <v>7</v>
      </c>
      <c r="I2249" s="5">
        <f>IFERROR(INDEX(Raw_Orders!H2249:H4677,MATCH(B2249,Raw_Orders!A2249:A4677,0)),0)</f>
        <v>7</v>
      </c>
      <c r="J2249" s="5" t="str">
        <f t="shared" si="140"/>
        <v>Yes</v>
      </c>
      <c r="K2249" s="5" t="str">
        <f t="shared" si="141"/>
        <v>Yes</v>
      </c>
      <c r="L2249" s="5" t="str">
        <f t="shared" si="143"/>
        <v>Yes</v>
      </c>
      <c r="M2249" s="5">
        <f t="shared" si="142"/>
        <v>1</v>
      </c>
    </row>
    <row r="2250" spans="1:13" x14ac:dyDescent="0.3">
      <c r="A2250" s="2" t="s">
        <v>4879</v>
      </c>
      <c r="B2250" s="2" t="s">
        <v>2399</v>
      </c>
      <c r="C2250" s="2" t="s">
        <v>2616</v>
      </c>
      <c r="D2250" s="3">
        <v>45997</v>
      </c>
      <c r="E2250" s="3">
        <v>46006</v>
      </c>
      <c r="F2250" s="3">
        <v>46012</v>
      </c>
      <c r="G2250" s="2" t="s">
        <v>2627</v>
      </c>
      <c r="H2250" s="2">
        <v>13</v>
      </c>
      <c r="I2250" s="2">
        <f>IFERROR(INDEX(Raw_Orders!H2250:H4678,MATCH(B2250,Raw_Orders!A2250:A4678,0)),0)</f>
        <v>13</v>
      </c>
      <c r="J2250" s="2" t="str">
        <f t="shared" si="140"/>
        <v>No</v>
      </c>
      <c r="K2250" s="2" t="str">
        <f t="shared" si="141"/>
        <v>Yes</v>
      </c>
      <c r="L2250" s="2" t="str">
        <f t="shared" si="143"/>
        <v>No</v>
      </c>
      <c r="M2250" s="2">
        <f t="shared" si="142"/>
        <v>0</v>
      </c>
    </row>
    <row r="2251" spans="1:13" x14ac:dyDescent="0.3">
      <c r="A2251" s="5" t="s">
        <v>4880</v>
      </c>
      <c r="B2251" s="5" t="s">
        <v>2400</v>
      </c>
      <c r="C2251" s="5" t="s">
        <v>2606</v>
      </c>
      <c r="D2251" s="6">
        <v>45998</v>
      </c>
      <c r="E2251" s="6">
        <v>46002</v>
      </c>
      <c r="F2251" s="6">
        <v>46003</v>
      </c>
      <c r="G2251" s="5" t="s">
        <v>2633</v>
      </c>
      <c r="H2251" s="5">
        <v>76</v>
      </c>
      <c r="I2251" s="5">
        <f>IFERROR(INDEX(Raw_Orders!H2251:H4679,MATCH(B2251,Raw_Orders!A2251:A4679,0)),0)</f>
        <v>76</v>
      </c>
      <c r="J2251" s="5" t="str">
        <f t="shared" si="140"/>
        <v>No</v>
      </c>
      <c r="K2251" s="5" t="str">
        <f t="shared" si="141"/>
        <v>Yes</v>
      </c>
      <c r="L2251" s="5" t="str">
        <f t="shared" si="143"/>
        <v>No</v>
      </c>
      <c r="M2251" s="5">
        <f t="shared" si="142"/>
        <v>0</v>
      </c>
    </row>
    <row r="2252" spans="1:13" x14ac:dyDescent="0.3">
      <c r="A2252" s="2" t="s">
        <v>4881</v>
      </c>
      <c r="B2252" s="2" t="s">
        <v>2401</v>
      </c>
      <c r="C2252" s="2" t="s">
        <v>2606</v>
      </c>
      <c r="D2252" s="3">
        <v>45998</v>
      </c>
      <c r="E2252" s="3">
        <v>46005</v>
      </c>
      <c r="F2252" s="3">
        <v>46003</v>
      </c>
      <c r="G2252" s="2" t="s">
        <v>2631</v>
      </c>
      <c r="H2252" s="2">
        <v>38</v>
      </c>
      <c r="I2252" s="2">
        <f>IFERROR(INDEX(Raw_Orders!H2252:H4680,MATCH(B2252,Raw_Orders!A2252:A4680,0)),0)</f>
        <v>38</v>
      </c>
      <c r="J2252" s="2" t="str">
        <f t="shared" si="140"/>
        <v>Yes</v>
      </c>
      <c r="K2252" s="2" t="str">
        <f t="shared" si="141"/>
        <v>Yes</v>
      </c>
      <c r="L2252" s="2" t="str">
        <f t="shared" si="143"/>
        <v>Yes</v>
      </c>
      <c r="M2252" s="2">
        <f t="shared" si="142"/>
        <v>1</v>
      </c>
    </row>
    <row r="2253" spans="1:13" x14ac:dyDescent="0.3">
      <c r="A2253" s="5" t="s">
        <v>4882</v>
      </c>
      <c r="B2253" s="5" t="s">
        <v>2402</v>
      </c>
      <c r="C2253" s="5" t="s">
        <v>2608</v>
      </c>
      <c r="D2253" s="6">
        <v>45998</v>
      </c>
      <c r="E2253" s="6">
        <v>46004</v>
      </c>
      <c r="F2253" s="6">
        <v>46011</v>
      </c>
      <c r="G2253" s="5" t="s">
        <v>2633</v>
      </c>
      <c r="H2253" s="5">
        <v>16</v>
      </c>
      <c r="I2253" s="5">
        <f>IFERROR(INDEX(Raw_Orders!H2253:H4681,MATCH(B2253,Raw_Orders!A2253:A4681,0)),0)</f>
        <v>16</v>
      </c>
      <c r="J2253" s="5" t="str">
        <f t="shared" si="140"/>
        <v>No</v>
      </c>
      <c r="K2253" s="5" t="str">
        <f t="shared" si="141"/>
        <v>Yes</v>
      </c>
      <c r="L2253" s="5" t="str">
        <f t="shared" si="143"/>
        <v>No</v>
      </c>
      <c r="M2253" s="5">
        <f t="shared" si="142"/>
        <v>0</v>
      </c>
    </row>
    <row r="2254" spans="1:13" x14ac:dyDescent="0.3">
      <c r="A2254" s="2" t="s">
        <v>4883</v>
      </c>
      <c r="B2254" s="2" t="s">
        <v>2403</v>
      </c>
      <c r="C2254" s="2" t="s">
        <v>2608</v>
      </c>
      <c r="D2254" s="3">
        <v>45998</v>
      </c>
      <c r="E2254" s="3">
        <v>46002</v>
      </c>
      <c r="F2254" s="3">
        <v>46012</v>
      </c>
      <c r="G2254" s="2" t="s">
        <v>2641</v>
      </c>
      <c r="H2254" s="2">
        <v>9</v>
      </c>
      <c r="I2254" s="2">
        <f>IFERROR(INDEX(Raw_Orders!H2254:H4682,MATCH(B2254,Raw_Orders!A2254:A4682,0)),0)</f>
        <v>9</v>
      </c>
      <c r="J2254" s="2" t="str">
        <f t="shared" si="140"/>
        <v>No</v>
      </c>
      <c r="K2254" s="2" t="str">
        <f t="shared" si="141"/>
        <v>Yes</v>
      </c>
      <c r="L2254" s="2" t="str">
        <f t="shared" si="143"/>
        <v>No</v>
      </c>
      <c r="M2254" s="2">
        <f t="shared" si="142"/>
        <v>0</v>
      </c>
    </row>
    <row r="2255" spans="1:13" x14ac:dyDescent="0.3">
      <c r="A2255" s="5" t="s">
        <v>4884</v>
      </c>
      <c r="B2255" s="5" t="s">
        <v>2404</v>
      </c>
      <c r="C2255" s="5" t="s">
        <v>2608</v>
      </c>
      <c r="D2255" s="6">
        <v>45998</v>
      </c>
      <c r="E2255" s="6">
        <v>46006</v>
      </c>
      <c r="F2255" s="6">
        <v>46012</v>
      </c>
      <c r="G2255" s="5" t="s">
        <v>2627</v>
      </c>
      <c r="H2255" s="5">
        <v>4</v>
      </c>
      <c r="I2255" s="5">
        <f>IFERROR(INDEX(Raw_Orders!H2255:H4683,MATCH(B2255,Raw_Orders!A2255:A4683,0)),0)</f>
        <v>4</v>
      </c>
      <c r="J2255" s="5" t="str">
        <f t="shared" si="140"/>
        <v>No</v>
      </c>
      <c r="K2255" s="5" t="str">
        <f t="shared" si="141"/>
        <v>Yes</v>
      </c>
      <c r="L2255" s="5" t="str">
        <f t="shared" si="143"/>
        <v>No</v>
      </c>
      <c r="M2255" s="5">
        <f t="shared" si="142"/>
        <v>0</v>
      </c>
    </row>
    <row r="2256" spans="1:13" x14ac:dyDescent="0.3">
      <c r="A2256" s="2" t="s">
        <v>4885</v>
      </c>
      <c r="B2256" s="2" t="s">
        <v>2405</v>
      </c>
      <c r="C2256" s="2" t="s">
        <v>2598</v>
      </c>
      <c r="D2256" s="3">
        <v>45998</v>
      </c>
      <c r="E2256" s="3">
        <v>46002</v>
      </c>
      <c r="F2256" s="3">
        <v>46015</v>
      </c>
      <c r="G2256" s="2" t="s">
        <v>2633</v>
      </c>
      <c r="H2256" s="2">
        <v>44</v>
      </c>
      <c r="I2256" s="2">
        <f>IFERROR(INDEX(Raw_Orders!H2256:H4684,MATCH(B2256,Raw_Orders!A2256:A4684,0)),0)</f>
        <v>44</v>
      </c>
      <c r="J2256" s="2" t="str">
        <f t="shared" si="140"/>
        <v>No</v>
      </c>
      <c r="K2256" s="2" t="str">
        <f t="shared" si="141"/>
        <v>Yes</v>
      </c>
      <c r="L2256" s="2" t="str">
        <f t="shared" si="143"/>
        <v>No</v>
      </c>
      <c r="M2256" s="2">
        <f t="shared" si="142"/>
        <v>0</v>
      </c>
    </row>
    <row r="2257" spans="1:13" x14ac:dyDescent="0.3">
      <c r="A2257" s="5" t="s">
        <v>4886</v>
      </c>
      <c r="B2257" s="5" t="s">
        <v>2406</v>
      </c>
      <c r="C2257" s="5" t="s">
        <v>2601</v>
      </c>
      <c r="D2257" s="6">
        <v>45998</v>
      </c>
      <c r="E2257" s="6">
        <v>46004</v>
      </c>
      <c r="F2257" s="6">
        <v>46003</v>
      </c>
      <c r="G2257" s="5" t="s">
        <v>2631</v>
      </c>
      <c r="H2257" s="5">
        <v>19</v>
      </c>
      <c r="I2257" s="5">
        <f>IFERROR(INDEX(Raw_Orders!H2257:H4685,MATCH(B2257,Raw_Orders!A2257:A4685,0)),0)</f>
        <v>19</v>
      </c>
      <c r="J2257" s="5" t="str">
        <f t="shared" si="140"/>
        <v>Yes</v>
      </c>
      <c r="K2257" s="5" t="str">
        <f t="shared" si="141"/>
        <v>Yes</v>
      </c>
      <c r="L2257" s="5" t="str">
        <f t="shared" si="143"/>
        <v>Yes</v>
      </c>
      <c r="M2257" s="5">
        <f t="shared" si="142"/>
        <v>1</v>
      </c>
    </row>
    <row r="2258" spans="1:13" x14ac:dyDescent="0.3">
      <c r="A2258" s="2" t="s">
        <v>4887</v>
      </c>
      <c r="B2258" s="2" t="s">
        <v>2407</v>
      </c>
      <c r="C2258" s="2" t="s">
        <v>2604</v>
      </c>
      <c r="D2258" s="3">
        <v>45999</v>
      </c>
      <c r="E2258" s="3">
        <v>46001</v>
      </c>
      <c r="F2258" s="3">
        <v>46007</v>
      </c>
      <c r="G2258" s="2" t="s">
        <v>2641</v>
      </c>
      <c r="H2258" s="2">
        <v>33</v>
      </c>
      <c r="I2258" s="2">
        <f>IFERROR(INDEX(Raw_Orders!H2258:H4686,MATCH(B2258,Raw_Orders!A2258:A4686,0)),0)</f>
        <v>39</v>
      </c>
      <c r="J2258" s="2" t="str">
        <f t="shared" si="140"/>
        <v>No</v>
      </c>
      <c r="K2258" s="2" t="str">
        <f t="shared" si="141"/>
        <v>N0</v>
      </c>
      <c r="L2258" s="2" t="str">
        <f t="shared" si="143"/>
        <v>No</v>
      </c>
      <c r="M2258" s="2">
        <f t="shared" si="142"/>
        <v>0</v>
      </c>
    </row>
    <row r="2259" spans="1:13" x14ac:dyDescent="0.3">
      <c r="A2259" s="5" t="s">
        <v>4888</v>
      </c>
      <c r="B2259" s="5" t="s">
        <v>2408</v>
      </c>
      <c r="C2259" s="5" t="s">
        <v>2606</v>
      </c>
      <c r="D2259" s="6">
        <v>45999</v>
      </c>
      <c r="E2259" s="6">
        <v>46002</v>
      </c>
      <c r="F2259" s="6">
        <v>46005</v>
      </c>
      <c r="G2259" s="5" t="s">
        <v>2629</v>
      </c>
      <c r="H2259" s="5">
        <v>43</v>
      </c>
      <c r="I2259" s="5">
        <f>IFERROR(INDEX(Raw_Orders!H2259:H4687,MATCH(B2259,Raw_Orders!A2259:A4687,0)),0)</f>
        <v>43</v>
      </c>
      <c r="J2259" s="5" t="str">
        <f t="shared" si="140"/>
        <v>No</v>
      </c>
      <c r="K2259" s="5" t="str">
        <f t="shared" si="141"/>
        <v>Yes</v>
      </c>
      <c r="L2259" s="5" t="str">
        <f t="shared" si="143"/>
        <v>No</v>
      </c>
      <c r="M2259" s="5">
        <f t="shared" si="142"/>
        <v>0</v>
      </c>
    </row>
    <row r="2260" spans="1:13" x14ac:dyDescent="0.3">
      <c r="A2260" s="2" t="s">
        <v>4889</v>
      </c>
      <c r="B2260" s="2" t="s">
        <v>2409</v>
      </c>
      <c r="C2260" s="2" t="s">
        <v>2606</v>
      </c>
      <c r="D2260" s="3">
        <v>46000</v>
      </c>
      <c r="E2260" s="3">
        <v>46001</v>
      </c>
      <c r="F2260" s="3">
        <v>46006</v>
      </c>
      <c r="G2260" s="2" t="s">
        <v>2631</v>
      </c>
      <c r="H2260" s="2">
        <v>34</v>
      </c>
      <c r="I2260" s="2">
        <f>IFERROR(INDEX(Raw_Orders!H2260:H4688,MATCH(B2260,Raw_Orders!A2260:A4688,0)),0)</f>
        <v>35</v>
      </c>
      <c r="J2260" s="2" t="str">
        <f t="shared" si="140"/>
        <v>No</v>
      </c>
      <c r="K2260" s="2" t="str">
        <f t="shared" si="141"/>
        <v>N0</v>
      </c>
      <c r="L2260" s="2" t="str">
        <f t="shared" si="143"/>
        <v>No</v>
      </c>
      <c r="M2260" s="2">
        <f t="shared" si="142"/>
        <v>0</v>
      </c>
    </row>
    <row r="2261" spans="1:13" x14ac:dyDescent="0.3">
      <c r="A2261" s="5" t="s">
        <v>4890</v>
      </c>
      <c r="B2261" s="5" t="s">
        <v>2410</v>
      </c>
      <c r="C2261" s="5" t="s">
        <v>2608</v>
      </c>
      <c r="D2261" s="6">
        <v>45999</v>
      </c>
      <c r="E2261" s="6">
        <v>46005</v>
      </c>
      <c r="F2261" s="6">
        <v>46012</v>
      </c>
      <c r="G2261" s="5" t="s">
        <v>2631</v>
      </c>
      <c r="H2261" s="5">
        <v>1</v>
      </c>
      <c r="I2261" s="5">
        <f>IFERROR(INDEX(Raw_Orders!H2261:H4689,MATCH(B2261,Raw_Orders!A2261:A4689,0)),0)</f>
        <v>1</v>
      </c>
      <c r="J2261" s="5" t="str">
        <f t="shared" si="140"/>
        <v>No</v>
      </c>
      <c r="K2261" s="5" t="str">
        <f t="shared" si="141"/>
        <v>Yes</v>
      </c>
      <c r="L2261" s="5" t="str">
        <f t="shared" si="143"/>
        <v>No</v>
      </c>
      <c r="M2261" s="5">
        <f t="shared" si="142"/>
        <v>0</v>
      </c>
    </row>
    <row r="2262" spans="1:13" x14ac:dyDescent="0.3">
      <c r="A2262" s="2" t="s">
        <v>4891</v>
      </c>
      <c r="B2262" s="2" t="s">
        <v>2411</v>
      </c>
      <c r="C2262" s="2" t="s">
        <v>2611</v>
      </c>
      <c r="D2262" s="3">
        <v>46000</v>
      </c>
      <c r="E2262" s="3">
        <v>46002</v>
      </c>
      <c r="F2262" s="3">
        <v>46007</v>
      </c>
      <c r="G2262" s="2" t="s">
        <v>2633</v>
      </c>
      <c r="H2262" s="2">
        <v>56</v>
      </c>
      <c r="I2262" s="2">
        <f>IFERROR(INDEX(Raw_Orders!H2262:H4690,MATCH(B2262,Raw_Orders!A2262:A4690,0)),0)</f>
        <v>56</v>
      </c>
      <c r="J2262" s="2" t="str">
        <f t="shared" si="140"/>
        <v>No</v>
      </c>
      <c r="K2262" s="2" t="str">
        <f t="shared" si="141"/>
        <v>Yes</v>
      </c>
      <c r="L2262" s="2" t="str">
        <f t="shared" si="143"/>
        <v>No</v>
      </c>
      <c r="M2262" s="2">
        <f t="shared" si="142"/>
        <v>0</v>
      </c>
    </row>
    <row r="2263" spans="1:13" x14ac:dyDescent="0.3">
      <c r="A2263" s="5" t="s">
        <v>4892</v>
      </c>
      <c r="B2263" s="5" t="s">
        <v>2412</v>
      </c>
      <c r="C2263" s="5" t="s">
        <v>2614</v>
      </c>
      <c r="D2263" s="6">
        <v>46001</v>
      </c>
      <c r="E2263" s="6">
        <v>46005</v>
      </c>
      <c r="F2263" s="6">
        <v>46019</v>
      </c>
      <c r="G2263" s="5" t="s">
        <v>2633</v>
      </c>
      <c r="H2263" s="5">
        <v>12</v>
      </c>
      <c r="I2263" s="5">
        <f>IFERROR(INDEX(Raw_Orders!H2263:H4691,MATCH(B2263,Raw_Orders!A2263:A4691,0)),0)</f>
        <v>12</v>
      </c>
      <c r="J2263" s="5" t="str">
        <f t="shared" si="140"/>
        <v>No</v>
      </c>
      <c r="K2263" s="5" t="str">
        <f t="shared" si="141"/>
        <v>Yes</v>
      </c>
      <c r="L2263" s="5" t="str">
        <f t="shared" si="143"/>
        <v>No</v>
      </c>
      <c r="M2263" s="5">
        <f t="shared" si="142"/>
        <v>0</v>
      </c>
    </row>
    <row r="2264" spans="1:13" x14ac:dyDescent="0.3">
      <c r="A2264" s="2" t="s">
        <v>4893</v>
      </c>
      <c r="B2264" s="2" t="s">
        <v>2413</v>
      </c>
      <c r="C2264" s="2" t="s">
        <v>2604</v>
      </c>
      <c r="D2264" s="3">
        <v>46001</v>
      </c>
      <c r="E2264" s="3">
        <v>46004</v>
      </c>
      <c r="F2264" s="3">
        <v>46005</v>
      </c>
      <c r="G2264" s="2" t="s">
        <v>2633</v>
      </c>
      <c r="H2264" s="2">
        <v>6</v>
      </c>
      <c r="I2264" s="2">
        <f>IFERROR(INDEX(Raw_Orders!H2264:H4692,MATCH(B2264,Raw_Orders!A2264:A4692,0)),0)</f>
        <v>6</v>
      </c>
      <c r="J2264" s="2" t="str">
        <f t="shared" si="140"/>
        <v>No</v>
      </c>
      <c r="K2264" s="2" t="str">
        <f t="shared" si="141"/>
        <v>Yes</v>
      </c>
      <c r="L2264" s="2" t="str">
        <f t="shared" si="143"/>
        <v>No</v>
      </c>
      <c r="M2264" s="2">
        <f t="shared" si="142"/>
        <v>0</v>
      </c>
    </row>
    <row r="2265" spans="1:13" x14ac:dyDescent="0.3">
      <c r="A2265" s="5" t="s">
        <v>4894</v>
      </c>
      <c r="B2265" s="5" t="s">
        <v>2414</v>
      </c>
      <c r="C2265" s="5" t="s">
        <v>2616</v>
      </c>
      <c r="D2265" s="6">
        <v>46001</v>
      </c>
      <c r="E2265" s="6">
        <v>46008</v>
      </c>
      <c r="F2265" s="6">
        <v>46016</v>
      </c>
      <c r="G2265" s="5" t="s">
        <v>2627</v>
      </c>
      <c r="H2265" s="5">
        <v>19</v>
      </c>
      <c r="I2265" s="5">
        <f>IFERROR(INDEX(Raw_Orders!H2265:H4693,MATCH(B2265,Raw_Orders!A2265:A4693,0)),0)</f>
        <v>19</v>
      </c>
      <c r="J2265" s="5" t="str">
        <f t="shared" si="140"/>
        <v>No</v>
      </c>
      <c r="K2265" s="5" t="str">
        <f t="shared" si="141"/>
        <v>Yes</v>
      </c>
      <c r="L2265" s="5" t="str">
        <f t="shared" si="143"/>
        <v>No</v>
      </c>
      <c r="M2265" s="5">
        <f t="shared" si="142"/>
        <v>0</v>
      </c>
    </row>
    <row r="2266" spans="1:13" x14ac:dyDescent="0.3">
      <c r="A2266" s="2" t="s">
        <v>4895</v>
      </c>
      <c r="B2266" s="2" t="s">
        <v>2415</v>
      </c>
      <c r="C2266" s="2" t="s">
        <v>2606</v>
      </c>
      <c r="D2266" s="3">
        <v>46001</v>
      </c>
      <c r="E2266" s="3">
        <v>46006</v>
      </c>
      <c r="F2266" s="3">
        <v>46007</v>
      </c>
      <c r="G2266" s="2" t="s">
        <v>2633</v>
      </c>
      <c r="H2266" s="2">
        <v>45</v>
      </c>
      <c r="I2266" s="2">
        <f>IFERROR(INDEX(Raw_Orders!H2266:H4694,MATCH(B2266,Raw_Orders!A2266:A4694,0)),0)</f>
        <v>45</v>
      </c>
      <c r="J2266" s="2" t="str">
        <f t="shared" si="140"/>
        <v>No</v>
      </c>
      <c r="K2266" s="2" t="str">
        <f t="shared" si="141"/>
        <v>Yes</v>
      </c>
      <c r="L2266" s="2" t="str">
        <f t="shared" si="143"/>
        <v>No</v>
      </c>
      <c r="M2266" s="2">
        <f t="shared" si="142"/>
        <v>0</v>
      </c>
    </row>
    <row r="2267" spans="1:13" x14ac:dyDescent="0.3">
      <c r="A2267" s="5" t="s">
        <v>4896</v>
      </c>
      <c r="B2267" s="5" t="s">
        <v>2416</v>
      </c>
      <c r="C2267" s="5" t="s">
        <v>2606</v>
      </c>
      <c r="D2267" s="6">
        <v>45999</v>
      </c>
      <c r="E2267" s="6">
        <v>46008</v>
      </c>
      <c r="F2267" s="6">
        <v>46005</v>
      </c>
      <c r="G2267" s="5" t="s">
        <v>2633</v>
      </c>
      <c r="H2267" s="5">
        <v>1</v>
      </c>
      <c r="I2267" s="5">
        <f>IFERROR(INDEX(Raw_Orders!H2267:H4695,MATCH(B2267,Raw_Orders!A2267:A4695,0)),0)</f>
        <v>1</v>
      </c>
      <c r="J2267" s="5" t="str">
        <f t="shared" si="140"/>
        <v>Yes</v>
      </c>
      <c r="K2267" s="5" t="str">
        <f t="shared" si="141"/>
        <v>Yes</v>
      </c>
      <c r="L2267" s="5" t="str">
        <f t="shared" si="143"/>
        <v>Yes</v>
      </c>
      <c r="M2267" s="5">
        <f t="shared" si="142"/>
        <v>1</v>
      </c>
    </row>
    <row r="2268" spans="1:13" x14ac:dyDescent="0.3">
      <c r="A2268" s="2" t="s">
        <v>4897</v>
      </c>
      <c r="B2268" s="2" t="s">
        <v>2417</v>
      </c>
      <c r="C2268" s="2" t="s">
        <v>2608</v>
      </c>
      <c r="D2268" s="3">
        <v>46000</v>
      </c>
      <c r="E2268" s="3">
        <v>46003</v>
      </c>
      <c r="F2268" s="3">
        <v>46013</v>
      </c>
      <c r="G2268" s="2" t="s">
        <v>2627</v>
      </c>
      <c r="H2268" s="2">
        <v>8</v>
      </c>
      <c r="I2268" s="2">
        <f>IFERROR(INDEX(Raw_Orders!H2268:H4696,MATCH(B2268,Raw_Orders!A2268:A4696,0)),0)</f>
        <v>8</v>
      </c>
      <c r="J2268" s="2" t="str">
        <f t="shared" si="140"/>
        <v>No</v>
      </c>
      <c r="K2268" s="2" t="str">
        <f t="shared" si="141"/>
        <v>Yes</v>
      </c>
      <c r="L2268" s="2" t="str">
        <f t="shared" si="143"/>
        <v>No</v>
      </c>
      <c r="M2268" s="2">
        <f t="shared" si="142"/>
        <v>0</v>
      </c>
    </row>
    <row r="2269" spans="1:13" x14ac:dyDescent="0.3">
      <c r="A2269" s="5" t="s">
        <v>4898</v>
      </c>
      <c r="B2269" s="5" t="s">
        <v>2418</v>
      </c>
      <c r="C2269" s="5" t="s">
        <v>2611</v>
      </c>
      <c r="D2269" s="6">
        <v>46000</v>
      </c>
      <c r="E2269" s="6">
        <v>46009</v>
      </c>
      <c r="F2269" s="6">
        <v>46011</v>
      </c>
      <c r="G2269" s="5" t="s">
        <v>2627</v>
      </c>
      <c r="H2269" s="5">
        <v>48</v>
      </c>
      <c r="I2269" s="5">
        <f>IFERROR(INDEX(Raw_Orders!H2269:H4697,MATCH(B2269,Raw_Orders!A2269:A4697,0)),0)</f>
        <v>50</v>
      </c>
      <c r="J2269" s="5" t="str">
        <f t="shared" si="140"/>
        <v>No</v>
      </c>
      <c r="K2269" s="5" t="str">
        <f t="shared" si="141"/>
        <v>N0</v>
      </c>
      <c r="L2269" s="5" t="str">
        <f t="shared" si="143"/>
        <v>No</v>
      </c>
      <c r="M2269" s="5">
        <f t="shared" si="142"/>
        <v>0</v>
      </c>
    </row>
    <row r="2270" spans="1:13" x14ac:dyDescent="0.3">
      <c r="A2270" s="2" t="s">
        <v>4899</v>
      </c>
      <c r="B2270" s="2" t="s">
        <v>2419</v>
      </c>
      <c r="C2270" s="2" t="s">
        <v>2611</v>
      </c>
      <c r="D2270" s="3">
        <v>46001</v>
      </c>
      <c r="E2270" s="3">
        <v>46010</v>
      </c>
      <c r="F2270" s="3">
        <v>46008</v>
      </c>
      <c r="G2270" s="2" t="s">
        <v>2641</v>
      </c>
      <c r="H2270" s="2">
        <v>26</v>
      </c>
      <c r="I2270" s="2">
        <f>IFERROR(INDEX(Raw_Orders!H2270:H4698,MATCH(B2270,Raw_Orders!A2270:A4698,0)),0)</f>
        <v>26</v>
      </c>
      <c r="J2270" s="2" t="str">
        <f t="shared" si="140"/>
        <v>Yes</v>
      </c>
      <c r="K2270" s="2" t="str">
        <f t="shared" si="141"/>
        <v>Yes</v>
      </c>
      <c r="L2270" s="2" t="str">
        <f t="shared" si="143"/>
        <v>Yes</v>
      </c>
      <c r="M2270" s="2">
        <f t="shared" si="142"/>
        <v>1</v>
      </c>
    </row>
    <row r="2271" spans="1:13" x14ac:dyDescent="0.3">
      <c r="A2271" s="5" t="s">
        <v>4900</v>
      </c>
      <c r="B2271" s="5" t="s">
        <v>2420</v>
      </c>
      <c r="C2271" s="5" t="s">
        <v>2614</v>
      </c>
      <c r="D2271" s="6">
        <v>46001</v>
      </c>
      <c r="E2271" s="6">
        <v>46009</v>
      </c>
      <c r="F2271" s="6">
        <v>46014</v>
      </c>
      <c r="G2271" s="5" t="s">
        <v>2633</v>
      </c>
      <c r="H2271" s="5">
        <v>5</v>
      </c>
      <c r="I2271" s="5">
        <f>IFERROR(INDEX(Raw_Orders!H2271:H4699,MATCH(B2271,Raw_Orders!A2271:A4699,0)),0)</f>
        <v>12</v>
      </c>
      <c r="J2271" s="5" t="str">
        <f t="shared" si="140"/>
        <v>No</v>
      </c>
      <c r="K2271" s="5" t="str">
        <f t="shared" si="141"/>
        <v>N0</v>
      </c>
      <c r="L2271" s="5" t="str">
        <f t="shared" si="143"/>
        <v>No</v>
      </c>
      <c r="M2271" s="5">
        <f t="shared" si="142"/>
        <v>0</v>
      </c>
    </row>
    <row r="2272" spans="1:13" x14ac:dyDescent="0.3">
      <c r="A2272" s="2" t="s">
        <v>4901</v>
      </c>
      <c r="B2272" s="2" t="s">
        <v>2421</v>
      </c>
      <c r="C2272" s="2" t="s">
        <v>2614</v>
      </c>
      <c r="D2272" s="3">
        <v>46002</v>
      </c>
      <c r="E2272" s="3">
        <v>46008</v>
      </c>
      <c r="F2272" s="3">
        <v>46015</v>
      </c>
      <c r="G2272" s="2" t="s">
        <v>2629</v>
      </c>
      <c r="H2272" s="2">
        <v>28</v>
      </c>
      <c r="I2272" s="2">
        <f>IFERROR(INDEX(Raw_Orders!H2272:H4700,MATCH(B2272,Raw_Orders!A2272:A4700,0)),0)</f>
        <v>28</v>
      </c>
      <c r="J2272" s="2" t="str">
        <f t="shared" si="140"/>
        <v>No</v>
      </c>
      <c r="K2272" s="2" t="str">
        <f t="shared" si="141"/>
        <v>Yes</v>
      </c>
      <c r="L2272" s="2" t="str">
        <f t="shared" si="143"/>
        <v>No</v>
      </c>
      <c r="M2272" s="2">
        <f t="shared" si="142"/>
        <v>0</v>
      </c>
    </row>
    <row r="2273" spans="1:13" x14ac:dyDescent="0.3">
      <c r="A2273" s="5" t="s">
        <v>4902</v>
      </c>
      <c r="B2273" s="5" t="s">
        <v>2422</v>
      </c>
      <c r="C2273" s="5" t="s">
        <v>2606</v>
      </c>
      <c r="D2273" s="6">
        <v>46000</v>
      </c>
      <c r="E2273" s="6">
        <v>46004</v>
      </c>
      <c r="F2273" s="6">
        <v>46005</v>
      </c>
      <c r="G2273" s="5" t="s">
        <v>2633</v>
      </c>
      <c r="H2273" s="5">
        <v>32</v>
      </c>
      <c r="I2273" s="5">
        <f>IFERROR(INDEX(Raw_Orders!H2273:H4701,MATCH(B2273,Raw_Orders!A2273:A4701,0)),0)</f>
        <v>32</v>
      </c>
      <c r="J2273" s="5" t="str">
        <f t="shared" si="140"/>
        <v>No</v>
      </c>
      <c r="K2273" s="5" t="str">
        <f t="shared" si="141"/>
        <v>Yes</v>
      </c>
      <c r="L2273" s="5" t="str">
        <f t="shared" si="143"/>
        <v>No</v>
      </c>
      <c r="M2273" s="5">
        <f t="shared" si="142"/>
        <v>0</v>
      </c>
    </row>
    <row r="2274" spans="1:13" x14ac:dyDescent="0.3">
      <c r="A2274" s="2" t="s">
        <v>4903</v>
      </c>
      <c r="B2274" s="2" t="s">
        <v>2423</v>
      </c>
      <c r="C2274" s="2" t="s">
        <v>2606</v>
      </c>
      <c r="D2274" s="3">
        <v>46002</v>
      </c>
      <c r="E2274" s="3">
        <v>46008</v>
      </c>
      <c r="F2274" s="3">
        <v>46008</v>
      </c>
      <c r="G2274" s="2" t="s">
        <v>2641</v>
      </c>
      <c r="H2274" s="2">
        <v>31</v>
      </c>
      <c r="I2274" s="2">
        <f>IFERROR(INDEX(Raw_Orders!H2274:H4702,MATCH(B2274,Raw_Orders!A2274:A4702,0)),0)</f>
        <v>38</v>
      </c>
      <c r="J2274" s="2" t="str">
        <f t="shared" si="140"/>
        <v>Yes</v>
      </c>
      <c r="K2274" s="2" t="str">
        <f t="shared" si="141"/>
        <v>N0</v>
      </c>
      <c r="L2274" s="2" t="str">
        <f t="shared" si="143"/>
        <v>No</v>
      </c>
      <c r="M2274" s="2">
        <f t="shared" si="142"/>
        <v>0</v>
      </c>
    </row>
    <row r="2275" spans="1:13" x14ac:dyDescent="0.3">
      <c r="A2275" s="5" t="s">
        <v>4904</v>
      </c>
      <c r="B2275" s="5" t="s">
        <v>2424</v>
      </c>
      <c r="C2275" s="5" t="s">
        <v>2606</v>
      </c>
      <c r="D2275" s="6">
        <v>46000</v>
      </c>
      <c r="E2275" s="6">
        <v>46007</v>
      </c>
      <c r="F2275" s="6">
        <v>46007</v>
      </c>
      <c r="G2275" s="5" t="s">
        <v>2633</v>
      </c>
      <c r="H2275" s="5">
        <v>37</v>
      </c>
      <c r="I2275" s="5">
        <f>IFERROR(INDEX(Raw_Orders!H2275:H4703,MATCH(B2275,Raw_Orders!A2275:A4703,0)),0)</f>
        <v>37</v>
      </c>
      <c r="J2275" s="5" t="str">
        <f t="shared" si="140"/>
        <v>Yes</v>
      </c>
      <c r="K2275" s="5" t="str">
        <f t="shared" si="141"/>
        <v>Yes</v>
      </c>
      <c r="L2275" s="5" t="str">
        <f t="shared" si="143"/>
        <v>Yes</v>
      </c>
      <c r="M2275" s="5">
        <f t="shared" si="142"/>
        <v>1</v>
      </c>
    </row>
    <row r="2276" spans="1:13" x14ac:dyDescent="0.3">
      <c r="A2276" s="2" t="s">
        <v>4905</v>
      </c>
      <c r="B2276" s="2" t="s">
        <v>2425</v>
      </c>
      <c r="C2276" s="2" t="s">
        <v>2608</v>
      </c>
      <c r="D2276" s="3">
        <v>46002</v>
      </c>
      <c r="E2276" s="3">
        <v>46004</v>
      </c>
      <c r="F2276" s="3">
        <v>46015</v>
      </c>
      <c r="G2276" s="2" t="s">
        <v>2627</v>
      </c>
      <c r="H2276" s="2">
        <v>13</v>
      </c>
      <c r="I2276" s="2">
        <f>IFERROR(INDEX(Raw_Orders!H2276:H4704,MATCH(B2276,Raw_Orders!A2276:A4704,0)),0)</f>
        <v>13</v>
      </c>
      <c r="J2276" s="2" t="str">
        <f t="shared" si="140"/>
        <v>No</v>
      </c>
      <c r="K2276" s="2" t="str">
        <f t="shared" si="141"/>
        <v>Yes</v>
      </c>
      <c r="L2276" s="2" t="str">
        <f t="shared" si="143"/>
        <v>No</v>
      </c>
      <c r="M2276" s="2">
        <f t="shared" si="142"/>
        <v>0</v>
      </c>
    </row>
    <row r="2277" spans="1:13" x14ac:dyDescent="0.3">
      <c r="A2277" s="5" t="s">
        <v>4906</v>
      </c>
      <c r="B2277" s="5" t="s">
        <v>2426</v>
      </c>
      <c r="C2277" s="5" t="s">
        <v>2611</v>
      </c>
      <c r="D2277" s="6">
        <v>46001</v>
      </c>
      <c r="E2277" s="6">
        <v>46009</v>
      </c>
      <c r="F2277" s="6">
        <v>46010</v>
      </c>
      <c r="G2277" s="5" t="s">
        <v>2631</v>
      </c>
      <c r="H2277" s="5">
        <v>37</v>
      </c>
      <c r="I2277" s="5">
        <f>IFERROR(INDEX(Raw_Orders!H2277:H4705,MATCH(B2277,Raw_Orders!A2277:A4705,0)),0)</f>
        <v>37</v>
      </c>
      <c r="J2277" s="5" t="str">
        <f t="shared" si="140"/>
        <v>No</v>
      </c>
      <c r="K2277" s="5" t="str">
        <f t="shared" si="141"/>
        <v>Yes</v>
      </c>
      <c r="L2277" s="5" t="str">
        <f t="shared" si="143"/>
        <v>No</v>
      </c>
      <c r="M2277" s="5">
        <f t="shared" si="142"/>
        <v>0</v>
      </c>
    </row>
    <row r="2278" spans="1:13" x14ac:dyDescent="0.3">
      <c r="A2278" s="2" t="s">
        <v>4907</v>
      </c>
      <c r="B2278" s="2" t="s">
        <v>2427</v>
      </c>
      <c r="C2278" s="2" t="s">
        <v>2598</v>
      </c>
      <c r="D2278" s="3">
        <v>46001</v>
      </c>
      <c r="E2278" s="3">
        <v>46010</v>
      </c>
      <c r="F2278" s="3">
        <v>46016</v>
      </c>
      <c r="G2278" s="2" t="s">
        <v>2629</v>
      </c>
      <c r="H2278" s="2">
        <v>14</v>
      </c>
      <c r="I2278" s="2">
        <f>IFERROR(INDEX(Raw_Orders!H2278:H4706,MATCH(B2278,Raw_Orders!A2278:A4706,0)),0)</f>
        <v>14</v>
      </c>
      <c r="J2278" s="2" t="str">
        <f t="shared" si="140"/>
        <v>No</v>
      </c>
      <c r="K2278" s="2" t="str">
        <f t="shared" si="141"/>
        <v>Yes</v>
      </c>
      <c r="L2278" s="2" t="str">
        <f t="shared" si="143"/>
        <v>No</v>
      </c>
      <c r="M2278" s="2">
        <f t="shared" si="142"/>
        <v>0</v>
      </c>
    </row>
    <row r="2279" spans="1:13" x14ac:dyDescent="0.3">
      <c r="A2279" s="5" t="s">
        <v>4908</v>
      </c>
      <c r="B2279" s="5" t="s">
        <v>2428</v>
      </c>
      <c r="C2279" s="5" t="s">
        <v>2611</v>
      </c>
      <c r="D2279" s="6">
        <v>46001</v>
      </c>
      <c r="E2279" s="6">
        <v>46007</v>
      </c>
      <c r="F2279" s="6">
        <v>46010</v>
      </c>
      <c r="G2279" s="5" t="s">
        <v>2641</v>
      </c>
      <c r="H2279" s="5">
        <v>51</v>
      </c>
      <c r="I2279" s="5">
        <f>IFERROR(INDEX(Raw_Orders!H2279:H4707,MATCH(B2279,Raw_Orders!A2279:A4707,0)),0)</f>
        <v>51</v>
      </c>
      <c r="J2279" s="5" t="str">
        <f t="shared" si="140"/>
        <v>No</v>
      </c>
      <c r="K2279" s="5" t="str">
        <f t="shared" si="141"/>
        <v>Yes</v>
      </c>
      <c r="L2279" s="5" t="str">
        <f t="shared" si="143"/>
        <v>No</v>
      </c>
      <c r="M2279" s="5">
        <f t="shared" si="142"/>
        <v>0</v>
      </c>
    </row>
    <row r="2280" spans="1:13" x14ac:dyDescent="0.3">
      <c r="A2280" s="2" t="s">
        <v>4909</v>
      </c>
      <c r="B2280" s="2" t="s">
        <v>2429</v>
      </c>
      <c r="C2280" s="2" t="s">
        <v>2601</v>
      </c>
      <c r="D2280" s="3">
        <v>46002</v>
      </c>
      <c r="E2280" s="3">
        <v>46007</v>
      </c>
      <c r="F2280" s="3">
        <v>46011</v>
      </c>
      <c r="G2280" s="2" t="s">
        <v>2631</v>
      </c>
      <c r="H2280" s="2">
        <v>38</v>
      </c>
      <c r="I2280" s="2">
        <f>IFERROR(INDEX(Raw_Orders!H2280:H4708,MATCH(B2280,Raw_Orders!A2280:A4708,0)),0)</f>
        <v>38</v>
      </c>
      <c r="J2280" s="2" t="str">
        <f t="shared" si="140"/>
        <v>No</v>
      </c>
      <c r="K2280" s="2" t="str">
        <f t="shared" si="141"/>
        <v>Yes</v>
      </c>
      <c r="L2280" s="2" t="str">
        <f t="shared" si="143"/>
        <v>No</v>
      </c>
      <c r="M2280" s="2">
        <f t="shared" si="142"/>
        <v>0</v>
      </c>
    </row>
    <row r="2281" spans="1:13" x14ac:dyDescent="0.3">
      <c r="A2281" s="5" t="s">
        <v>4910</v>
      </c>
      <c r="B2281" s="5" t="s">
        <v>2430</v>
      </c>
      <c r="C2281" s="5" t="s">
        <v>2601</v>
      </c>
      <c r="D2281" s="6">
        <v>46002</v>
      </c>
      <c r="E2281" s="6">
        <v>46007</v>
      </c>
      <c r="F2281" s="6">
        <v>46008</v>
      </c>
      <c r="G2281" s="5" t="s">
        <v>2633</v>
      </c>
      <c r="H2281" s="5">
        <v>21</v>
      </c>
      <c r="I2281" s="5">
        <f>IFERROR(INDEX(Raw_Orders!H2281:H4709,MATCH(B2281,Raw_Orders!A2281:A4709,0)),0)</f>
        <v>21</v>
      </c>
      <c r="J2281" s="5" t="str">
        <f t="shared" si="140"/>
        <v>No</v>
      </c>
      <c r="K2281" s="5" t="str">
        <f t="shared" si="141"/>
        <v>Yes</v>
      </c>
      <c r="L2281" s="5" t="str">
        <f t="shared" si="143"/>
        <v>No</v>
      </c>
      <c r="M2281" s="5">
        <f t="shared" si="142"/>
        <v>0</v>
      </c>
    </row>
    <row r="2282" spans="1:13" x14ac:dyDescent="0.3">
      <c r="A2282" s="2" t="s">
        <v>4911</v>
      </c>
      <c r="B2282" s="2" t="s">
        <v>2431</v>
      </c>
      <c r="C2282" s="2" t="s">
        <v>2616</v>
      </c>
      <c r="D2282" s="3">
        <v>46003</v>
      </c>
      <c r="E2282" s="3">
        <v>46005</v>
      </c>
      <c r="F2282" s="3">
        <v>46018</v>
      </c>
      <c r="G2282" s="2" t="s">
        <v>2631</v>
      </c>
      <c r="H2282" s="2">
        <v>10</v>
      </c>
      <c r="I2282" s="2">
        <f>IFERROR(INDEX(Raw_Orders!H2282:H4710,MATCH(B2282,Raw_Orders!A2282:A4710,0)),0)</f>
        <v>16</v>
      </c>
      <c r="J2282" s="2" t="str">
        <f t="shared" si="140"/>
        <v>No</v>
      </c>
      <c r="K2282" s="2" t="str">
        <f t="shared" si="141"/>
        <v>N0</v>
      </c>
      <c r="L2282" s="2" t="str">
        <f t="shared" si="143"/>
        <v>No</v>
      </c>
      <c r="M2282" s="2">
        <f t="shared" si="142"/>
        <v>0</v>
      </c>
    </row>
    <row r="2283" spans="1:13" x14ac:dyDescent="0.3">
      <c r="A2283" s="5" t="s">
        <v>4912</v>
      </c>
      <c r="B2283" s="5" t="s">
        <v>2432</v>
      </c>
      <c r="C2283" s="5" t="s">
        <v>2604</v>
      </c>
      <c r="D2283" s="6">
        <v>46002</v>
      </c>
      <c r="E2283" s="6">
        <v>46010</v>
      </c>
      <c r="F2283" s="6">
        <v>46006</v>
      </c>
      <c r="G2283" s="5" t="s">
        <v>2641</v>
      </c>
      <c r="H2283" s="5">
        <v>21</v>
      </c>
      <c r="I2283" s="5">
        <f>IFERROR(INDEX(Raw_Orders!H2283:H4711,MATCH(B2283,Raw_Orders!A2283:A4711,0)),0)</f>
        <v>21</v>
      </c>
      <c r="J2283" s="5" t="str">
        <f t="shared" si="140"/>
        <v>Yes</v>
      </c>
      <c r="K2283" s="5" t="str">
        <f t="shared" si="141"/>
        <v>Yes</v>
      </c>
      <c r="L2283" s="5" t="str">
        <f t="shared" si="143"/>
        <v>Yes</v>
      </c>
      <c r="M2283" s="5">
        <f t="shared" si="142"/>
        <v>1</v>
      </c>
    </row>
    <row r="2284" spans="1:13" x14ac:dyDescent="0.3">
      <c r="A2284" s="2" t="s">
        <v>4913</v>
      </c>
      <c r="B2284" s="2" t="s">
        <v>2433</v>
      </c>
      <c r="C2284" s="2" t="s">
        <v>2606</v>
      </c>
      <c r="D2284" s="3">
        <v>46003</v>
      </c>
      <c r="E2284" s="3">
        <v>46007</v>
      </c>
      <c r="F2284" s="3">
        <v>46009</v>
      </c>
      <c r="G2284" s="2" t="s">
        <v>2641</v>
      </c>
      <c r="H2284" s="2">
        <v>35</v>
      </c>
      <c r="I2284" s="2">
        <f>IFERROR(INDEX(Raw_Orders!H2284:H4712,MATCH(B2284,Raw_Orders!A2284:A4712,0)),0)</f>
        <v>40</v>
      </c>
      <c r="J2284" s="2" t="str">
        <f t="shared" si="140"/>
        <v>No</v>
      </c>
      <c r="K2284" s="2" t="str">
        <f t="shared" si="141"/>
        <v>N0</v>
      </c>
      <c r="L2284" s="2" t="str">
        <f t="shared" si="143"/>
        <v>No</v>
      </c>
      <c r="M2284" s="2">
        <f t="shared" si="142"/>
        <v>0</v>
      </c>
    </row>
    <row r="2285" spans="1:13" x14ac:dyDescent="0.3">
      <c r="A2285" s="5" t="s">
        <v>4914</v>
      </c>
      <c r="B2285" s="5" t="s">
        <v>2434</v>
      </c>
      <c r="C2285" s="5" t="s">
        <v>2611</v>
      </c>
      <c r="D2285" s="6">
        <v>46003</v>
      </c>
      <c r="E2285" s="6">
        <v>46012</v>
      </c>
      <c r="F2285" s="6">
        <v>46014</v>
      </c>
      <c r="G2285" s="5" t="s">
        <v>2629</v>
      </c>
      <c r="H2285" s="5">
        <v>58</v>
      </c>
      <c r="I2285" s="5">
        <f>IFERROR(INDEX(Raw_Orders!H2285:H4713,MATCH(B2285,Raw_Orders!A2285:A4713,0)),0)</f>
        <v>58</v>
      </c>
      <c r="J2285" s="5" t="str">
        <f t="shared" si="140"/>
        <v>No</v>
      </c>
      <c r="K2285" s="5" t="str">
        <f t="shared" si="141"/>
        <v>Yes</v>
      </c>
      <c r="L2285" s="5" t="str">
        <f t="shared" si="143"/>
        <v>No</v>
      </c>
      <c r="M2285" s="5">
        <f t="shared" si="142"/>
        <v>0</v>
      </c>
    </row>
    <row r="2286" spans="1:13" x14ac:dyDescent="0.3">
      <c r="A2286" s="2" t="s">
        <v>4915</v>
      </c>
      <c r="B2286" s="2" t="s">
        <v>2435</v>
      </c>
      <c r="C2286" s="2" t="s">
        <v>2611</v>
      </c>
      <c r="D2286" s="3">
        <v>46002</v>
      </c>
      <c r="E2286" s="3">
        <v>46006</v>
      </c>
      <c r="F2286" s="3">
        <v>46010</v>
      </c>
      <c r="G2286" s="2" t="s">
        <v>2633</v>
      </c>
      <c r="H2286" s="2">
        <v>23</v>
      </c>
      <c r="I2286" s="2">
        <f>IFERROR(INDEX(Raw_Orders!H2286:H4714,MATCH(B2286,Raw_Orders!A2286:A4714,0)),0)</f>
        <v>23</v>
      </c>
      <c r="J2286" s="2" t="str">
        <f t="shared" si="140"/>
        <v>No</v>
      </c>
      <c r="K2286" s="2" t="str">
        <f t="shared" si="141"/>
        <v>Yes</v>
      </c>
      <c r="L2286" s="2" t="str">
        <f t="shared" si="143"/>
        <v>No</v>
      </c>
      <c r="M2286" s="2">
        <f t="shared" si="142"/>
        <v>0</v>
      </c>
    </row>
    <row r="2287" spans="1:13" x14ac:dyDescent="0.3">
      <c r="A2287" s="5" t="s">
        <v>4916</v>
      </c>
      <c r="B2287" s="5" t="s">
        <v>2436</v>
      </c>
      <c r="C2287" s="5" t="s">
        <v>2611</v>
      </c>
      <c r="D2287" s="6">
        <v>46003</v>
      </c>
      <c r="E2287" s="6">
        <v>46007</v>
      </c>
      <c r="F2287" s="6">
        <v>46011</v>
      </c>
      <c r="G2287" s="5" t="s">
        <v>2627</v>
      </c>
      <c r="H2287" s="5">
        <v>30</v>
      </c>
      <c r="I2287" s="5">
        <f>IFERROR(INDEX(Raw_Orders!H2287:H4715,MATCH(B2287,Raw_Orders!A2287:A4715,0)),0)</f>
        <v>35</v>
      </c>
      <c r="J2287" s="5" t="str">
        <f t="shared" si="140"/>
        <v>No</v>
      </c>
      <c r="K2287" s="5" t="str">
        <f t="shared" si="141"/>
        <v>N0</v>
      </c>
      <c r="L2287" s="5" t="str">
        <f t="shared" si="143"/>
        <v>No</v>
      </c>
      <c r="M2287" s="5">
        <f t="shared" si="142"/>
        <v>0</v>
      </c>
    </row>
    <row r="2288" spans="1:13" x14ac:dyDescent="0.3">
      <c r="A2288" s="2" t="s">
        <v>4917</v>
      </c>
      <c r="B2288" s="2" t="s">
        <v>2437</v>
      </c>
      <c r="C2288" s="2" t="s">
        <v>2601</v>
      </c>
      <c r="D2288" s="3">
        <v>46002</v>
      </c>
      <c r="E2288" s="3">
        <v>46007</v>
      </c>
      <c r="F2288" s="3">
        <v>46008</v>
      </c>
      <c r="G2288" s="2" t="s">
        <v>2641</v>
      </c>
      <c r="H2288" s="2">
        <v>20</v>
      </c>
      <c r="I2288" s="2">
        <f>IFERROR(INDEX(Raw_Orders!H2288:H4716,MATCH(B2288,Raw_Orders!A2288:A4716,0)),0)</f>
        <v>20</v>
      </c>
      <c r="J2288" s="2" t="str">
        <f t="shared" si="140"/>
        <v>No</v>
      </c>
      <c r="K2288" s="2" t="str">
        <f t="shared" si="141"/>
        <v>Yes</v>
      </c>
      <c r="L2288" s="2" t="str">
        <f t="shared" si="143"/>
        <v>No</v>
      </c>
      <c r="M2288" s="2">
        <f t="shared" si="142"/>
        <v>0</v>
      </c>
    </row>
    <row r="2289" spans="1:13" x14ac:dyDescent="0.3">
      <c r="A2289" s="5" t="s">
        <v>4918</v>
      </c>
      <c r="B2289" s="5" t="s">
        <v>2438</v>
      </c>
      <c r="C2289" s="5" t="s">
        <v>2616</v>
      </c>
      <c r="D2289" s="6">
        <v>46002</v>
      </c>
      <c r="E2289" s="6">
        <v>46007</v>
      </c>
      <c r="F2289" s="6">
        <v>46017</v>
      </c>
      <c r="G2289" s="5" t="s">
        <v>2627</v>
      </c>
      <c r="H2289" s="5">
        <v>23</v>
      </c>
      <c r="I2289" s="5">
        <f>IFERROR(INDEX(Raw_Orders!H2289:H4717,MATCH(B2289,Raw_Orders!A2289:A4717,0)),0)</f>
        <v>23</v>
      </c>
      <c r="J2289" s="5" t="str">
        <f t="shared" si="140"/>
        <v>No</v>
      </c>
      <c r="K2289" s="5" t="str">
        <f t="shared" si="141"/>
        <v>Yes</v>
      </c>
      <c r="L2289" s="5" t="str">
        <f t="shared" si="143"/>
        <v>No</v>
      </c>
      <c r="M2289" s="5">
        <f t="shared" si="142"/>
        <v>0</v>
      </c>
    </row>
    <row r="2290" spans="1:13" x14ac:dyDescent="0.3">
      <c r="A2290" s="2" t="s">
        <v>4919</v>
      </c>
      <c r="B2290" s="2" t="s">
        <v>2439</v>
      </c>
      <c r="C2290" s="2" t="s">
        <v>2604</v>
      </c>
      <c r="D2290" s="3">
        <v>46002</v>
      </c>
      <c r="E2290" s="3">
        <v>46007</v>
      </c>
      <c r="F2290" s="3">
        <v>46005</v>
      </c>
      <c r="G2290" s="2" t="s">
        <v>2641</v>
      </c>
      <c r="H2290" s="2">
        <v>21</v>
      </c>
      <c r="I2290" s="2">
        <f>IFERROR(INDEX(Raw_Orders!H2290:H4718,MATCH(B2290,Raw_Orders!A2290:A4718,0)),0)</f>
        <v>21</v>
      </c>
      <c r="J2290" s="2" t="str">
        <f t="shared" si="140"/>
        <v>Yes</v>
      </c>
      <c r="K2290" s="2" t="str">
        <f t="shared" si="141"/>
        <v>Yes</v>
      </c>
      <c r="L2290" s="2" t="str">
        <f t="shared" si="143"/>
        <v>Yes</v>
      </c>
      <c r="M2290" s="2">
        <f t="shared" si="142"/>
        <v>1</v>
      </c>
    </row>
    <row r="2291" spans="1:13" x14ac:dyDescent="0.3">
      <c r="A2291" s="5" t="s">
        <v>4920</v>
      </c>
      <c r="B2291" s="5" t="s">
        <v>2440</v>
      </c>
      <c r="C2291" s="5" t="s">
        <v>2606</v>
      </c>
      <c r="D2291" s="6">
        <v>46003</v>
      </c>
      <c r="E2291" s="6">
        <v>46010</v>
      </c>
      <c r="F2291" s="6">
        <v>46008</v>
      </c>
      <c r="G2291" s="5" t="s">
        <v>2633</v>
      </c>
      <c r="H2291" s="5">
        <v>32</v>
      </c>
      <c r="I2291" s="5">
        <f>IFERROR(INDEX(Raw_Orders!H2291:H4719,MATCH(B2291,Raw_Orders!A2291:A4719,0)),0)</f>
        <v>32</v>
      </c>
      <c r="J2291" s="5" t="str">
        <f t="shared" si="140"/>
        <v>Yes</v>
      </c>
      <c r="K2291" s="5" t="str">
        <f t="shared" si="141"/>
        <v>Yes</v>
      </c>
      <c r="L2291" s="5" t="str">
        <f t="shared" si="143"/>
        <v>Yes</v>
      </c>
      <c r="M2291" s="5">
        <f t="shared" si="142"/>
        <v>1</v>
      </c>
    </row>
    <row r="2292" spans="1:13" x14ac:dyDescent="0.3">
      <c r="A2292" s="2" t="s">
        <v>4921</v>
      </c>
      <c r="B2292" s="2" t="s">
        <v>2441</v>
      </c>
      <c r="C2292" s="2" t="s">
        <v>2611</v>
      </c>
      <c r="D2292" s="3">
        <v>46003</v>
      </c>
      <c r="E2292" s="3">
        <v>46012</v>
      </c>
      <c r="F2292" s="3">
        <v>46010</v>
      </c>
      <c r="G2292" s="2" t="s">
        <v>2629</v>
      </c>
      <c r="H2292" s="2">
        <v>18</v>
      </c>
      <c r="I2292" s="2">
        <f>IFERROR(INDEX(Raw_Orders!H2292:H4720,MATCH(B2292,Raw_Orders!A2292:A4720,0)),0)</f>
        <v>20</v>
      </c>
      <c r="J2292" s="2" t="str">
        <f t="shared" si="140"/>
        <v>Yes</v>
      </c>
      <c r="K2292" s="2" t="str">
        <f t="shared" si="141"/>
        <v>N0</v>
      </c>
      <c r="L2292" s="2" t="str">
        <f t="shared" si="143"/>
        <v>No</v>
      </c>
      <c r="M2292" s="2">
        <f t="shared" si="142"/>
        <v>0</v>
      </c>
    </row>
    <row r="2293" spans="1:13" x14ac:dyDescent="0.3">
      <c r="A2293" s="5" t="s">
        <v>4922</v>
      </c>
      <c r="B2293" s="5" t="s">
        <v>2442</v>
      </c>
      <c r="C2293" s="5" t="s">
        <v>2598</v>
      </c>
      <c r="D2293" s="6">
        <v>46004</v>
      </c>
      <c r="E2293" s="6">
        <v>46013</v>
      </c>
      <c r="F2293" s="6">
        <v>46021</v>
      </c>
      <c r="G2293" s="5" t="s">
        <v>2633</v>
      </c>
      <c r="H2293" s="5">
        <v>41</v>
      </c>
      <c r="I2293" s="5">
        <f>IFERROR(INDEX(Raw_Orders!H2293:H4721,MATCH(B2293,Raw_Orders!A2293:A4721,0)),0)</f>
        <v>41</v>
      </c>
      <c r="J2293" s="5" t="str">
        <f t="shared" si="140"/>
        <v>No</v>
      </c>
      <c r="K2293" s="5" t="str">
        <f t="shared" si="141"/>
        <v>Yes</v>
      </c>
      <c r="L2293" s="5" t="str">
        <f t="shared" si="143"/>
        <v>No</v>
      </c>
      <c r="M2293" s="5">
        <f t="shared" si="142"/>
        <v>0</v>
      </c>
    </row>
    <row r="2294" spans="1:13" x14ac:dyDescent="0.3">
      <c r="A2294" s="2" t="s">
        <v>4923</v>
      </c>
      <c r="B2294" s="2" t="s">
        <v>2443</v>
      </c>
      <c r="C2294" s="2" t="s">
        <v>2608</v>
      </c>
      <c r="D2294" s="3">
        <v>46003</v>
      </c>
      <c r="E2294" s="3">
        <v>46008</v>
      </c>
      <c r="F2294" s="3">
        <v>46020</v>
      </c>
      <c r="G2294" s="2" t="s">
        <v>2629</v>
      </c>
      <c r="H2294" s="2">
        <v>30</v>
      </c>
      <c r="I2294" s="2">
        <f>IFERROR(INDEX(Raw_Orders!H2294:H4722,MATCH(B2294,Raw_Orders!A2294:A4722,0)),0)</f>
        <v>32</v>
      </c>
      <c r="J2294" s="2" t="str">
        <f t="shared" si="140"/>
        <v>No</v>
      </c>
      <c r="K2294" s="2" t="str">
        <f t="shared" si="141"/>
        <v>N0</v>
      </c>
      <c r="L2294" s="2" t="str">
        <f t="shared" si="143"/>
        <v>No</v>
      </c>
      <c r="M2294" s="2">
        <f t="shared" si="142"/>
        <v>0</v>
      </c>
    </row>
    <row r="2295" spans="1:13" x14ac:dyDescent="0.3">
      <c r="A2295" s="5" t="s">
        <v>4924</v>
      </c>
      <c r="B2295" s="5" t="s">
        <v>2444</v>
      </c>
      <c r="C2295" s="5" t="s">
        <v>2608</v>
      </c>
      <c r="D2295" s="6">
        <v>46005</v>
      </c>
      <c r="E2295" s="6">
        <v>46006</v>
      </c>
      <c r="F2295" s="6">
        <v>46019</v>
      </c>
      <c r="G2295" s="5" t="s">
        <v>2631</v>
      </c>
      <c r="H2295" s="5">
        <v>13</v>
      </c>
      <c r="I2295" s="5">
        <f>IFERROR(INDEX(Raw_Orders!H2295:H4723,MATCH(B2295,Raw_Orders!A2295:A4723,0)),0)</f>
        <v>14</v>
      </c>
      <c r="J2295" s="5" t="str">
        <f t="shared" si="140"/>
        <v>No</v>
      </c>
      <c r="K2295" s="5" t="str">
        <f t="shared" si="141"/>
        <v>N0</v>
      </c>
      <c r="L2295" s="5" t="str">
        <f t="shared" si="143"/>
        <v>No</v>
      </c>
      <c r="M2295" s="5">
        <f t="shared" si="142"/>
        <v>0</v>
      </c>
    </row>
    <row r="2296" spans="1:13" x14ac:dyDescent="0.3">
      <c r="A2296" s="2" t="s">
        <v>4925</v>
      </c>
      <c r="B2296" s="2" t="s">
        <v>2445</v>
      </c>
      <c r="C2296" s="2" t="s">
        <v>2611</v>
      </c>
      <c r="D2296" s="3">
        <v>46004</v>
      </c>
      <c r="E2296" s="3">
        <v>46013</v>
      </c>
      <c r="F2296" s="3">
        <v>46015</v>
      </c>
      <c r="G2296" s="2" t="s">
        <v>2641</v>
      </c>
      <c r="H2296" s="2">
        <v>35</v>
      </c>
      <c r="I2296" s="2">
        <f>IFERROR(INDEX(Raw_Orders!H2296:H4724,MATCH(B2296,Raw_Orders!A2296:A4724,0)),0)</f>
        <v>35</v>
      </c>
      <c r="J2296" s="2" t="str">
        <f t="shared" si="140"/>
        <v>No</v>
      </c>
      <c r="K2296" s="2" t="str">
        <f t="shared" si="141"/>
        <v>Yes</v>
      </c>
      <c r="L2296" s="2" t="str">
        <f t="shared" si="143"/>
        <v>No</v>
      </c>
      <c r="M2296" s="2">
        <f t="shared" si="142"/>
        <v>0</v>
      </c>
    </row>
    <row r="2297" spans="1:13" x14ac:dyDescent="0.3">
      <c r="A2297" s="5" t="s">
        <v>4926</v>
      </c>
      <c r="B2297" s="5" t="s">
        <v>2446</v>
      </c>
      <c r="C2297" s="5" t="s">
        <v>2598</v>
      </c>
      <c r="D2297" s="6">
        <v>46006</v>
      </c>
      <c r="E2297" s="6">
        <v>46007</v>
      </c>
      <c r="F2297" s="6">
        <v>46020</v>
      </c>
      <c r="G2297" s="5" t="s">
        <v>2631</v>
      </c>
      <c r="H2297" s="5">
        <v>31</v>
      </c>
      <c r="I2297" s="5">
        <f>IFERROR(INDEX(Raw_Orders!H2297:H4725,MATCH(B2297,Raw_Orders!A2297:A4725,0)),0)</f>
        <v>31</v>
      </c>
      <c r="J2297" s="5" t="str">
        <f t="shared" si="140"/>
        <v>No</v>
      </c>
      <c r="K2297" s="5" t="str">
        <f t="shared" si="141"/>
        <v>Yes</v>
      </c>
      <c r="L2297" s="5" t="str">
        <f t="shared" si="143"/>
        <v>No</v>
      </c>
      <c r="M2297" s="5">
        <f t="shared" si="142"/>
        <v>0</v>
      </c>
    </row>
    <row r="2298" spans="1:13" x14ac:dyDescent="0.3">
      <c r="A2298" s="2" t="s">
        <v>4927</v>
      </c>
      <c r="B2298" s="2" t="s">
        <v>2447</v>
      </c>
      <c r="C2298" s="2" t="s">
        <v>2598</v>
      </c>
      <c r="D2298" s="3">
        <v>46005</v>
      </c>
      <c r="E2298" s="3">
        <v>46009</v>
      </c>
      <c r="F2298" s="3">
        <v>46018</v>
      </c>
      <c r="G2298" s="2" t="s">
        <v>2629</v>
      </c>
      <c r="H2298" s="2">
        <v>60</v>
      </c>
      <c r="I2298" s="2">
        <f>IFERROR(INDEX(Raw_Orders!H2298:H4726,MATCH(B2298,Raw_Orders!A2298:A4726,0)),0)</f>
        <v>60</v>
      </c>
      <c r="J2298" s="2" t="str">
        <f t="shared" si="140"/>
        <v>No</v>
      </c>
      <c r="K2298" s="2" t="str">
        <f t="shared" si="141"/>
        <v>Yes</v>
      </c>
      <c r="L2298" s="2" t="str">
        <f t="shared" si="143"/>
        <v>No</v>
      </c>
      <c r="M2298" s="2">
        <f t="shared" si="142"/>
        <v>0</v>
      </c>
    </row>
    <row r="2299" spans="1:13" x14ac:dyDescent="0.3">
      <c r="A2299" s="5" t="s">
        <v>4928</v>
      </c>
      <c r="B2299" s="5" t="s">
        <v>2448</v>
      </c>
      <c r="C2299" s="5" t="s">
        <v>2614</v>
      </c>
      <c r="D2299" s="6">
        <v>46005</v>
      </c>
      <c r="E2299" s="6">
        <v>46010</v>
      </c>
      <c r="F2299" s="6">
        <v>46018</v>
      </c>
      <c r="G2299" s="5" t="s">
        <v>2627</v>
      </c>
      <c r="H2299" s="5">
        <v>35</v>
      </c>
      <c r="I2299" s="5">
        <f>IFERROR(INDEX(Raw_Orders!H2299:H4727,MATCH(B2299,Raw_Orders!A2299:A4727,0)),0)</f>
        <v>35</v>
      </c>
      <c r="J2299" s="5" t="str">
        <f t="shared" si="140"/>
        <v>No</v>
      </c>
      <c r="K2299" s="5" t="str">
        <f t="shared" si="141"/>
        <v>Yes</v>
      </c>
      <c r="L2299" s="5" t="str">
        <f t="shared" si="143"/>
        <v>No</v>
      </c>
      <c r="M2299" s="5">
        <f t="shared" si="142"/>
        <v>0</v>
      </c>
    </row>
    <row r="2300" spans="1:13" x14ac:dyDescent="0.3">
      <c r="A2300" s="2" t="s">
        <v>4929</v>
      </c>
      <c r="B2300" s="2" t="s">
        <v>2449</v>
      </c>
      <c r="C2300" s="2" t="s">
        <v>2604</v>
      </c>
      <c r="D2300" s="3">
        <v>46006</v>
      </c>
      <c r="E2300" s="3">
        <v>46012</v>
      </c>
      <c r="F2300" s="3">
        <v>46011</v>
      </c>
      <c r="G2300" s="2" t="s">
        <v>2629</v>
      </c>
      <c r="H2300" s="2">
        <v>28</v>
      </c>
      <c r="I2300" s="2">
        <f>IFERROR(INDEX(Raw_Orders!H2300:H4728,MATCH(B2300,Raw_Orders!A2300:A4728,0)),0)</f>
        <v>28</v>
      </c>
      <c r="J2300" s="2" t="str">
        <f t="shared" si="140"/>
        <v>Yes</v>
      </c>
      <c r="K2300" s="2" t="str">
        <f t="shared" si="141"/>
        <v>Yes</v>
      </c>
      <c r="L2300" s="2" t="str">
        <f t="shared" si="143"/>
        <v>Yes</v>
      </c>
      <c r="M2300" s="2">
        <f t="shared" si="142"/>
        <v>1</v>
      </c>
    </row>
    <row r="2301" spans="1:13" x14ac:dyDescent="0.3">
      <c r="A2301" s="5" t="s">
        <v>4930</v>
      </c>
      <c r="B2301" s="5" t="s">
        <v>2450</v>
      </c>
      <c r="C2301" s="5" t="s">
        <v>2604</v>
      </c>
      <c r="D2301" s="6">
        <v>46005</v>
      </c>
      <c r="E2301" s="6">
        <v>46007</v>
      </c>
      <c r="F2301" s="6">
        <v>46011</v>
      </c>
      <c r="G2301" s="5" t="s">
        <v>2631</v>
      </c>
      <c r="H2301" s="5">
        <v>32</v>
      </c>
      <c r="I2301" s="5">
        <f>IFERROR(INDEX(Raw_Orders!H2301:H4729,MATCH(B2301,Raw_Orders!A2301:A4729,0)),0)</f>
        <v>32</v>
      </c>
      <c r="J2301" s="5" t="str">
        <f t="shared" si="140"/>
        <v>No</v>
      </c>
      <c r="K2301" s="5" t="str">
        <f t="shared" si="141"/>
        <v>Yes</v>
      </c>
      <c r="L2301" s="5" t="str">
        <f t="shared" si="143"/>
        <v>No</v>
      </c>
      <c r="M2301" s="5">
        <f t="shared" si="142"/>
        <v>0</v>
      </c>
    </row>
    <row r="2302" spans="1:13" x14ac:dyDescent="0.3">
      <c r="A2302" s="2" t="s">
        <v>4931</v>
      </c>
      <c r="B2302" s="2" t="s">
        <v>2451</v>
      </c>
      <c r="C2302" s="2" t="s">
        <v>2606</v>
      </c>
      <c r="D2302" s="3">
        <v>46005</v>
      </c>
      <c r="E2302" s="3">
        <v>46013</v>
      </c>
      <c r="F2302" s="3">
        <v>46015</v>
      </c>
      <c r="G2302" s="2" t="s">
        <v>2627</v>
      </c>
      <c r="H2302" s="2">
        <v>44</v>
      </c>
      <c r="I2302" s="2">
        <f>IFERROR(INDEX(Raw_Orders!H2302:H4730,MATCH(B2302,Raw_Orders!A2302:A4730,0)),0)</f>
        <v>44</v>
      </c>
      <c r="J2302" s="2" t="str">
        <f t="shared" si="140"/>
        <v>No</v>
      </c>
      <c r="K2302" s="2" t="str">
        <f t="shared" si="141"/>
        <v>Yes</v>
      </c>
      <c r="L2302" s="2" t="str">
        <f t="shared" si="143"/>
        <v>No</v>
      </c>
      <c r="M2302" s="2">
        <f t="shared" si="142"/>
        <v>0</v>
      </c>
    </row>
    <row r="2303" spans="1:13" x14ac:dyDescent="0.3">
      <c r="A2303" s="5" t="s">
        <v>4932</v>
      </c>
      <c r="B2303" s="5" t="s">
        <v>2452</v>
      </c>
      <c r="C2303" s="5" t="s">
        <v>2608</v>
      </c>
      <c r="D2303" s="6">
        <v>46005</v>
      </c>
      <c r="E2303" s="6">
        <v>46011</v>
      </c>
      <c r="F2303" s="6">
        <v>46017</v>
      </c>
      <c r="G2303" s="5" t="s">
        <v>2633</v>
      </c>
      <c r="H2303" s="5">
        <v>33</v>
      </c>
      <c r="I2303" s="5">
        <f>IFERROR(INDEX(Raw_Orders!H2303:H4731,MATCH(B2303,Raw_Orders!A2303:A4731,0)),0)</f>
        <v>36</v>
      </c>
      <c r="J2303" s="5" t="str">
        <f t="shared" si="140"/>
        <v>No</v>
      </c>
      <c r="K2303" s="5" t="str">
        <f t="shared" si="141"/>
        <v>N0</v>
      </c>
      <c r="L2303" s="5" t="str">
        <f t="shared" si="143"/>
        <v>No</v>
      </c>
      <c r="M2303" s="5">
        <f t="shared" si="142"/>
        <v>0</v>
      </c>
    </row>
    <row r="2304" spans="1:13" x14ac:dyDescent="0.3">
      <c r="A2304" s="2" t="s">
        <v>4933</v>
      </c>
      <c r="B2304" s="2" t="s">
        <v>2453</v>
      </c>
      <c r="C2304" s="2" t="s">
        <v>2608</v>
      </c>
      <c r="D2304" s="3">
        <v>46006</v>
      </c>
      <c r="E2304" s="3">
        <v>46008</v>
      </c>
      <c r="F2304" s="3">
        <v>46019</v>
      </c>
      <c r="G2304" s="2" t="s">
        <v>2631</v>
      </c>
      <c r="H2304" s="2">
        <v>13</v>
      </c>
      <c r="I2304" s="2">
        <f>IFERROR(INDEX(Raw_Orders!H2304:H4732,MATCH(B2304,Raw_Orders!A2304:A4732,0)),0)</f>
        <v>13</v>
      </c>
      <c r="J2304" s="2" t="str">
        <f t="shared" si="140"/>
        <v>No</v>
      </c>
      <c r="K2304" s="2" t="str">
        <f t="shared" si="141"/>
        <v>Yes</v>
      </c>
      <c r="L2304" s="2" t="str">
        <f t="shared" si="143"/>
        <v>No</v>
      </c>
      <c r="M2304" s="2">
        <f t="shared" si="142"/>
        <v>0</v>
      </c>
    </row>
    <row r="2305" spans="1:13" x14ac:dyDescent="0.3">
      <c r="A2305" s="5" t="s">
        <v>4934</v>
      </c>
      <c r="B2305" s="5" t="s">
        <v>2454</v>
      </c>
      <c r="C2305" s="5" t="s">
        <v>2608</v>
      </c>
      <c r="D2305" s="6">
        <v>46006</v>
      </c>
      <c r="E2305" s="6">
        <v>46009</v>
      </c>
      <c r="F2305" s="6">
        <v>46019</v>
      </c>
      <c r="G2305" s="5" t="s">
        <v>2633</v>
      </c>
      <c r="H2305" s="5">
        <v>10</v>
      </c>
      <c r="I2305" s="5">
        <f>IFERROR(INDEX(Raw_Orders!H2305:H4733,MATCH(B2305,Raw_Orders!A2305:A4733,0)),0)</f>
        <v>10</v>
      </c>
      <c r="J2305" s="5" t="str">
        <f t="shared" si="140"/>
        <v>No</v>
      </c>
      <c r="K2305" s="5" t="str">
        <f t="shared" si="141"/>
        <v>Yes</v>
      </c>
      <c r="L2305" s="5" t="str">
        <f t="shared" si="143"/>
        <v>No</v>
      </c>
      <c r="M2305" s="5">
        <f t="shared" si="142"/>
        <v>0</v>
      </c>
    </row>
    <row r="2306" spans="1:13" x14ac:dyDescent="0.3">
      <c r="A2306" s="2" t="s">
        <v>4935</v>
      </c>
      <c r="B2306" s="2" t="s">
        <v>2455</v>
      </c>
      <c r="C2306" s="2" t="s">
        <v>2598</v>
      </c>
      <c r="D2306" s="3">
        <v>46007</v>
      </c>
      <c r="E2306" s="3">
        <v>46008</v>
      </c>
      <c r="F2306" s="3">
        <v>46020</v>
      </c>
      <c r="G2306" s="2" t="s">
        <v>2633</v>
      </c>
      <c r="H2306" s="2">
        <v>39</v>
      </c>
      <c r="I2306" s="2">
        <f>IFERROR(INDEX(Raw_Orders!H2306:H4734,MATCH(B2306,Raw_Orders!A2306:A4734,0)),0)</f>
        <v>39</v>
      </c>
      <c r="J2306" s="2" t="str">
        <f t="shared" si="140"/>
        <v>No</v>
      </c>
      <c r="K2306" s="2" t="str">
        <f t="shared" si="141"/>
        <v>Yes</v>
      </c>
      <c r="L2306" s="2" t="str">
        <f t="shared" si="143"/>
        <v>No</v>
      </c>
      <c r="M2306" s="2">
        <f t="shared" si="142"/>
        <v>0</v>
      </c>
    </row>
    <row r="2307" spans="1:13" x14ac:dyDescent="0.3">
      <c r="A2307" s="5" t="s">
        <v>4936</v>
      </c>
      <c r="B2307" s="5" t="s">
        <v>2456</v>
      </c>
      <c r="C2307" s="5" t="s">
        <v>2598</v>
      </c>
      <c r="D2307" s="6">
        <v>46007</v>
      </c>
      <c r="E2307" s="6">
        <v>46015</v>
      </c>
      <c r="F2307" s="6">
        <v>46020</v>
      </c>
      <c r="G2307" s="5" t="s">
        <v>2629</v>
      </c>
      <c r="H2307" s="5">
        <v>32</v>
      </c>
      <c r="I2307" s="5">
        <f>IFERROR(INDEX(Raw_Orders!H2307:H4735,MATCH(B2307,Raw_Orders!A2307:A4735,0)),0)</f>
        <v>32</v>
      </c>
      <c r="J2307" s="5" t="str">
        <f t="shared" ref="J2307:J2370" si="144">IF(E2307&gt;=F2307,"Yes","No")</f>
        <v>No</v>
      </c>
      <c r="K2307" s="5" t="str">
        <f t="shared" ref="K2307:K2370" si="145">IF(H2307&gt;=I2307,"Yes","N0")</f>
        <v>Yes</v>
      </c>
      <c r="L2307" s="5" t="str">
        <f t="shared" si="143"/>
        <v>No</v>
      </c>
      <c r="M2307" s="5">
        <f t="shared" ref="M2307:M2370" si="146">IF(L2307="Yes",1,0)</f>
        <v>0</v>
      </c>
    </row>
    <row r="2308" spans="1:13" x14ac:dyDescent="0.3">
      <c r="A2308" s="2" t="s">
        <v>4937</v>
      </c>
      <c r="B2308" s="2" t="s">
        <v>2457</v>
      </c>
      <c r="C2308" s="2" t="s">
        <v>2616</v>
      </c>
      <c r="D2308" s="3">
        <v>46005</v>
      </c>
      <c r="E2308" s="3">
        <v>46009</v>
      </c>
      <c r="F2308" s="3">
        <v>46020</v>
      </c>
      <c r="G2308" s="2" t="s">
        <v>2633</v>
      </c>
      <c r="H2308" s="2">
        <v>24</v>
      </c>
      <c r="I2308" s="2">
        <f>IFERROR(INDEX(Raw_Orders!H2308:H4736,MATCH(B2308,Raw_Orders!A2308:A4736,0)),0)</f>
        <v>24</v>
      </c>
      <c r="J2308" s="2" t="str">
        <f t="shared" si="144"/>
        <v>No</v>
      </c>
      <c r="K2308" s="2" t="str">
        <f t="shared" si="145"/>
        <v>Yes</v>
      </c>
      <c r="L2308" s="2" t="str">
        <f t="shared" ref="L2308:L2371" si="147">IF(AND(J2308="Yes",K2308="Yes"),"Yes","No")</f>
        <v>No</v>
      </c>
      <c r="M2308" s="2">
        <f t="shared" si="146"/>
        <v>0</v>
      </c>
    </row>
    <row r="2309" spans="1:13" x14ac:dyDescent="0.3">
      <c r="A2309" s="5" t="s">
        <v>4938</v>
      </c>
      <c r="B2309" s="5" t="s">
        <v>2458</v>
      </c>
      <c r="C2309" s="5" t="s">
        <v>2616</v>
      </c>
      <c r="D2309" s="6">
        <v>46005</v>
      </c>
      <c r="E2309" s="6">
        <v>46008</v>
      </c>
      <c r="F2309" s="6">
        <v>46021</v>
      </c>
      <c r="G2309" s="5" t="s">
        <v>2641</v>
      </c>
      <c r="H2309" s="5">
        <v>56</v>
      </c>
      <c r="I2309" s="5">
        <f>IFERROR(INDEX(Raw_Orders!H2309:H4737,MATCH(B2309,Raw_Orders!A2309:A4737,0)),0)</f>
        <v>56</v>
      </c>
      <c r="J2309" s="5" t="str">
        <f t="shared" si="144"/>
        <v>No</v>
      </c>
      <c r="K2309" s="5" t="str">
        <f t="shared" si="145"/>
        <v>Yes</v>
      </c>
      <c r="L2309" s="5" t="str">
        <f t="shared" si="147"/>
        <v>No</v>
      </c>
      <c r="M2309" s="5">
        <f t="shared" si="146"/>
        <v>0</v>
      </c>
    </row>
    <row r="2310" spans="1:13" x14ac:dyDescent="0.3">
      <c r="A2310" s="2" t="s">
        <v>4939</v>
      </c>
      <c r="B2310" s="2" t="s">
        <v>2459</v>
      </c>
      <c r="C2310" s="2" t="s">
        <v>2606</v>
      </c>
      <c r="D2310" s="3">
        <v>46006</v>
      </c>
      <c r="E2310" s="3">
        <v>46015</v>
      </c>
      <c r="F2310" s="3">
        <v>46014</v>
      </c>
      <c r="G2310" s="2" t="s">
        <v>2627</v>
      </c>
      <c r="H2310" s="2">
        <v>54</v>
      </c>
      <c r="I2310" s="2">
        <f>IFERROR(INDEX(Raw_Orders!H2310:H4738,MATCH(B2310,Raw_Orders!A2310:A4738,0)),0)</f>
        <v>54</v>
      </c>
      <c r="J2310" s="2" t="str">
        <f t="shared" si="144"/>
        <v>Yes</v>
      </c>
      <c r="K2310" s="2" t="str">
        <f t="shared" si="145"/>
        <v>Yes</v>
      </c>
      <c r="L2310" s="2" t="str">
        <f t="shared" si="147"/>
        <v>Yes</v>
      </c>
      <c r="M2310" s="2">
        <f t="shared" si="146"/>
        <v>1</v>
      </c>
    </row>
    <row r="2311" spans="1:13" x14ac:dyDescent="0.3">
      <c r="A2311" s="5" t="s">
        <v>4940</v>
      </c>
      <c r="B2311" s="5" t="s">
        <v>2460</v>
      </c>
      <c r="C2311" s="5" t="s">
        <v>2606</v>
      </c>
      <c r="D2311" s="6">
        <v>46007</v>
      </c>
      <c r="E2311" s="6">
        <v>46011</v>
      </c>
      <c r="F2311" s="6">
        <v>46012</v>
      </c>
      <c r="G2311" s="5" t="s">
        <v>2641</v>
      </c>
      <c r="H2311" s="5">
        <v>34</v>
      </c>
      <c r="I2311" s="5">
        <f>IFERROR(INDEX(Raw_Orders!H2311:H4739,MATCH(B2311,Raw_Orders!A2311:A4739,0)),0)</f>
        <v>34</v>
      </c>
      <c r="J2311" s="5" t="str">
        <f t="shared" si="144"/>
        <v>No</v>
      </c>
      <c r="K2311" s="5" t="str">
        <f t="shared" si="145"/>
        <v>Yes</v>
      </c>
      <c r="L2311" s="5" t="str">
        <f t="shared" si="147"/>
        <v>No</v>
      </c>
      <c r="M2311" s="5">
        <f t="shared" si="146"/>
        <v>0</v>
      </c>
    </row>
    <row r="2312" spans="1:13" x14ac:dyDescent="0.3">
      <c r="A2312" s="2" t="s">
        <v>4941</v>
      </c>
      <c r="B2312" s="2" t="s">
        <v>2461</v>
      </c>
      <c r="C2312" s="2" t="s">
        <v>2606</v>
      </c>
      <c r="D2312" s="3">
        <v>46006</v>
      </c>
      <c r="E2312" s="3">
        <v>46008</v>
      </c>
      <c r="F2312" s="3">
        <v>46013</v>
      </c>
      <c r="G2312" s="2" t="s">
        <v>2633</v>
      </c>
      <c r="H2312" s="2">
        <v>33</v>
      </c>
      <c r="I2312" s="2">
        <f>IFERROR(INDEX(Raw_Orders!H2312:H4740,MATCH(B2312,Raw_Orders!A2312:A4740,0)),0)</f>
        <v>33</v>
      </c>
      <c r="J2312" s="2" t="str">
        <f t="shared" si="144"/>
        <v>No</v>
      </c>
      <c r="K2312" s="2" t="str">
        <f t="shared" si="145"/>
        <v>Yes</v>
      </c>
      <c r="L2312" s="2" t="str">
        <f t="shared" si="147"/>
        <v>No</v>
      </c>
      <c r="M2312" s="2">
        <f t="shared" si="146"/>
        <v>0</v>
      </c>
    </row>
    <row r="2313" spans="1:13" x14ac:dyDescent="0.3">
      <c r="A2313" s="5" t="s">
        <v>4942</v>
      </c>
      <c r="B2313" s="5" t="s">
        <v>2462</v>
      </c>
      <c r="C2313" s="5" t="s">
        <v>2608</v>
      </c>
      <c r="D2313" s="6">
        <v>46005</v>
      </c>
      <c r="E2313" s="6">
        <v>46011</v>
      </c>
      <c r="F2313" s="6">
        <v>46022</v>
      </c>
      <c r="G2313" s="5" t="s">
        <v>2641</v>
      </c>
      <c r="H2313" s="5">
        <v>35</v>
      </c>
      <c r="I2313" s="5">
        <f>IFERROR(INDEX(Raw_Orders!H2313:H4741,MATCH(B2313,Raw_Orders!A2313:A4741,0)),0)</f>
        <v>35</v>
      </c>
      <c r="J2313" s="5" t="str">
        <f t="shared" si="144"/>
        <v>No</v>
      </c>
      <c r="K2313" s="5" t="str">
        <f t="shared" si="145"/>
        <v>Yes</v>
      </c>
      <c r="L2313" s="5" t="str">
        <f t="shared" si="147"/>
        <v>No</v>
      </c>
      <c r="M2313" s="5">
        <f t="shared" si="146"/>
        <v>0</v>
      </c>
    </row>
    <row r="2314" spans="1:13" x14ac:dyDescent="0.3">
      <c r="A2314" s="2" t="s">
        <v>4943</v>
      </c>
      <c r="B2314" s="2" t="s">
        <v>2463</v>
      </c>
      <c r="C2314" s="2" t="s">
        <v>2608</v>
      </c>
      <c r="D2314" s="3">
        <v>46005</v>
      </c>
      <c r="E2314" s="3">
        <v>46011</v>
      </c>
      <c r="F2314" s="3">
        <v>46017</v>
      </c>
      <c r="G2314" s="2" t="s">
        <v>2633</v>
      </c>
      <c r="H2314" s="2">
        <v>1</v>
      </c>
      <c r="I2314" s="2">
        <f>IFERROR(INDEX(Raw_Orders!H2314:H4742,MATCH(B2314,Raw_Orders!A2314:A4742,0)),0)</f>
        <v>1</v>
      </c>
      <c r="J2314" s="2" t="str">
        <f t="shared" si="144"/>
        <v>No</v>
      </c>
      <c r="K2314" s="2" t="str">
        <f t="shared" si="145"/>
        <v>Yes</v>
      </c>
      <c r="L2314" s="2" t="str">
        <f t="shared" si="147"/>
        <v>No</v>
      </c>
      <c r="M2314" s="2">
        <f t="shared" si="146"/>
        <v>0</v>
      </c>
    </row>
    <row r="2315" spans="1:13" x14ac:dyDescent="0.3">
      <c r="A2315" s="5" t="s">
        <v>4944</v>
      </c>
      <c r="B2315" s="5" t="s">
        <v>2464</v>
      </c>
      <c r="C2315" s="5" t="s">
        <v>2608</v>
      </c>
      <c r="D2315" s="6">
        <v>46005</v>
      </c>
      <c r="E2315" s="6">
        <v>46008</v>
      </c>
      <c r="F2315" s="6">
        <v>46018</v>
      </c>
      <c r="G2315" s="5" t="s">
        <v>2633</v>
      </c>
      <c r="H2315" s="5">
        <v>6</v>
      </c>
      <c r="I2315" s="5">
        <f>IFERROR(INDEX(Raw_Orders!H2315:H4743,MATCH(B2315,Raw_Orders!A2315:A4743,0)),0)</f>
        <v>6</v>
      </c>
      <c r="J2315" s="5" t="str">
        <f t="shared" si="144"/>
        <v>No</v>
      </c>
      <c r="K2315" s="5" t="str">
        <f t="shared" si="145"/>
        <v>Yes</v>
      </c>
      <c r="L2315" s="5" t="str">
        <f t="shared" si="147"/>
        <v>No</v>
      </c>
      <c r="M2315" s="5">
        <f t="shared" si="146"/>
        <v>0</v>
      </c>
    </row>
    <row r="2316" spans="1:13" x14ac:dyDescent="0.3">
      <c r="A2316" s="2" t="s">
        <v>4945</v>
      </c>
      <c r="B2316" s="2" t="s">
        <v>2465</v>
      </c>
      <c r="C2316" s="2" t="s">
        <v>2611</v>
      </c>
      <c r="D2316" s="3">
        <v>46006</v>
      </c>
      <c r="E2316" s="3">
        <v>46016</v>
      </c>
      <c r="F2316" s="3">
        <v>46013</v>
      </c>
      <c r="G2316" s="2" t="s">
        <v>2631</v>
      </c>
      <c r="H2316" s="2">
        <v>21</v>
      </c>
      <c r="I2316" s="2">
        <f>IFERROR(INDEX(Raw_Orders!H2316:H4744,MATCH(B2316,Raw_Orders!A2316:A4744,0)),0)</f>
        <v>25</v>
      </c>
      <c r="J2316" s="2" t="str">
        <f t="shared" si="144"/>
        <v>Yes</v>
      </c>
      <c r="K2316" s="2" t="str">
        <f t="shared" si="145"/>
        <v>N0</v>
      </c>
      <c r="L2316" s="2" t="str">
        <f t="shared" si="147"/>
        <v>No</v>
      </c>
      <c r="M2316" s="2">
        <f t="shared" si="146"/>
        <v>0</v>
      </c>
    </row>
    <row r="2317" spans="1:13" x14ac:dyDescent="0.3">
      <c r="A2317" s="5" t="s">
        <v>4946</v>
      </c>
      <c r="B2317" s="5" t="s">
        <v>2466</v>
      </c>
      <c r="C2317" s="5" t="s">
        <v>2601</v>
      </c>
      <c r="D2317" s="6">
        <v>46007</v>
      </c>
      <c r="E2317" s="6">
        <v>46014</v>
      </c>
      <c r="F2317" s="6">
        <v>46016</v>
      </c>
      <c r="G2317" s="5" t="s">
        <v>2633</v>
      </c>
      <c r="H2317" s="5">
        <v>30</v>
      </c>
      <c r="I2317" s="5">
        <f>IFERROR(INDEX(Raw_Orders!H2317:H4745,MATCH(B2317,Raw_Orders!A2317:A4745,0)),0)</f>
        <v>30</v>
      </c>
      <c r="J2317" s="5" t="str">
        <f t="shared" si="144"/>
        <v>No</v>
      </c>
      <c r="K2317" s="5" t="str">
        <f t="shared" si="145"/>
        <v>Yes</v>
      </c>
      <c r="L2317" s="5" t="str">
        <f t="shared" si="147"/>
        <v>No</v>
      </c>
      <c r="M2317" s="5">
        <f t="shared" si="146"/>
        <v>0</v>
      </c>
    </row>
    <row r="2318" spans="1:13" x14ac:dyDescent="0.3">
      <c r="A2318" s="2" t="s">
        <v>4947</v>
      </c>
      <c r="B2318" s="2" t="s">
        <v>2467</v>
      </c>
      <c r="C2318" s="2" t="s">
        <v>2606</v>
      </c>
      <c r="D2318" s="3">
        <v>46008</v>
      </c>
      <c r="E2318" s="3">
        <v>46013</v>
      </c>
      <c r="F2318" s="3">
        <v>46016</v>
      </c>
      <c r="G2318" s="2" t="s">
        <v>2631</v>
      </c>
      <c r="H2318" s="2">
        <v>55</v>
      </c>
      <c r="I2318" s="2">
        <f>IFERROR(INDEX(Raw_Orders!H2318:H4746,MATCH(B2318,Raw_Orders!A2318:A4746,0)),0)</f>
        <v>62</v>
      </c>
      <c r="J2318" s="2" t="str">
        <f t="shared" si="144"/>
        <v>No</v>
      </c>
      <c r="K2318" s="2" t="str">
        <f t="shared" si="145"/>
        <v>N0</v>
      </c>
      <c r="L2318" s="2" t="str">
        <f t="shared" si="147"/>
        <v>No</v>
      </c>
      <c r="M2318" s="2">
        <f t="shared" si="146"/>
        <v>0</v>
      </c>
    </row>
    <row r="2319" spans="1:13" x14ac:dyDescent="0.3">
      <c r="A2319" s="5" t="s">
        <v>4948</v>
      </c>
      <c r="B2319" s="5" t="s">
        <v>2468</v>
      </c>
      <c r="C2319" s="5" t="s">
        <v>2606</v>
      </c>
      <c r="D2319" s="6">
        <v>46008</v>
      </c>
      <c r="E2319" s="6">
        <v>46009</v>
      </c>
      <c r="F2319" s="6">
        <v>46018</v>
      </c>
      <c r="G2319" s="5" t="s">
        <v>2641</v>
      </c>
      <c r="H2319" s="5">
        <v>47</v>
      </c>
      <c r="I2319" s="5">
        <f>IFERROR(INDEX(Raw_Orders!H2319:H4747,MATCH(B2319,Raw_Orders!A2319:A4747,0)),0)</f>
        <v>47</v>
      </c>
      <c r="J2319" s="5" t="str">
        <f t="shared" si="144"/>
        <v>No</v>
      </c>
      <c r="K2319" s="5" t="str">
        <f t="shared" si="145"/>
        <v>Yes</v>
      </c>
      <c r="L2319" s="5" t="str">
        <f t="shared" si="147"/>
        <v>No</v>
      </c>
      <c r="M2319" s="5">
        <f t="shared" si="146"/>
        <v>0</v>
      </c>
    </row>
    <row r="2320" spans="1:13" x14ac:dyDescent="0.3">
      <c r="A2320" s="2" t="s">
        <v>4949</v>
      </c>
      <c r="B2320" s="2" t="s">
        <v>2469</v>
      </c>
      <c r="C2320" s="2" t="s">
        <v>2608</v>
      </c>
      <c r="D2320" s="3">
        <v>46006</v>
      </c>
      <c r="E2320" s="3">
        <v>46015</v>
      </c>
      <c r="F2320" s="3">
        <v>46019</v>
      </c>
      <c r="G2320" s="2" t="s">
        <v>2633</v>
      </c>
      <c r="H2320" s="2">
        <v>41</v>
      </c>
      <c r="I2320" s="2">
        <f>IFERROR(INDEX(Raw_Orders!H2320:H4748,MATCH(B2320,Raw_Orders!A2320:A4748,0)),0)</f>
        <v>41</v>
      </c>
      <c r="J2320" s="2" t="str">
        <f t="shared" si="144"/>
        <v>No</v>
      </c>
      <c r="K2320" s="2" t="str">
        <f t="shared" si="145"/>
        <v>Yes</v>
      </c>
      <c r="L2320" s="2" t="str">
        <f t="shared" si="147"/>
        <v>No</v>
      </c>
      <c r="M2320" s="2">
        <f t="shared" si="146"/>
        <v>0</v>
      </c>
    </row>
    <row r="2321" spans="1:13" x14ac:dyDescent="0.3">
      <c r="A2321" s="5" t="s">
        <v>4950</v>
      </c>
      <c r="B2321" s="5" t="s">
        <v>2470</v>
      </c>
      <c r="C2321" s="5" t="s">
        <v>2608</v>
      </c>
      <c r="D2321" s="6">
        <v>46006</v>
      </c>
      <c r="E2321" s="6">
        <v>46011</v>
      </c>
      <c r="F2321" s="6">
        <v>46021</v>
      </c>
      <c r="G2321" s="5" t="s">
        <v>2633</v>
      </c>
      <c r="H2321" s="5">
        <v>10</v>
      </c>
      <c r="I2321" s="5">
        <f>IFERROR(INDEX(Raw_Orders!H2321:H4749,MATCH(B2321,Raw_Orders!A2321:A4749,0)),0)</f>
        <v>10</v>
      </c>
      <c r="J2321" s="5" t="str">
        <f t="shared" si="144"/>
        <v>No</v>
      </c>
      <c r="K2321" s="5" t="str">
        <f t="shared" si="145"/>
        <v>Yes</v>
      </c>
      <c r="L2321" s="5" t="str">
        <f t="shared" si="147"/>
        <v>No</v>
      </c>
      <c r="M2321" s="5">
        <f t="shared" si="146"/>
        <v>0</v>
      </c>
    </row>
    <row r="2322" spans="1:13" x14ac:dyDescent="0.3">
      <c r="A2322" s="2" t="s">
        <v>4951</v>
      </c>
      <c r="B2322" s="2" t="s">
        <v>2471</v>
      </c>
      <c r="C2322" s="2" t="s">
        <v>2611</v>
      </c>
      <c r="D2322" s="3">
        <v>46009</v>
      </c>
      <c r="E2322" s="3">
        <v>46012</v>
      </c>
      <c r="F2322" s="3">
        <v>46017</v>
      </c>
      <c r="G2322" s="2" t="s">
        <v>2627</v>
      </c>
      <c r="H2322" s="2">
        <v>29</v>
      </c>
      <c r="I2322" s="2">
        <f>IFERROR(INDEX(Raw_Orders!H2322:H4750,MATCH(B2322,Raw_Orders!A2322:A4750,0)),0)</f>
        <v>29</v>
      </c>
      <c r="J2322" s="2" t="str">
        <f t="shared" si="144"/>
        <v>No</v>
      </c>
      <c r="K2322" s="2" t="str">
        <f t="shared" si="145"/>
        <v>Yes</v>
      </c>
      <c r="L2322" s="2" t="str">
        <f t="shared" si="147"/>
        <v>No</v>
      </c>
      <c r="M2322" s="2">
        <f t="shared" si="146"/>
        <v>0</v>
      </c>
    </row>
    <row r="2323" spans="1:13" x14ac:dyDescent="0.3">
      <c r="A2323" s="5" t="s">
        <v>4952</v>
      </c>
      <c r="B2323" s="5" t="s">
        <v>2472</v>
      </c>
      <c r="C2323" s="5" t="s">
        <v>2611</v>
      </c>
      <c r="D2323" s="6">
        <v>46008</v>
      </c>
      <c r="E2323" s="6">
        <v>46016</v>
      </c>
      <c r="F2323" s="6">
        <v>46015</v>
      </c>
      <c r="G2323" s="5" t="s">
        <v>2633</v>
      </c>
      <c r="H2323" s="5">
        <v>39</v>
      </c>
      <c r="I2323" s="5">
        <f>IFERROR(INDEX(Raw_Orders!H2323:H4751,MATCH(B2323,Raw_Orders!A2323:A4751,0)),0)</f>
        <v>39</v>
      </c>
      <c r="J2323" s="5" t="str">
        <f t="shared" si="144"/>
        <v>Yes</v>
      </c>
      <c r="K2323" s="5" t="str">
        <f t="shared" si="145"/>
        <v>Yes</v>
      </c>
      <c r="L2323" s="5" t="str">
        <f t="shared" si="147"/>
        <v>Yes</v>
      </c>
      <c r="M2323" s="5">
        <f t="shared" si="146"/>
        <v>1</v>
      </c>
    </row>
    <row r="2324" spans="1:13" x14ac:dyDescent="0.3">
      <c r="A2324" s="2" t="s">
        <v>4953</v>
      </c>
      <c r="B2324" s="2" t="s">
        <v>2473</v>
      </c>
      <c r="C2324" s="2" t="s">
        <v>2601</v>
      </c>
      <c r="D2324" s="3">
        <v>46008</v>
      </c>
      <c r="E2324" s="3">
        <v>46011</v>
      </c>
      <c r="F2324" s="3">
        <v>46013</v>
      </c>
      <c r="G2324" s="2" t="s">
        <v>2633</v>
      </c>
      <c r="H2324" s="2">
        <v>15</v>
      </c>
      <c r="I2324" s="2">
        <f>IFERROR(INDEX(Raw_Orders!H2324:H4752,MATCH(B2324,Raw_Orders!A2324:A4752,0)),0)</f>
        <v>17</v>
      </c>
      <c r="J2324" s="2" t="str">
        <f t="shared" si="144"/>
        <v>No</v>
      </c>
      <c r="K2324" s="2" t="str">
        <f t="shared" si="145"/>
        <v>N0</v>
      </c>
      <c r="L2324" s="2" t="str">
        <f t="shared" si="147"/>
        <v>No</v>
      </c>
      <c r="M2324" s="2">
        <f t="shared" si="146"/>
        <v>0</v>
      </c>
    </row>
    <row r="2325" spans="1:13" x14ac:dyDescent="0.3">
      <c r="A2325" s="5" t="s">
        <v>4954</v>
      </c>
      <c r="B2325" s="5" t="s">
        <v>2474</v>
      </c>
      <c r="C2325" s="5" t="s">
        <v>2614</v>
      </c>
      <c r="D2325" s="6">
        <v>46007</v>
      </c>
      <c r="E2325" s="6">
        <v>46016</v>
      </c>
      <c r="F2325" s="6">
        <v>46021</v>
      </c>
      <c r="G2325" s="5" t="s">
        <v>2627</v>
      </c>
      <c r="H2325" s="5">
        <v>21</v>
      </c>
      <c r="I2325" s="5">
        <f>IFERROR(INDEX(Raw_Orders!H2325:H4753,MATCH(B2325,Raw_Orders!A2325:A4753,0)),0)</f>
        <v>25</v>
      </c>
      <c r="J2325" s="5" t="str">
        <f t="shared" si="144"/>
        <v>No</v>
      </c>
      <c r="K2325" s="5" t="str">
        <f t="shared" si="145"/>
        <v>N0</v>
      </c>
      <c r="L2325" s="5" t="str">
        <f t="shared" si="147"/>
        <v>No</v>
      </c>
      <c r="M2325" s="5">
        <f t="shared" si="146"/>
        <v>0</v>
      </c>
    </row>
    <row r="2326" spans="1:13" x14ac:dyDescent="0.3">
      <c r="A2326" s="2" t="s">
        <v>4955</v>
      </c>
      <c r="B2326" s="2" t="s">
        <v>2475</v>
      </c>
      <c r="C2326" s="2" t="s">
        <v>2616</v>
      </c>
      <c r="D2326" s="3">
        <v>46007</v>
      </c>
      <c r="E2326" s="3">
        <v>46015</v>
      </c>
      <c r="F2326" s="3">
        <v>46026</v>
      </c>
      <c r="G2326" s="2" t="s">
        <v>2631</v>
      </c>
      <c r="H2326" s="2">
        <v>22</v>
      </c>
      <c r="I2326" s="2">
        <f>IFERROR(INDEX(Raw_Orders!H2326:H4754,MATCH(B2326,Raw_Orders!A2326:A4754,0)),0)</f>
        <v>22</v>
      </c>
      <c r="J2326" s="2" t="str">
        <f t="shared" si="144"/>
        <v>No</v>
      </c>
      <c r="K2326" s="2" t="str">
        <f t="shared" si="145"/>
        <v>Yes</v>
      </c>
      <c r="L2326" s="2" t="str">
        <f t="shared" si="147"/>
        <v>No</v>
      </c>
      <c r="M2326" s="2">
        <f t="shared" si="146"/>
        <v>0</v>
      </c>
    </row>
    <row r="2327" spans="1:13" x14ac:dyDescent="0.3">
      <c r="A2327" s="5" t="s">
        <v>4956</v>
      </c>
      <c r="B2327" s="5" t="s">
        <v>2476</v>
      </c>
      <c r="C2327" s="5" t="s">
        <v>2616</v>
      </c>
      <c r="D2327" s="6">
        <v>46007</v>
      </c>
      <c r="E2327" s="6">
        <v>46017</v>
      </c>
      <c r="F2327" s="6">
        <v>46022</v>
      </c>
      <c r="G2327" s="5" t="s">
        <v>2633</v>
      </c>
      <c r="H2327" s="5">
        <v>48</v>
      </c>
      <c r="I2327" s="5">
        <f>IFERROR(INDEX(Raw_Orders!H2327:H4755,MATCH(B2327,Raw_Orders!A2327:A4755,0)),0)</f>
        <v>48</v>
      </c>
      <c r="J2327" s="5" t="str">
        <f t="shared" si="144"/>
        <v>No</v>
      </c>
      <c r="K2327" s="5" t="str">
        <f t="shared" si="145"/>
        <v>Yes</v>
      </c>
      <c r="L2327" s="5" t="str">
        <f t="shared" si="147"/>
        <v>No</v>
      </c>
      <c r="M2327" s="5">
        <f t="shared" si="146"/>
        <v>0</v>
      </c>
    </row>
    <row r="2328" spans="1:13" x14ac:dyDescent="0.3">
      <c r="A2328" s="2" t="s">
        <v>4957</v>
      </c>
      <c r="B2328" s="2" t="s">
        <v>2477</v>
      </c>
      <c r="C2328" s="2" t="s">
        <v>2616</v>
      </c>
      <c r="D2328" s="3">
        <v>46007</v>
      </c>
      <c r="E2328" s="3">
        <v>46012</v>
      </c>
      <c r="F2328" s="3">
        <v>46026</v>
      </c>
      <c r="G2328" s="2" t="s">
        <v>2631</v>
      </c>
      <c r="H2328" s="2">
        <v>26</v>
      </c>
      <c r="I2328" s="2">
        <f>IFERROR(INDEX(Raw_Orders!H2328:H4756,MATCH(B2328,Raw_Orders!A2328:A4756,0)),0)</f>
        <v>28</v>
      </c>
      <c r="J2328" s="2" t="str">
        <f t="shared" si="144"/>
        <v>No</v>
      </c>
      <c r="K2328" s="2" t="str">
        <f t="shared" si="145"/>
        <v>N0</v>
      </c>
      <c r="L2328" s="2" t="str">
        <f t="shared" si="147"/>
        <v>No</v>
      </c>
      <c r="M2328" s="2">
        <f t="shared" si="146"/>
        <v>0</v>
      </c>
    </row>
    <row r="2329" spans="1:13" x14ac:dyDescent="0.3">
      <c r="A2329" s="5" t="s">
        <v>4958</v>
      </c>
      <c r="B2329" s="5" t="s">
        <v>2478</v>
      </c>
      <c r="C2329" s="5" t="s">
        <v>2608</v>
      </c>
      <c r="D2329" s="6">
        <v>46009</v>
      </c>
      <c r="E2329" s="6">
        <v>46011</v>
      </c>
      <c r="F2329" s="6">
        <v>46022</v>
      </c>
      <c r="G2329" s="5" t="s">
        <v>2627</v>
      </c>
      <c r="H2329" s="5">
        <v>25</v>
      </c>
      <c r="I2329" s="5">
        <f>IFERROR(INDEX(Raw_Orders!H2329:H4757,MATCH(B2329,Raw_Orders!A2329:A4757,0)),0)</f>
        <v>25</v>
      </c>
      <c r="J2329" s="5" t="str">
        <f t="shared" si="144"/>
        <v>No</v>
      </c>
      <c r="K2329" s="5" t="str">
        <f t="shared" si="145"/>
        <v>Yes</v>
      </c>
      <c r="L2329" s="5" t="str">
        <f t="shared" si="147"/>
        <v>No</v>
      </c>
      <c r="M2329" s="5">
        <f t="shared" si="146"/>
        <v>0</v>
      </c>
    </row>
    <row r="2330" spans="1:13" x14ac:dyDescent="0.3">
      <c r="A2330" s="2" t="s">
        <v>4959</v>
      </c>
      <c r="B2330" s="2" t="s">
        <v>2479</v>
      </c>
      <c r="C2330" s="2" t="s">
        <v>2608</v>
      </c>
      <c r="D2330" s="3">
        <v>46009</v>
      </c>
      <c r="E2330" s="3">
        <v>46012</v>
      </c>
      <c r="F2330" s="3">
        <v>46022</v>
      </c>
      <c r="G2330" s="2" t="s">
        <v>2627</v>
      </c>
      <c r="H2330" s="2">
        <v>1</v>
      </c>
      <c r="I2330" s="2">
        <f>IFERROR(INDEX(Raw_Orders!H2330:H4758,MATCH(B2330,Raw_Orders!A2330:A4758,0)),0)</f>
        <v>3</v>
      </c>
      <c r="J2330" s="2" t="str">
        <f t="shared" si="144"/>
        <v>No</v>
      </c>
      <c r="K2330" s="2" t="str">
        <f t="shared" si="145"/>
        <v>N0</v>
      </c>
      <c r="L2330" s="2" t="str">
        <f t="shared" si="147"/>
        <v>No</v>
      </c>
      <c r="M2330" s="2">
        <f t="shared" si="146"/>
        <v>0</v>
      </c>
    </row>
    <row r="2331" spans="1:13" x14ac:dyDescent="0.3">
      <c r="A2331" s="5" t="s">
        <v>4960</v>
      </c>
      <c r="B2331" s="5" t="s">
        <v>2480</v>
      </c>
      <c r="C2331" s="5" t="s">
        <v>2611</v>
      </c>
      <c r="D2331" s="6">
        <v>46009</v>
      </c>
      <c r="E2331" s="6">
        <v>46015</v>
      </c>
      <c r="F2331" s="6">
        <v>46020</v>
      </c>
      <c r="G2331" s="5" t="s">
        <v>2629</v>
      </c>
      <c r="H2331" s="5">
        <v>52</v>
      </c>
      <c r="I2331" s="5">
        <f>IFERROR(INDEX(Raw_Orders!H2331:H4759,MATCH(B2331,Raw_Orders!A2331:A4759,0)),0)</f>
        <v>55</v>
      </c>
      <c r="J2331" s="5" t="str">
        <f t="shared" si="144"/>
        <v>No</v>
      </c>
      <c r="K2331" s="5" t="str">
        <f t="shared" si="145"/>
        <v>N0</v>
      </c>
      <c r="L2331" s="5" t="str">
        <f t="shared" si="147"/>
        <v>No</v>
      </c>
      <c r="M2331" s="5">
        <f t="shared" si="146"/>
        <v>0</v>
      </c>
    </row>
    <row r="2332" spans="1:13" x14ac:dyDescent="0.3">
      <c r="A2332" s="2" t="s">
        <v>4961</v>
      </c>
      <c r="B2332" s="2" t="s">
        <v>2481</v>
      </c>
      <c r="C2332" s="2" t="s">
        <v>2611</v>
      </c>
      <c r="D2332" s="3">
        <v>46009</v>
      </c>
      <c r="E2332" s="3">
        <v>46012</v>
      </c>
      <c r="F2332" s="3">
        <v>46015</v>
      </c>
      <c r="G2332" s="2" t="s">
        <v>2629</v>
      </c>
      <c r="H2332" s="2">
        <v>51</v>
      </c>
      <c r="I2332" s="2">
        <f>IFERROR(INDEX(Raw_Orders!H2332:H4760,MATCH(B2332,Raw_Orders!A2332:A4760,0)),0)</f>
        <v>51</v>
      </c>
      <c r="J2332" s="2" t="str">
        <f t="shared" si="144"/>
        <v>No</v>
      </c>
      <c r="K2332" s="2" t="str">
        <f t="shared" si="145"/>
        <v>Yes</v>
      </c>
      <c r="L2332" s="2" t="str">
        <f t="shared" si="147"/>
        <v>No</v>
      </c>
      <c r="M2332" s="2">
        <f t="shared" si="146"/>
        <v>0</v>
      </c>
    </row>
    <row r="2333" spans="1:13" x14ac:dyDescent="0.3">
      <c r="A2333" s="5" t="s">
        <v>4962</v>
      </c>
      <c r="B2333" s="5" t="s">
        <v>2482</v>
      </c>
      <c r="C2333" s="5" t="s">
        <v>2604</v>
      </c>
      <c r="D2333" s="6">
        <v>46010</v>
      </c>
      <c r="E2333" s="6">
        <v>46013</v>
      </c>
      <c r="F2333" s="6">
        <v>46018</v>
      </c>
      <c r="G2333" s="5" t="s">
        <v>2631</v>
      </c>
      <c r="H2333" s="5">
        <v>21</v>
      </c>
      <c r="I2333" s="5">
        <f>IFERROR(INDEX(Raw_Orders!H2333:H4761,MATCH(B2333,Raw_Orders!A2333:A4761,0)),0)</f>
        <v>21</v>
      </c>
      <c r="J2333" s="5" t="str">
        <f t="shared" si="144"/>
        <v>No</v>
      </c>
      <c r="K2333" s="5" t="str">
        <f t="shared" si="145"/>
        <v>Yes</v>
      </c>
      <c r="L2333" s="5" t="str">
        <f t="shared" si="147"/>
        <v>No</v>
      </c>
      <c r="M2333" s="5">
        <f t="shared" si="146"/>
        <v>0</v>
      </c>
    </row>
    <row r="2334" spans="1:13" x14ac:dyDescent="0.3">
      <c r="A2334" s="2" t="s">
        <v>4963</v>
      </c>
      <c r="B2334" s="2" t="s">
        <v>2483</v>
      </c>
      <c r="C2334" s="2" t="s">
        <v>2616</v>
      </c>
      <c r="D2334" s="3">
        <v>46008</v>
      </c>
      <c r="E2334" s="3">
        <v>46012</v>
      </c>
      <c r="F2334" s="3">
        <v>46027</v>
      </c>
      <c r="G2334" s="2" t="s">
        <v>2631</v>
      </c>
      <c r="H2334" s="2">
        <v>30</v>
      </c>
      <c r="I2334" s="2">
        <f>IFERROR(INDEX(Raw_Orders!H2334:H4762,MATCH(B2334,Raw_Orders!A2334:A4762,0)),0)</f>
        <v>30</v>
      </c>
      <c r="J2334" s="2" t="str">
        <f t="shared" si="144"/>
        <v>No</v>
      </c>
      <c r="K2334" s="2" t="str">
        <f t="shared" si="145"/>
        <v>Yes</v>
      </c>
      <c r="L2334" s="2" t="str">
        <f t="shared" si="147"/>
        <v>No</v>
      </c>
      <c r="M2334" s="2">
        <f t="shared" si="146"/>
        <v>0</v>
      </c>
    </row>
    <row r="2335" spans="1:13" x14ac:dyDescent="0.3">
      <c r="A2335" s="5" t="s">
        <v>4964</v>
      </c>
      <c r="B2335" s="5" t="s">
        <v>2484</v>
      </c>
      <c r="C2335" s="5" t="s">
        <v>2616</v>
      </c>
      <c r="D2335" s="6">
        <v>46009</v>
      </c>
      <c r="E2335" s="6">
        <v>46018</v>
      </c>
      <c r="F2335" s="6">
        <v>46023</v>
      </c>
      <c r="G2335" s="5" t="s">
        <v>2629</v>
      </c>
      <c r="H2335" s="5">
        <v>11</v>
      </c>
      <c r="I2335" s="5">
        <f>IFERROR(INDEX(Raw_Orders!H2335:H4763,MATCH(B2335,Raw_Orders!A2335:A4763,0)),0)</f>
        <v>18</v>
      </c>
      <c r="J2335" s="5" t="str">
        <f t="shared" si="144"/>
        <v>No</v>
      </c>
      <c r="K2335" s="5" t="str">
        <f t="shared" si="145"/>
        <v>N0</v>
      </c>
      <c r="L2335" s="5" t="str">
        <f t="shared" si="147"/>
        <v>No</v>
      </c>
      <c r="M2335" s="5">
        <f t="shared" si="146"/>
        <v>0</v>
      </c>
    </row>
    <row r="2336" spans="1:13" x14ac:dyDescent="0.3">
      <c r="A2336" s="2" t="s">
        <v>4965</v>
      </c>
      <c r="B2336" s="2" t="s">
        <v>2485</v>
      </c>
      <c r="C2336" s="2" t="s">
        <v>2606</v>
      </c>
      <c r="D2336" s="3">
        <v>46010</v>
      </c>
      <c r="E2336" s="3">
        <v>46018</v>
      </c>
      <c r="F2336" s="3">
        <v>46016</v>
      </c>
      <c r="G2336" s="2" t="s">
        <v>2627</v>
      </c>
      <c r="H2336" s="2">
        <v>51</v>
      </c>
      <c r="I2336" s="2">
        <f>IFERROR(INDEX(Raw_Orders!H2336:H4764,MATCH(B2336,Raw_Orders!A2336:A4764,0)),0)</f>
        <v>51</v>
      </c>
      <c r="J2336" s="2" t="str">
        <f t="shared" si="144"/>
        <v>Yes</v>
      </c>
      <c r="K2336" s="2" t="str">
        <f t="shared" si="145"/>
        <v>Yes</v>
      </c>
      <c r="L2336" s="2" t="str">
        <f t="shared" si="147"/>
        <v>Yes</v>
      </c>
      <c r="M2336" s="2">
        <f t="shared" si="146"/>
        <v>1</v>
      </c>
    </row>
    <row r="2337" spans="1:13" x14ac:dyDescent="0.3">
      <c r="A2337" s="5" t="s">
        <v>4966</v>
      </c>
      <c r="B2337" s="5" t="s">
        <v>2486</v>
      </c>
      <c r="C2337" s="5" t="s">
        <v>2606</v>
      </c>
      <c r="D2337" s="6">
        <v>46009</v>
      </c>
      <c r="E2337" s="6">
        <v>46016</v>
      </c>
      <c r="F2337" s="6">
        <v>46015</v>
      </c>
      <c r="G2337" s="5" t="s">
        <v>2641</v>
      </c>
      <c r="H2337" s="5">
        <v>19</v>
      </c>
      <c r="I2337" s="5">
        <f>IFERROR(INDEX(Raw_Orders!H2337:H4765,MATCH(B2337,Raw_Orders!A2337:A4765,0)),0)</f>
        <v>19</v>
      </c>
      <c r="J2337" s="5" t="str">
        <f t="shared" si="144"/>
        <v>Yes</v>
      </c>
      <c r="K2337" s="5" t="str">
        <f t="shared" si="145"/>
        <v>Yes</v>
      </c>
      <c r="L2337" s="5" t="str">
        <f t="shared" si="147"/>
        <v>Yes</v>
      </c>
      <c r="M2337" s="5">
        <f t="shared" si="146"/>
        <v>1</v>
      </c>
    </row>
    <row r="2338" spans="1:13" x14ac:dyDescent="0.3">
      <c r="A2338" s="2" t="s">
        <v>4967</v>
      </c>
      <c r="B2338" s="2" t="s">
        <v>2487</v>
      </c>
      <c r="C2338" s="2" t="s">
        <v>2608</v>
      </c>
      <c r="D2338" s="3">
        <v>46010</v>
      </c>
      <c r="E2338" s="3">
        <v>46017</v>
      </c>
      <c r="F2338" s="3">
        <v>46023</v>
      </c>
      <c r="G2338" s="2" t="s">
        <v>2633</v>
      </c>
      <c r="H2338" s="2">
        <v>8</v>
      </c>
      <c r="I2338" s="2">
        <f>IFERROR(INDEX(Raw_Orders!H2338:H4766,MATCH(B2338,Raw_Orders!A2338:A4766,0)),0)</f>
        <v>8</v>
      </c>
      <c r="J2338" s="2" t="str">
        <f t="shared" si="144"/>
        <v>No</v>
      </c>
      <c r="K2338" s="2" t="str">
        <f t="shared" si="145"/>
        <v>Yes</v>
      </c>
      <c r="L2338" s="2" t="str">
        <f t="shared" si="147"/>
        <v>No</v>
      </c>
      <c r="M2338" s="2">
        <f t="shared" si="146"/>
        <v>0</v>
      </c>
    </row>
    <row r="2339" spans="1:13" x14ac:dyDescent="0.3">
      <c r="A2339" s="5" t="s">
        <v>4968</v>
      </c>
      <c r="B2339" s="5" t="s">
        <v>2488</v>
      </c>
      <c r="C2339" s="5" t="s">
        <v>2601</v>
      </c>
      <c r="D2339" s="6">
        <v>46011</v>
      </c>
      <c r="E2339" s="6">
        <v>46019</v>
      </c>
      <c r="F2339" s="6">
        <v>46016</v>
      </c>
      <c r="G2339" s="5" t="s">
        <v>2627</v>
      </c>
      <c r="H2339" s="5">
        <v>17</v>
      </c>
      <c r="I2339" s="5">
        <f>IFERROR(INDEX(Raw_Orders!H2339:H4767,MATCH(B2339,Raw_Orders!A2339:A4767,0)),0)</f>
        <v>17</v>
      </c>
      <c r="J2339" s="5" t="str">
        <f t="shared" si="144"/>
        <v>Yes</v>
      </c>
      <c r="K2339" s="5" t="str">
        <f t="shared" si="145"/>
        <v>Yes</v>
      </c>
      <c r="L2339" s="5" t="str">
        <f t="shared" si="147"/>
        <v>Yes</v>
      </c>
      <c r="M2339" s="5">
        <f t="shared" si="146"/>
        <v>1</v>
      </c>
    </row>
    <row r="2340" spans="1:13" x14ac:dyDescent="0.3">
      <c r="A2340" s="2" t="s">
        <v>4969</v>
      </c>
      <c r="B2340" s="2" t="s">
        <v>2489</v>
      </c>
      <c r="C2340" s="2" t="s">
        <v>2614</v>
      </c>
      <c r="D2340" s="3">
        <v>46009</v>
      </c>
      <c r="E2340" s="3">
        <v>46014</v>
      </c>
      <c r="F2340" s="3">
        <v>46023</v>
      </c>
      <c r="G2340" s="2" t="s">
        <v>2629</v>
      </c>
      <c r="H2340" s="2">
        <v>56</v>
      </c>
      <c r="I2340" s="2">
        <f>IFERROR(INDEX(Raw_Orders!H2340:H4768,MATCH(B2340,Raw_Orders!A2340:A4768,0)),0)</f>
        <v>56</v>
      </c>
      <c r="J2340" s="2" t="str">
        <f t="shared" si="144"/>
        <v>No</v>
      </c>
      <c r="K2340" s="2" t="str">
        <f t="shared" si="145"/>
        <v>Yes</v>
      </c>
      <c r="L2340" s="2" t="str">
        <f t="shared" si="147"/>
        <v>No</v>
      </c>
      <c r="M2340" s="2">
        <f t="shared" si="146"/>
        <v>0</v>
      </c>
    </row>
    <row r="2341" spans="1:13" x14ac:dyDescent="0.3">
      <c r="A2341" s="5" t="s">
        <v>4970</v>
      </c>
      <c r="B2341" s="5" t="s">
        <v>2490</v>
      </c>
      <c r="C2341" s="5" t="s">
        <v>2614</v>
      </c>
      <c r="D2341" s="6">
        <v>46009</v>
      </c>
      <c r="E2341" s="6">
        <v>46013</v>
      </c>
      <c r="F2341" s="6">
        <v>46023</v>
      </c>
      <c r="G2341" s="5" t="s">
        <v>2641</v>
      </c>
      <c r="H2341" s="5">
        <v>21</v>
      </c>
      <c r="I2341" s="5">
        <f>IFERROR(INDEX(Raw_Orders!H2341:H4769,MATCH(B2341,Raw_Orders!A2341:A4769,0)),0)</f>
        <v>21</v>
      </c>
      <c r="J2341" s="5" t="str">
        <f t="shared" si="144"/>
        <v>No</v>
      </c>
      <c r="K2341" s="5" t="str">
        <f t="shared" si="145"/>
        <v>Yes</v>
      </c>
      <c r="L2341" s="5" t="str">
        <f t="shared" si="147"/>
        <v>No</v>
      </c>
      <c r="M2341" s="5">
        <f t="shared" si="146"/>
        <v>0</v>
      </c>
    </row>
    <row r="2342" spans="1:13" x14ac:dyDescent="0.3">
      <c r="A2342" s="2" t="s">
        <v>4971</v>
      </c>
      <c r="B2342" s="2" t="s">
        <v>2491</v>
      </c>
      <c r="C2342" s="2" t="s">
        <v>2606</v>
      </c>
      <c r="D2342" s="3">
        <v>46010</v>
      </c>
      <c r="E2342" s="3">
        <v>46016</v>
      </c>
      <c r="F2342" s="3">
        <v>46018</v>
      </c>
      <c r="G2342" s="2" t="s">
        <v>2629</v>
      </c>
      <c r="H2342" s="2">
        <v>56</v>
      </c>
      <c r="I2342" s="2">
        <f>IFERROR(INDEX(Raw_Orders!H2342:H4770,MATCH(B2342,Raw_Orders!A2342:A4770,0)),0)</f>
        <v>64</v>
      </c>
      <c r="J2342" s="2" t="str">
        <f t="shared" si="144"/>
        <v>No</v>
      </c>
      <c r="K2342" s="2" t="str">
        <f t="shared" si="145"/>
        <v>N0</v>
      </c>
      <c r="L2342" s="2" t="str">
        <f t="shared" si="147"/>
        <v>No</v>
      </c>
      <c r="M2342" s="2">
        <f t="shared" si="146"/>
        <v>0</v>
      </c>
    </row>
    <row r="2343" spans="1:13" x14ac:dyDescent="0.3">
      <c r="A2343" s="5" t="s">
        <v>4972</v>
      </c>
      <c r="B2343" s="5" t="s">
        <v>2492</v>
      </c>
      <c r="C2343" s="5" t="s">
        <v>2608</v>
      </c>
      <c r="D2343" s="6">
        <v>46011</v>
      </c>
      <c r="E2343" s="6">
        <v>46018</v>
      </c>
      <c r="F2343" s="6">
        <v>46024</v>
      </c>
      <c r="G2343" s="5" t="s">
        <v>2627</v>
      </c>
      <c r="H2343" s="5">
        <v>41</v>
      </c>
      <c r="I2343" s="5">
        <f>IFERROR(INDEX(Raw_Orders!H2343:H4771,MATCH(B2343,Raw_Orders!A2343:A4771,0)),0)</f>
        <v>43</v>
      </c>
      <c r="J2343" s="5" t="str">
        <f t="shared" si="144"/>
        <v>No</v>
      </c>
      <c r="K2343" s="5" t="str">
        <f t="shared" si="145"/>
        <v>N0</v>
      </c>
      <c r="L2343" s="5" t="str">
        <f t="shared" si="147"/>
        <v>No</v>
      </c>
      <c r="M2343" s="5">
        <f t="shared" si="146"/>
        <v>0</v>
      </c>
    </row>
    <row r="2344" spans="1:13" x14ac:dyDescent="0.3">
      <c r="A2344" s="2" t="s">
        <v>4973</v>
      </c>
      <c r="B2344" s="2" t="s">
        <v>2493</v>
      </c>
      <c r="C2344" s="2" t="s">
        <v>2608</v>
      </c>
      <c r="D2344" s="3">
        <v>46010</v>
      </c>
      <c r="E2344" s="3">
        <v>46016</v>
      </c>
      <c r="F2344" s="3">
        <v>46024</v>
      </c>
      <c r="G2344" s="2" t="s">
        <v>2631</v>
      </c>
      <c r="H2344" s="2">
        <v>13</v>
      </c>
      <c r="I2344" s="2">
        <f>IFERROR(INDEX(Raw_Orders!H2344:H4772,MATCH(B2344,Raw_Orders!A2344:A4772,0)),0)</f>
        <v>13</v>
      </c>
      <c r="J2344" s="2" t="str">
        <f t="shared" si="144"/>
        <v>No</v>
      </c>
      <c r="K2344" s="2" t="str">
        <f t="shared" si="145"/>
        <v>Yes</v>
      </c>
      <c r="L2344" s="2" t="str">
        <f t="shared" si="147"/>
        <v>No</v>
      </c>
      <c r="M2344" s="2">
        <f t="shared" si="146"/>
        <v>0</v>
      </c>
    </row>
    <row r="2345" spans="1:13" x14ac:dyDescent="0.3">
      <c r="A2345" s="5" t="s">
        <v>4974</v>
      </c>
      <c r="B2345" s="5" t="s">
        <v>2494</v>
      </c>
      <c r="C2345" s="5" t="s">
        <v>2614</v>
      </c>
      <c r="D2345" s="6">
        <v>46012</v>
      </c>
      <c r="E2345" s="6">
        <v>46018</v>
      </c>
      <c r="F2345" s="6">
        <v>46028</v>
      </c>
      <c r="G2345" s="5" t="s">
        <v>2629</v>
      </c>
      <c r="H2345" s="5">
        <v>38</v>
      </c>
      <c r="I2345" s="5">
        <f>IFERROR(INDEX(Raw_Orders!H2345:H4773,MATCH(B2345,Raw_Orders!A2345:A4773,0)),0)</f>
        <v>38</v>
      </c>
      <c r="J2345" s="5" t="str">
        <f t="shared" si="144"/>
        <v>No</v>
      </c>
      <c r="K2345" s="5" t="str">
        <f t="shared" si="145"/>
        <v>Yes</v>
      </c>
      <c r="L2345" s="5" t="str">
        <f t="shared" si="147"/>
        <v>No</v>
      </c>
      <c r="M2345" s="5">
        <f t="shared" si="146"/>
        <v>0</v>
      </c>
    </row>
    <row r="2346" spans="1:13" x14ac:dyDescent="0.3">
      <c r="A2346" s="2" t="s">
        <v>4975</v>
      </c>
      <c r="B2346" s="2" t="s">
        <v>2495</v>
      </c>
      <c r="C2346" s="2" t="s">
        <v>2606</v>
      </c>
      <c r="D2346" s="3">
        <v>46011</v>
      </c>
      <c r="E2346" s="3">
        <v>46017</v>
      </c>
      <c r="F2346" s="3">
        <v>46016</v>
      </c>
      <c r="G2346" s="2" t="s">
        <v>2629</v>
      </c>
      <c r="H2346" s="2">
        <v>54</v>
      </c>
      <c r="I2346" s="2">
        <f>IFERROR(INDEX(Raw_Orders!H2346:H4774,MATCH(B2346,Raw_Orders!A2346:A4774,0)),0)</f>
        <v>54</v>
      </c>
      <c r="J2346" s="2" t="str">
        <f t="shared" si="144"/>
        <v>Yes</v>
      </c>
      <c r="K2346" s="2" t="str">
        <f t="shared" si="145"/>
        <v>Yes</v>
      </c>
      <c r="L2346" s="2" t="str">
        <f t="shared" si="147"/>
        <v>Yes</v>
      </c>
      <c r="M2346" s="2">
        <f t="shared" si="146"/>
        <v>1</v>
      </c>
    </row>
    <row r="2347" spans="1:13" x14ac:dyDescent="0.3">
      <c r="A2347" s="5" t="s">
        <v>4976</v>
      </c>
      <c r="B2347" s="5" t="s">
        <v>2496</v>
      </c>
      <c r="C2347" s="5" t="s">
        <v>2608</v>
      </c>
      <c r="D2347" s="6">
        <v>46011</v>
      </c>
      <c r="E2347" s="6">
        <v>46015</v>
      </c>
      <c r="F2347" s="6">
        <v>46025</v>
      </c>
      <c r="G2347" s="5" t="s">
        <v>2629</v>
      </c>
      <c r="H2347" s="5">
        <v>27</v>
      </c>
      <c r="I2347" s="5">
        <f>IFERROR(INDEX(Raw_Orders!H2347:H4775,MATCH(B2347,Raw_Orders!A2347:A4775,0)),0)</f>
        <v>27</v>
      </c>
      <c r="J2347" s="5" t="str">
        <f t="shared" si="144"/>
        <v>No</v>
      </c>
      <c r="K2347" s="5" t="str">
        <f t="shared" si="145"/>
        <v>Yes</v>
      </c>
      <c r="L2347" s="5" t="str">
        <f t="shared" si="147"/>
        <v>No</v>
      </c>
      <c r="M2347" s="5">
        <f t="shared" si="146"/>
        <v>0</v>
      </c>
    </row>
    <row r="2348" spans="1:13" x14ac:dyDescent="0.3">
      <c r="A2348" s="2" t="s">
        <v>4977</v>
      </c>
      <c r="B2348" s="2" t="s">
        <v>2497</v>
      </c>
      <c r="C2348" s="2" t="s">
        <v>2611</v>
      </c>
      <c r="D2348" s="3">
        <v>46011</v>
      </c>
      <c r="E2348" s="3">
        <v>46019</v>
      </c>
      <c r="F2348" s="3">
        <v>46018</v>
      </c>
      <c r="G2348" s="2" t="s">
        <v>2631</v>
      </c>
      <c r="H2348" s="2">
        <v>23</v>
      </c>
      <c r="I2348" s="2">
        <f>IFERROR(INDEX(Raw_Orders!H2348:H4776,MATCH(B2348,Raw_Orders!A2348:A4776,0)),0)</f>
        <v>23</v>
      </c>
      <c r="J2348" s="2" t="str">
        <f t="shared" si="144"/>
        <v>Yes</v>
      </c>
      <c r="K2348" s="2" t="str">
        <f t="shared" si="145"/>
        <v>Yes</v>
      </c>
      <c r="L2348" s="2" t="str">
        <f t="shared" si="147"/>
        <v>Yes</v>
      </c>
      <c r="M2348" s="2">
        <f t="shared" si="146"/>
        <v>1</v>
      </c>
    </row>
    <row r="2349" spans="1:13" x14ac:dyDescent="0.3">
      <c r="A2349" s="5" t="s">
        <v>4978</v>
      </c>
      <c r="B2349" s="5" t="s">
        <v>2498</v>
      </c>
      <c r="C2349" s="5" t="s">
        <v>2598</v>
      </c>
      <c r="D2349" s="6">
        <v>46011</v>
      </c>
      <c r="E2349" s="6">
        <v>46015</v>
      </c>
      <c r="F2349" s="6">
        <v>46023</v>
      </c>
      <c r="G2349" s="5" t="s">
        <v>2641</v>
      </c>
      <c r="H2349" s="5">
        <v>22</v>
      </c>
      <c r="I2349" s="5">
        <f>IFERROR(INDEX(Raw_Orders!H2349:H4777,MATCH(B2349,Raw_Orders!A2349:A4777,0)),0)</f>
        <v>22</v>
      </c>
      <c r="J2349" s="5" t="str">
        <f t="shared" si="144"/>
        <v>No</v>
      </c>
      <c r="K2349" s="5" t="str">
        <f t="shared" si="145"/>
        <v>Yes</v>
      </c>
      <c r="L2349" s="5" t="str">
        <f t="shared" si="147"/>
        <v>No</v>
      </c>
      <c r="M2349" s="5">
        <f t="shared" si="146"/>
        <v>0</v>
      </c>
    </row>
    <row r="2350" spans="1:13" x14ac:dyDescent="0.3">
      <c r="A2350" s="2" t="s">
        <v>4979</v>
      </c>
      <c r="B2350" s="2" t="s">
        <v>2499</v>
      </c>
      <c r="C2350" s="2" t="s">
        <v>2614</v>
      </c>
      <c r="D2350" s="3">
        <v>46013</v>
      </c>
      <c r="E2350" s="3">
        <v>46018</v>
      </c>
      <c r="F2350" s="3">
        <v>46028</v>
      </c>
      <c r="G2350" s="2" t="s">
        <v>2641</v>
      </c>
      <c r="H2350" s="2">
        <v>13</v>
      </c>
      <c r="I2350" s="2">
        <f>IFERROR(INDEX(Raw_Orders!H2350:H4778,MATCH(B2350,Raw_Orders!A2350:A4778,0)),0)</f>
        <v>13</v>
      </c>
      <c r="J2350" s="2" t="str">
        <f t="shared" si="144"/>
        <v>No</v>
      </c>
      <c r="K2350" s="2" t="str">
        <f t="shared" si="145"/>
        <v>Yes</v>
      </c>
      <c r="L2350" s="2" t="str">
        <f t="shared" si="147"/>
        <v>No</v>
      </c>
      <c r="M2350" s="2">
        <f t="shared" si="146"/>
        <v>0</v>
      </c>
    </row>
    <row r="2351" spans="1:13" x14ac:dyDescent="0.3">
      <c r="A2351" s="5" t="s">
        <v>4980</v>
      </c>
      <c r="B2351" s="5" t="s">
        <v>2500</v>
      </c>
      <c r="C2351" s="5" t="s">
        <v>2616</v>
      </c>
      <c r="D2351" s="6">
        <v>46013</v>
      </c>
      <c r="E2351" s="6">
        <v>46014</v>
      </c>
      <c r="F2351" s="6">
        <v>46028</v>
      </c>
      <c r="G2351" s="5" t="s">
        <v>2633</v>
      </c>
      <c r="H2351" s="5">
        <v>35</v>
      </c>
      <c r="I2351" s="5">
        <f>IFERROR(INDEX(Raw_Orders!H2351:H4779,MATCH(B2351,Raw_Orders!A2351:A4779,0)),0)</f>
        <v>35</v>
      </c>
      <c r="J2351" s="5" t="str">
        <f t="shared" si="144"/>
        <v>No</v>
      </c>
      <c r="K2351" s="5" t="str">
        <f t="shared" si="145"/>
        <v>Yes</v>
      </c>
      <c r="L2351" s="5" t="str">
        <f t="shared" si="147"/>
        <v>No</v>
      </c>
      <c r="M2351" s="5">
        <f t="shared" si="146"/>
        <v>0</v>
      </c>
    </row>
    <row r="2352" spans="1:13" x14ac:dyDescent="0.3">
      <c r="A2352" s="2" t="s">
        <v>4981</v>
      </c>
      <c r="B2352" s="2" t="s">
        <v>2501</v>
      </c>
      <c r="C2352" s="2" t="s">
        <v>2606</v>
      </c>
      <c r="D2352" s="3">
        <v>46013</v>
      </c>
      <c r="E2352" s="3">
        <v>46015</v>
      </c>
      <c r="F2352" s="3">
        <v>46019</v>
      </c>
      <c r="G2352" s="2" t="s">
        <v>2641</v>
      </c>
      <c r="H2352" s="2">
        <v>27</v>
      </c>
      <c r="I2352" s="2">
        <f>IFERROR(INDEX(Raw_Orders!H2352:H4780,MATCH(B2352,Raw_Orders!A2352:A4780,0)),0)</f>
        <v>27</v>
      </c>
      <c r="J2352" s="2" t="str">
        <f t="shared" si="144"/>
        <v>No</v>
      </c>
      <c r="K2352" s="2" t="str">
        <f t="shared" si="145"/>
        <v>Yes</v>
      </c>
      <c r="L2352" s="2" t="str">
        <f t="shared" si="147"/>
        <v>No</v>
      </c>
      <c r="M2352" s="2">
        <f t="shared" si="146"/>
        <v>0</v>
      </c>
    </row>
    <row r="2353" spans="1:13" x14ac:dyDescent="0.3">
      <c r="A2353" s="5" t="s">
        <v>4982</v>
      </c>
      <c r="B2353" s="5" t="s">
        <v>2502</v>
      </c>
      <c r="C2353" s="5" t="s">
        <v>2598</v>
      </c>
      <c r="D2353" s="6">
        <v>46014</v>
      </c>
      <c r="E2353" s="6">
        <v>46020</v>
      </c>
      <c r="F2353" s="6">
        <v>46029</v>
      </c>
      <c r="G2353" s="5" t="s">
        <v>2629</v>
      </c>
      <c r="H2353" s="5">
        <v>53</v>
      </c>
      <c r="I2353" s="5">
        <f>IFERROR(INDEX(Raw_Orders!H2353:H4781,MATCH(B2353,Raw_Orders!A2353:A4781,0)),0)</f>
        <v>54</v>
      </c>
      <c r="J2353" s="5" t="str">
        <f t="shared" si="144"/>
        <v>No</v>
      </c>
      <c r="K2353" s="5" t="str">
        <f t="shared" si="145"/>
        <v>N0</v>
      </c>
      <c r="L2353" s="5" t="str">
        <f t="shared" si="147"/>
        <v>No</v>
      </c>
      <c r="M2353" s="5">
        <f t="shared" si="146"/>
        <v>0</v>
      </c>
    </row>
    <row r="2354" spans="1:13" x14ac:dyDescent="0.3">
      <c r="A2354" s="2" t="s">
        <v>4983</v>
      </c>
      <c r="B2354" s="2" t="s">
        <v>2503</v>
      </c>
      <c r="C2354" s="2" t="s">
        <v>2611</v>
      </c>
      <c r="D2354" s="3">
        <v>46014</v>
      </c>
      <c r="E2354" s="3">
        <v>46015</v>
      </c>
      <c r="F2354" s="3">
        <v>46021</v>
      </c>
      <c r="G2354" s="2" t="s">
        <v>2633</v>
      </c>
      <c r="H2354" s="2">
        <v>18</v>
      </c>
      <c r="I2354" s="2">
        <f>IFERROR(INDEX(Raw_Orders!H2354:H4782,MATCH(B2354,Raw_Orders!A2354:A4782,0)),0)</f>
        <v>18</v>
      </c>
      <c r="J2354" s="2" t="str">
        <f t="shared" si="144"/>
        <v>No</v>
      </c>
      <c r="K2354" s="2" t="str">
        <f t="shared" si="145"/>
        <v>Yes</v>
      </c>
      <c r="L2354" s="2" t="str">
        <f t="shared" si="147"/>
        <v>No</v>
      </c>
      <c r="M2354" s="2">
        <f t="shared" si="146"/>
        <v>0</v>
      </c>
    </row>
    <row r="2355" spans="1:13" x14ac:dyDescent="0.3">
      <c r="A2355" s="5" t="s">
        <v>4984</v>
      </c>
      <c r="B2355" s="5" t="s">
        <v>2504</v>
      </c>
      <c r="C2355" s="5" t="s">
        <v>2611</v>
      </c>
      <c r="D2355" s="6">
        <v>46012</v>
      </c>
      <c r="E2355" s="6">
        <v>46015</v>
      </c>
      <c r="F2355" s="6">
        <v>46019</v>
      </c>
      <c r="G2355" s="5" t="s">
        <v>2641</v>
      </c>
      <c r="H2355" s="5">
        <v>65</v>
      </c>
      <c r="I2355" s="5">
        <f>IFERROR(INDEX(Raw_Orders!H2355:H4783,MATCH(B2355,Raw_Orders!A2355:A4783,0)),0)</f>
        <v>65</v>
      </c>
      <c r="J2355" s="5" t="str">
        <f t="shared" si="144"/>
        <v>No</v>
      </c>
      <c r="K2355" s="5" t="str">
        <f t="shared" si="145"/>
        <v>Yes</v>
      </c>
      <c r="L2355" s="5" t="str">
        <f t="shared" si="147"/>
        <v>No</v>
      </c>
      <c r="M2355" s="5">
        <f t="shared" si="146"/>
        <v>0</v>
      </c>
    </row>
    <row r="2356" spans="1:13" x14ac:dyDescent="0.3">
      <c r="A2356" s="2" t="s">
        <v>4985</v>
      </c>
      <c r="B2356" s="2" t="s">
        <v>2505</v>
      </c>
      <c r="C2356" s="2" t="s">
        <v>2601</v>
      </c>
      <c r="D2356" s="3">
        <v>46012</v>
      </c>
      <c r="E2356" s="3">
        <v>46021</v>
      </c>
      <c r="F2356" s="3">
        <v>46018</v>
      </c>
      <c r="G2356" s="2" t="s">
        <v>2641</v>
      </c>
      <c r="H2356" s="2">
        <v>23</v>
      </c>
      <c r="I2356" s="2">
        <f>IFERROR(INDEX(Raw_Orders!H2356:H4784,MATCH(B2356,Raw_Orders!A2356:A4784,0)),0)</f>
        <v>23</v>
      </c>
      <c r="J2356" s="2" t="str">
        <f t="shared" si="144"/>
        <v>Yes</v>
      </c>
      <c r="K2356" s="2" t="str">
        <f t="shared" si="145"/>
        <v>Yes</v>
      </c>
      <c r="L2356" s="2" t="str">
        <f t="shared" si="147"/>
        <v>Yes</v>
      </c>
      <c r="M2356" s="2">
        <f t="shared" si="146"/>
        <v>1</v>
      </c>
    </row>
    <row r="2357" spans="1:13" x14ac:dyDescent="0.3">
      <c r="A2357" s="5" t="s">
        <v>4986</v>
      </c>
      <c r="B2357" s="5" t="s">
        <v>2506</v>
      </c>
      <c r="C2357" s="5" t="s">
        <v>2601</v>
      </c>
      <c r="D2357" s="6">
        <v>46013</v>
      </c>
      <c r="E2357" s="6">
        <v>46016</v>
      </c>
      <c r="F2357" s="6">
        <v>46018</v>
      </c>
      <c r="G2357" s="5" t="s">
        <v>2633</v>
      </c>
      <c r="H2357" s="5">
        <v>26</v>
      </c>
      <c r="I2357" s="5">
        <f>IFERROR(INDEX(Raw_Orders!H2357:H4785,MATCH(B2357,Raw_Orders!A2357:A4785,0)),0)</f>
        <v>30</v>
      </c>
      <c r="J2357" s="5" t="str">
        <f t="shared" si="144"/>
        <v>No</v>
      </c>
      <c r="K2357" s="5" t="str">
        <f t="shared" si="145"/>
        <v>N0</v>
      </c>
      <c r="L2357" s="5" t="str">
        <f t="shared" si="147"/>
        <v>No</v>
      </c>
      <c r="M2357" s="5">
        <f t="shared" si="146"/>
        <v>0</v>
      </c>
    </row>
    <row r="2358" spans="1:13" x14ac:dyDescent="0.3">
      <c r="A2358" s="2" t="s">
        <v>4987</v>
      </c>
      <c r="B2358" s="2" t="s">
        <v>2507</v>
      </c>
      <c r="C2358" s="2" t="s">
        <v>2601</v>
      </c>
      <c r="D2358" s="3">
        <v>46014</v>
      </c>
      <c r="E2358" s="3">
        <v>46019</v>
      </c>
      <c r="F2358" s="3">
        <v>46018</v>
      </c>
      <c r="G2358" s="2" t="s">
        <v>2631</v>
      </c>
      <c r="H2358" s="2">
        <v>24</v>
      </c>
      <c r="I2358" s="2">
        <f>IFERROR(INDEX(Raw_Orders!H2358:H4786,MATCH(B2358,Raw_Orders!A2358:A4786,0)),0)</f>
        <v>24</v>
      </c>
      <c r="J2358" s="2" t="str">
        <f t="shared" si="144"/>
        <v>Yes</v>
      </c>
      <c r="K2358" s="2" t="str">
        <f t="shared" si="145"/>
        <v>Yes</v>
      </c>
      <c r="L2358" s="2" t="str">
        <f t="shared" si="147"/>
        <v>Yes</v>
      </c>
      <c r="M2358" s="2">
        <f t="shared" si="146"/>
        <v>1</v>
      </c>
    </row>
    <row r="2359" spans="1:13" x14ac:dyDescent="0.3">
      <c r="A2359" s="5" t="s">
        <v>4988</v>
      </c>
      <c r="B2359" s="5" t="s">
        <v>2508</v>
      </c>
      <c r="C2359" s="5" t="s">
        <v>2608</v>
      </c>
      <c r="D2359" s="6">
        <v>46014</v>
      </c>
      <c r="E2359" s="6">
        <v>46020</v>
      </c>
      <c r="F2359" s="6">
        <v>46026</v>
      </c>
      <c r="G2359" s="5" t="s">
        <v>2629</v>
      </c>
      <c r="H2359" s="5">
        <v>4</v>
      </c>
      <c r="I2359" s="5">
        <f>IFERROR(INDEX(Raw_Orders!H2359:H4787,MATCH(B2359,Raw_Orders!A2359:A4787,0)),0)</f>
        <v>4</v>
      </c>
      <c r="J2359" s="5" t="str">
        <f t="shared" si="144"/>
        <v>No</v>
      </c>
      <c r="K2359" s="5" t="str">
        <f t="shared" si="145"/>
        <v>Yes</v>
      </c>
      <c r="L2359" s="5" t="str">
        <f t="shared" si="147"/>
        <v>No</v>
      </c>
      <c r="M2359" s="5">
        <f t="shared" si="146"/>
        <v>0</v>
      </c>
    </row>
    <row r="2360" spans="1:13" x14ac:dyDescent="0.3">
      <c r="A2360" s="2" t="s">
        <v>4989</v>
      </c>
      <c r="B2360" s="2" t="s">
        <v>2509</v>
      </c>
      <c r="C2360" s="2" t="s">
        <v>2608</v>
      </c>
      <c r="D2360" s="3">
        <v>46014</v>
      </c>
      <c r="E2360" s="3">
        <v>46018</v>
      </c>
      <c r="F2360" s="3">
        <v>46027</v>
      </c>
      <c r="G2360" s="2" t="s">
        <v>2631</v>
      </c>
      <c r="H2360" s="2">
        <v>8</v>
      </c>
      <c r="I2360" s="2">
        <f>IFERROR(INDEX(Raw_Orders!H2360:H4788,MATCH(B2360,Raw_Orders!A2360:A4788,0)),0)</f>
        <v>8</v>
      </c>
      <c r="J2360" s="2" t="str">
        <f t="shared" si="144"/>
        <v>No</v>
      </c>
      <c r="K2360" s="2" t="str">
        <f t="shared" si="145"/>
        <v>Yes</v>
      </c>
      <c r="L2360" s="2" t="str">
        <f t="shared" si="147"/>
        <v>No</v>
      </c>
      <c r="M2360" s="2">
        <f t="shared" si="146"/>
        <v>0</v>
      </c>
    </row>
    <row r="2361" spans="1:13" x14ac:dyDescent="0.3">
      <c r="A2361" s="5" t="s">
        <v>4990</v>
      </c>
      <c r="B2361" s="5" t="s">
        <v>2510</v>
      </c>
      <c r="C2361" s="5" t="s">
        <v>2611</v>
      </c>
      <c r="D2361" s="6">
        <v>46015</v>
      </c>
      <c r="E2361" s="6">
        <v>46020</v>
      </c>
      <c r="F2361" s="6">
        <v>46022</v>
      </c>
      <c r="G2361" s="5" t="s">
        <v>2631</v>
      </c>
      <c r="H2361" s="5">
        <v>47</v>
      </c>
      <c r="I2361" s="5">
        <f>IFERROR(INDEX(Raw_Orders!H2361:H4789,MATCH(B2361,Raw_Orders!A2361:A4789,0)),0)</f>
        <v>47</v>
      </c>
      <c r="J2361" s="5" t="str">
        <f t="shared" si="144"/>
        <v>No</v>
      </c>
      <c r="K2361" s="5" t="str">
        <f t="shared" si="145"/>
        <v>Yes</v>
      </c>
      <c r="L2361" s="5" t="str">
        <f t="shared" si="147"/>
        <v>No</v>
      </c>
      <c r="M2361" s="5">
        <f t="shared" si="146"/>
        <v>0</v>
      </c>
    </row>
    <row r="2362" spans="1:13" x14ac:dyDescent="0.3">
      <c r="A2362" s="2" t="s">
        <v>4991</v>
      </c>
      <c r="B2362" s="2" t="s">
        <v>2511</v>
      </c>
      <c r="C2362" s="2" t="s">
        <v>2611</v>
      </c>
      <c r="D2362" s="3">
        <v>46015</v>
      </c>
      <c r="E2362" s="3">
        <v>46018</v>
      </c>
      <c r="F2362" s="3">
        <v>46023</v>
      </c>
      <c r="G2362" s="2" t="s">
        <v>2641</v>
      </c>
      <c r="H2362" s="2">
        <v>50</v>
      </c>
      <c r="I2362" s="2">
        <f>IFERROR(INDEX(Raw_Orders!H2362:H4790,MATCH(B2362,Raw_Orders!A2362:A4790,0)),0)</f>
        <v>53</v>
      </c>
      <c r="J2362" s="2" t="str">
        <f t="shared" si="144"/>
        <v>No</v>
      </c>
      <c r="K2362" s="2" t="str">
        <f t="shared" si="145"/>
        <v>N0</v>
      </c>
      <c r="L2362" s="2" t="str">
        <f t="shared" si="147"/>
        <v>No</v>
      </c>
      <c r="M2362" s="2">
        <f t="shared" si="146"/>
        <v>0</v>
      </c>
    </row>
    <row r="2363" spans="1:13" x14ac:dyDescent="0.3">
      <c r="A2363" s="5" t="s">
        <v>4992</v>
      </c>
      <c r="B2363" s="5" t="s">
        <v>2512</v>
      </c>
      <c r="C2363" s="5" t="s">
        <v>2601</v>
      </c>
      <c r="D2363" s="6">
        <v>46014</v>
      </c>
      <c r="E2363" s="6">
        <v>46017</v>
      </c>
      <c r="F2363" s="6">
        <v>46018</v>
      </c>
      <c r="G2363" s="5" t="s">
        <v>2627</v>
      </c>
      <c r="H2363" s="5">
        <v>22</v>
      </c>
      <c r="I2363" s="5">
        <f>IFERROR(INDEX(Raw_Orders!H2363:H4791,MATCH(B2363,Raw_Orders!A2363:A4791,0)),0)</f>
        <v>29</v>
      </c>
      <c r="J2363" s="5" t="str">
        <f t="shared" si="144"/>
        <v>No</v>
      </c>
      <c r="K2363" s="5" t="str">
        <f t="shared" si="145"/>
        <v>N0</v>
      </c>
      <c r="L2363" s="5" t="str">
        <f t="shared" si="147"/>
        <v>No</v>
      </c>
      <c r="M2363" s="5">
        <f t="shared" si="146"/>
        <v>0</v>
      </c>
    </row>
    <row r="2364" spans="1:13" x14ac:dyDescent="0.3">
      <c r="A2364" s="2" t="s">
        <v>4993</v>
      </c>
      <c r="B2364" s="2" t="s">
        <v>2513</v>
      </c>
      <c r="C2364" s="2" t="s">
        <v>2616</v>
      </c>
      <c r="D2364" s="3">
        <v>46014</v>
      </c>
      <c r="E2364" s="3">
        <v>46020</v>
      </c>
      <c r="F2364" s="3">
        <v>46030</v>
      </c>
      <c r="G2364" s="2" t="s">
        <v>2631</v>
      </c>
      <c r="H2364" s="2">
        <v>52</v>
      </c>
      <c r="I2364" s="2">
        <f>IFERROR(INDEX(Raw_Orders!H2364:H4792,MATCH(B2364,Raw_Orders!A2364:A4792,0)),0)</f>
        <v>52</v>
      </c>
      <c r="J2364" s="2" t="str">
        <f t="shared" si="144"/>
        <v>No</v>
      </c>
      <c r="K2364" s="2" t="str">
        <f t="shared" si="145"/>
        <v>Yes</v>
      </c>
      <c r="L2364" s="2" t="str">
        <f t="shared" si="147"/>
        <v>No</v>
      </c>
      <c r="M2364" s="2">
        <f t="shared" si="146"/>
        <v>0</v>
      </c>
    </row>
    <row r="2365" spans="1:13" x14ac:dyDescent="0.3">
      <c r="A2365" s="5" t="s">
        <v>4994</v>
      </c>
      <c r="B2365" s="5" t="s">
        <v>2514</v>
      </c>
      <c r="C2365" s="5" t="s">
        <v>2606</v>
      </c>
      <c r="D2365" s="6">
        <v>46013</v>
      </c>
      <c r="E2365" s="6">
        <v>46023</v>
      </c>
      <c r="F2365" s="6">
        <v>46019</v>
      </c>
      <c r="G2365" s="5" t="s">
        <v>2627</v>
      </c>
      <c r="H2365" s="5">
        <v>72</v>
      </c>
      <c r="I2365" s="5">
        <f>IFERROR(INDEX(Raw_Orders!H2365:H4793,MATCH(B2365,Raw_Orders!A2365:A4793,0)),0)</f>
        <v>76</v>
      </c>
      <c r="J2365" s="5" t="str">
        <f t="shared" si="144"/>
        <v>Yes</v>
      </c>
      <c r="K2365" s="5" t="str">
        <f t="shared" si="145"/>
        <v>N0</v>
      </c>
      <c r="L2365" s="5" t="str">
        <f t="shared" si="147"/>
        <v>No</v>
      </c>
      <c r="M2365" s="5">
        <f t="shared" si="146"/>
        <v>0</v>
      </c>
    </row>
    <row r="2366" spans="1:13" x14ac:dyDescent="0.3">
      <c r="A2366" s="2" t="s">
        <v>4995</v>
      </c>
      <c r="B2366" s="2" t="s">
        <v>2515</v>
      </c>
      <c r="C2366" s="2" t="s">
        <v>2608</v>
      </c>
      <c r="D2366" s="3">
        <v>46013</v>
      </c>
      <c r="E2366" s="3">
        <v>46019</v>
      </c>
      <c r="F2366" s="3">
        <v>46025</v>
      </c>
      <c r="G2366" s="2" t="s">
        <v>2641</v>
      </c>
      <c r="H2366" s="2">
        <v>9</v>
      </c>
      <c r="I2366" s="2">
        <f>IFERROR(INDEX(Raw_Orders!H2366:H4794,MATCH(B2366,Raw_Orders!A2366:A4794,0)),0)</f>
        <v>9</v>
      </c>
      <c r="J2366" s="2" t="str">
        <f t="shared" si="144"/>
        <v>No</v>
      </c>
      <c r="K2366" s="2" t="str">
        <f t="shared" si="145"/>
        <v>Yes</v>
      </c>
      <c r="L2366" s="2" t="str">
        <f t="shared" si="147"/>
        <v>No</v>
      </c>
      <c r="M2366" s="2">
        <f t="shared" si="146"/>
        <v>0</v>
      </c>
    </row>
    <row r="2367" spans="1:13" x14ac:dyDescent="0.3">
      <c r="A2367" s="5" t="s">
        <v>4996</v>
      </c>
      <c r="B2367" s="5" t="s">
        <v>2516</v>
      </c>
      <c r="C2367" s="5" t="s">
        <v>2601</v>
      </c>
      <c r="D2367" s="6">
        <v>46014</v>
      </c>
      <c r="E2367" s="6">
        <v>46022</v>
      </c>
      <c r="F2367" s="6">
        <v>46020</v>
      </c>
      <c r="G2367" s="5" t="s">
        <v>2627</v>
      </c>
      <c r="H2367" s="5">
        <v>19</v>
      </c>
      <c r="I2367" s="5">
        <f>IFERROR(INDEX(Raw_Orders!H2367:H4795,MATCH(B2367,Raw_Orders!A2367:A4795,0)),0)</f>
        <v>19</v>
      </c>
      <c r="J2367" s="5" t="str">
        <f t="shared" si="144"/>
        <v>Yes</v>
      </c>
      <c r="K2367" s="5" t="str">
        <f t="shared" si="145"/>
        <v>Yes</v>
      </c>
      <c r="L2367" s="5" t="str">
        <f t="shared" si="147"/>
        <v>Yes</v>
      </c>
      <c r="M2367" s="5">
        <f t="shared" si="146"/>
        <v>1</v>
      </c>
    </row>
    <row r="2368" spans="1:13" x14ac:dyDescent="0.3">
      <c r="A2368" s="2" t="s">
        <v>4997</v>
      </c>
      <c r="B2368" s="2" t="s">
        <v>2517</v>
      </c>
      <c r="C2368" s="2" t="s">
        <v>2606</v>
      </c>
      <c r="D2368" s="3">
        <v>46015</v>
      </c>
      <c r="E2368" s="3">
        <v>46023</v>
      </c>
      <c r="F2368" s="3">
        <v>46025</v>
      </c>
      <c r="G2368" s="2" t="s">
        <v>2633</v>
      </c>
      <c r="H2368" s="2">
        <v>58</v>
      </c>
      <c r="I2368" s="2">
        <f>IFERROR(INDEX(Raw_Orders!H2368:H4796,MATCH(B2368,Raw_Orders!A2368:A4796,0)),0)</f>
        <v>65</v>
      </c>
      <c r="J2368" s="2" t="str">
        <f t="shared" si="144"/>
        <v>No</v>
      </c>
      <c r="K2368" s="2" t="str">
        <f t="shared" si="145"/>
        <v>N0</v>
      </c>
      <c r="L2368" s="2" t="str">
        <f t="shared" si="147"/>
        <v>No</v>
      </c>
      <c r="M2368" s="2">
        <f t="shared" si="146"/>
        <v>0</v>
      </c>
    </row>
    <row r="2369" spans="1:13" x14ac:dyDescent="0.3">
      <c r="A2369" s="5" t="s">
        <v>4998</v>
      </c>
      <c r="B2369" s="5" t="s">
        <v>2518</v>
      </c>
      <c r="C2369" s="5" t="s">
        <v>2606</v>
      </c>
      <c r="D2369" s="6">
        <v>46016</v>
      </c>
      <c r="E2369" s="6">
        <v>46020</v>
      </c>
      <c r="F2369" s="6">
        <v>46022</v>
      </c>
      <c r="G2369" s="5" t="s">
        <v>2641</v>
      </c>
      <c r="H2369" s="5">
        <v>24</v>
      </c>
      <c r="I2369" s="5">
        <f>IFERROR(INDEX(Raw_Orders!H2369:H4797,MATCH(B2369,Raw_Orders!A2369:A4797,0)),0)</f>
        <v>24</v>
      </c>
      <c r="J2369" s="5" t="str">
        <f t="shared" si="144"/>
        <v>No</v>
      </c>
      <c r="K2369" s="5" t="str">
        <f t="shared" si="145"/>
        <v>Yes</v>
      </c>
      <c r="L2369" s="5" t="str">
        <f t="shared" si="147"/>
        <v>No</v>
      </c>
      <c r="M2369" s="5">
        <f t="shared" si="146"/>
        <v>0</v>
      </c>
    </row>
    <row r="2370" spans="1:13" x14ac:dyDescent="0.3">
      <c r="A2370" s="2" t="s">
        <v>4999</v>
      </c>
      <c r="B2370" s="2" t="s">
        <v>2519</v>
      </c>
      <c r="C2370" s="2" t="s">
        <v>2608</v>
      </c>
      <c r="D2370" s="3">
        <v>46016</v>
      </c>
      <c r="E2370" s="3">
        <v>46024</v>
      </c>
      <c r="F2370" s="3">
        <v>46030</v>
      </c>
      <c r="G2370" s="2" t="s">
        <v>2631</v>
      </c>
      <c r="H2370" s="2">
        <v>6</v>
      </c>
      <c r="I2370" s="2">
        <f>IFERROR(INDEX(Raw_Orders!H2370:H4798,MATCH(B2370,Raw_Orders!A2370:A4798,0)),0)</f>
        <v>10</v>
      </c>
      <c r="J2370" s="2" t="str">
        <f t="shared" si="144"/>
        <v>No</v>
      </c>
      <c r="K2370" s="2" t="str">
        <f t="shared" si="145"/>
        <v>N0</v>
      </c>
      <c r="L2370" s="2" t="str">
        <f t="shared" si="147"/>
        <v>No</v>
      </c>
      <c r="M2370" s="2">
        <f t="shared" si="146"/>
        <v>0</v>
      </c>
    </row>
    <row r="2371" spans="1:13" x14ac:dyDescent="0.3">
      <c r="A2371" s="5" t="s">
        <v>5000</v>
      </c>
      <c r="B2371" s="5" t="s">
        <v>2520</v>
      </c>
      <c r="C2371" s="5" t="s">
        <v>2608</v>
      </c>
      <c r="D2371" s="6">
        <v>46015</v>
      </c>
      <c r="E2371" s="6">
        <v>46022</v>
      </c>
      <c r="F2371" s="6">
        <v>46029</v>
      </c>
      <c r="G2371" s="5" t="s">
        <v>2641</v>
      </c>
      <c r="H2371" s="5">
        <v>11</v>
      </c>
      <c r="I2371" s="5">
        <f>IFERROR(INDEX(Raw_Orders!H2371:H4799,MATCH(B2371,Raw_Orders!A2371:A4799,0)),0)</f>
        <v>11</v>
      </c>
      <c r="J2371" s="5" t="str">
        <f t="shared" ref="J2371:J2430" si="148">IF(E2371&gt;=F2371,"Yes","No")</f>
        <v>No</v>
      </c>
      <c r="K2371" s="5" t="str">
        <f t="shared" ref="K2371:K2430" si="149">IF(H2371&gt;=I2371,"Yes","N0")</f>
        <v>Yes</v>
      </c>
      <c r="L2371" s="5" t="str">
        <f t="shared" si="147"/>
        <v>No</v>
      </c>
      <c r="M2371" s="5">
        <f t="shared" ref="M2371:M2430" si="150">IF(L2371="Yes",1,0)</f>
        <v>0</v>
      </c>
    </row>
    <row r="2372" spans="1:13" x14ac:dyDescent="0.3">
      <c r="A2372" s="2" t="s">
        <v>5001</v>
      </c>
      <c r="B2372" s="2" t="s">
        <v>2521</v>
      </c>
      <c r="C2372" s="2" t="s">
        <v>2598</v>
      </c>
      <c r="D2372" s="3">
        <v>46015</v>
      </c>
      <c r="E2372" s="3">
        <v>46018</v>
      </c>
      <c r="F2372" s="3">
        <v>46032</v>
      </c>
      <c r="G2372" s="2" t="s">
        <v>2633</v>
      </c>
      <c r="H2372" s="2">
        <v>49</v>
      </c>
      <c r="I2372" s="2">
        <f>IFERROR(INDEX(Raw_Orders!H2372:H4800,MATCH(B2372,Raw_Orders!A2372:A4800,0)),0)</f>
        <v>49</v>
      </c>
      <c r="J2372" s="2" t="str">
        <f t="shared" si="148"/>
        <v>No</v>
      </c>
      <c r="K2372" s="2" t="str">
        <f t="shared" si="149"/>
        <v>Yes</v>
      </c>
      <c r="L2372" s="2" t="str">
        <f t="shared" ref="L2372:L2430" si="151">IF(AND(J2372="Yes",K2372="Yes"),"Yes","No")</f>
        <v>No</v>
      </c>
      <c r="M2372" s="2">
        <f t="shared" si="150"/>
        <v>0</v>
      </c>
    </row>
    <row r="2373" spans="1:13" x14ac:dyDescent="0.3">
      <c r="A2373" s="5" t="s">
        <v>5002</v>
      </c>
      <c r="B2373" s="5" t="s">
        <v>2522</v>
      </c>
      <c r="C2373" s="5" t="s">
        <v>2611</v>
      </c>
      <c r="D2373" s="6">
        <v>46015</v>
      </c>
      <c r="E2373" s="6">
        <v>46018</v>
      </c>
      <c r="F2373" s="6">
        <v>46022</v>
      </c>
      <c r="G2373" s="5" t="s">
        <v>2627</v>
      </c>
      <c r="H2373" s="5">
        <v>63</v>
      </c>
      <c r="I2373" s="5">
        <f>IFERROR(INDEX(Raw_Orders!H2373:H4801,MATCH(B2373,Raw_Orders!A2373:A4801,0)),0)</f>
        <v>63</v>
      </c>
      <c r="J2373" s="5" t="str">
        <f t="shared" si="148"/>
        <v>No</v>
      </c>
      <c r="K2373" s="5" t="str">
        <f t="shared" si="149"/>
        <v>Yes</v>
      </c>
      <c r="L2373" s="5" t="str">
        <f t="shared" si="151"/>
        <v>No</v>
      </c>
      <c r="M2373" s="5">
        <f t="shared" si="150"/>
        <v>0</v>
      </c>
    </row>
    <row r="2374" spans="1:13" x14ac:dyDescent="0.3">
      <c r="A2374" s="2" t="s">
        <v>5003</v>
      </c>
      <c r="B2374" s="2" t="s">
        <v>2523</v>
      </c>
      <c r="C2374" s="2" t="s">
        <v>2601</v>
      </c>
      <c r="D2374" s="3">
        <v>46017</v>
      </c>
      <c r="E2374" s="3">
        <v>46019</v>
      </c>
      <c r="F2374" s="3">
        <v>46024</v>
      </c>
      <c r="G2374" s="2" t="s">
        <v>2641</v>
      </c>
      <c r="H2374" s="2">
        <v>14</v>
      </c>
      <c r="I2374" s="2">
        <f>IFERROR(INDEX(Raw_Orders!H2374:H4802,MATCH(B2374,Raw_Orders!A2374:A4802,0)),0)</f>
        <v>21</v>
      </c>
      <c r="J2374" s="2" t="str">
        <f t="shared" si="148"/>
        <v>No</v>
      </c>
      <c r="K2374" s="2" t="str">
        <f t="shared" si="149"/>
        <v>N0</v>
      </c>
      <c r="L2374" s="2" t="str">
        <f t="shared" si="151"/>
        <v>No</v>
      </c>
      <c r="M2374" s="2">
        <f t="shared" si="150"/>
        <v>0</v>
      </c>
    </row>
    <row r="2375" spans="1:13" x14ac:dyDescent="0.3">
      <c r="A2375" s="5" t="s">
        <v>5004</v>
      </c>
      <c r="B2375" s="5" t="s">
        <v>2524</v>
      </c>
      <c r="C2375" s="5" t="s">
        <v>2604</v>
      </c>
      <c r="D2375" s="6">
        <v>46016</v>
      </c>
      <c r="E2375" s="6">
        <v>46018</v>
      </c>
      <c r="F2375" s="6">
        <v>46019</v>
      </c>
      <c r="G2375" s="5" t="s">
        <v>2641</v>
      </c>
      <c r="H2375" s="5">
        <v>15</v>
      </c>
      <c r="I2375" s="5">
        <f>IFERROR(INDEX(Raw_Orders!H2375:H4803,MATCH(B2375,Raw_Orders!A2375:A4803,0)),0)</f>
        <v>15</v>
      </c>
      <c r="J2375" s="5" t="str">
        <f t="shared" si="148"/>
        <v>No</v>
      </c>
      <c r="K2375" s="5" t="str">
        <f t="shared" si="149"/>
        <v>Yes</v>
      </c>
      <c r="L2375" s="5" t="str">
        <f t="shared" si="151"/>
        <v>No</v>
      </c>
      <c r="M2375" s="5">
        <f t="shared" si="150"/>
        <v>0</v>
      </c>
    </row>
    <row r="2376" spans="1:13" x14ac:dyDescent="0.3">
      <c r="A2376" s="2" t="s">
        <v>5005</v>
      </c>
      <c r="B2376" s="2" t="s">
        <v>2525</v>
      </c>
      <c r="C2376" s="2" t="s">
        <v>2606</v>
      </c>
      <c r="D2376" s="3">
        <v>46016</v>
      </c>
      <c r="E2376" s="3">
        <v>46018</v>
      </c>
      <c r="F2376" s="3">
        <v>46023</v>
      </c>
      <c r="G2376" s="2" t="s">
        <v>2627</v>
      </c>
      <c r="H2376" s="2">
        <v>30</v>
      </c>
      <c r="I2376" s="2">
        <f>IFERROR(INDEX(Raw_Orders!H2376:H4804,MATCH(B2376,Raw_Orders!A2376:A4804,0)),0)</f>
        <v>30</v>
      </c>
      <c r="J2376" s="2" t="str">
        <f t="shared" si="148"/>
        <v>No</v>
      </c>
      <c r="K2376" s="2" t="str">
        <f t="shared" si="149"/>
        <v>Yes</v>
      </c>
      <c r="L2376" s="2" t="str">
        <f t="shared" si="151"/>
        <v>No</v>
      </c>
      <c r="M2376" s="2">
        <f t="shared" si="150"/>
        <v>0</v>
      </c>
    </row>
    <row r="2377" spans="1:13" x14ac:dyDescent="0.3">
      <c r="A2377" s="5" t="s">
        <v>5006</v>
      </c>
      <c r="B2377" s="5" t="s">
        <v>2526</v>
      </c>
      <c r="C2377" s="5" t="s">
        <v>2611</v>
      </c>
      <c r="D2377" s="6">
        <v>46018</v>
      </c>
      <c r="E2377" s="6">
        <v>46025</v>
      </c>
      <c r="F2377" s="6">
        <v>46024</v>
      </c>
      <c r="G2377" s="5" t="s">
        <v>2633</v>
      </c>
      <c r="H2377" s="5">
        <v>19</v>
      </c>
      <c r="I2377" s="5">
        <f>IFERROR(INDEX(Raw_Orders!H2377:H4805,MATCH(B2377,Raw_Orders!A2377:A4805,0)),0)</f>
        <v>19</v>
      </c>
      <c r="J2377" s="5" t="str">
        <f t="shared" si="148"/>
        <v>Yes</v>
      </c>
      <c r="K2377" s="5" t="str">
        <f t="shared" si="149"/>
        <v>Yes</v>
      </c>
      <c r="L2377" s="5" t="str">
        <f t="shared" si="151"/>
        <v>Yes</v>
      </c>
      <c r="M2377" s="5">
        <f t="shared" si="150"/>
        <v>1</v>
      </c>
    </row>
    <row r="2378" spans="1:13" x14ac:dyDescent="0.3">
      <c r="A2378" s="2" t="s">
        <v>5007</v>
      </c>
      <c r="B2378" s="2" t="s">
        <v>2527</v>
      </c>
      <c r="C2378" s="2" t="s">
        <v>2611</v>
      </c>
      <c r="D2378" s="3">
        <v>46018</v>
      </c>
      <c r="E2378" s="3">
        <v>46019</v>
      </c>
      <c r="F2378" s="3">
        <v>46026</v>
      </c>
      <c r="G2378" s="2" t="s">
        <v>2641</v>
      </c>
      <c r="H2378" s="2">
        <v>39</v>
      </c>
      <c r="I2378" s="2">
        <f>IFERROR(INDEX(Raw_Orders!H2378:H4806,MATCH(B2378,Raw_Orders!A2378:A4806,0)),0)</f>
        <v>39</v>
      </c>
      <c r="J2378" s="2" t="str">
        <f t="shared" si="148"/>
        <v>No</v>
      </c>
      <c r="K2378" s="2" t="str">
        <f t="shared" si="149"/>
        <v>Yes</v>
      </c>
      <c r="L2378" s="2" t="str">
        <f t="shared" si="151"/>
        <v>No</v>
      </c>
      <c r="M2378" s="2">
        <f t="shared" si="150"/>
        <v>0</v>
      </c>
    </row>
    <row r="2379" spans="1:13" x14ac:dyDescent="0.3">
      <c r="A2379" s="5" t="s">
        <v>5008</v>
      </c>
      <c r="B2379" s="5" t="s">
        <v>2528</v>
      </c>
      <c r="C2379" s="5" t="s">
        <v>2614</v>
      </c>
      <c r="D2379" s="6">
        <v>46018</v>
      </c>
      <c r="E2379" s="6">
        <v>46020</v>
      </c>
      <c r="F2379" s="6">
        <v>46032</v>
      </c>
      <c r="G2379" s="5" t="s">
        <v>2627</v>
      </c>
      <c r="H2379" s="5">
        <v>22</v>
      </c>
      <c r="I2379" s="5">
        <f>IFERROR(INDEX(Raw_Orders!H2379:H4807,MATCH(B2379,Raw_Orders!A2379:A4807,0)),0)</f>
        <v>22</v>
      </c>
      <c r="J2379" s="5" t="str">
        <f t="shared" si="148"/>
        <v>No</v>
      </c>
      <c r="K2379" s="5" t="str">
        <f t="shared" si="149"/>
        <v>Yes</v>
      </c>
      <c r="L2379" s="5" t="str">
        <f t="shared" si="151"/>
        <v>No</v>
      </c>
      <c r="M2379" s="5">
        <f t="shared" si="150"/>
        <v>0</v>
      </c>
    </row>
    <row r="2380" spans="1:13" x14ac:dyDescent="0.3">
      <c r="A2380" s="2" t="s">
        <v>5009</v>
      </c>
      <c r="B2380" s="2" t="s">
        <v>2529</v>
      </c>
      <c r="C2380" s="2" t="s">
        <v>2614</v>
      </c>
      <c r="D2380" s="3">
        <v>46018</v>
      </c>
      <c r="E2380" s="3">
        <v>46024</v>
      </c>
      <c r="F2380" s="3">
        <v>46036</v>
      </c>
      <c r="G2380" s="2" t="s">
        <v>2641</v>
      </c>
      <c r="H2380" s="2">
        <v>41</v>
      </c>
      <c r="I2380" s="2">
        <f>IFERROR(INDEX(Raw_Orders!H2380:H4808,MATCH(B2380,Raw_Orders!A2380:A4808,0)),0)</f>
        <v>41</v>
      </c>
      <c r="J2380" s="2" t="str">
        <f t="shared" si="148"/>
        <v>No</v>
      </c>
      <c r="K2380" s="2" t="str">
        <f t="shared" si="149"/>
        <v>Yes</v>
      </c>
      <c r="L2380" s="2" t="str">
        <f t="shared" si="151"/>
        <v>No</v>
      </c>
      <c r="M2380" s="2">
        <f t="shared" si="150"/>
        <v>0</v>
      </c>
    </row>
    <row r="2381" spans="1:13" x14ac:dyDescent="0.3">
      <c r="A2381" s="5" t="s">
        <v>5010</v>
      </c>
      <c r="B2381" s="5" t="s">
        <v>2530</v>
      </c>
      <c r="C2381" s="5" t="s">
        <v>2614</v>
      </c>
      <c r="D2381" s="6">
        <v>46018</v>
      </c>
      <c r="E2381" s="6">
        <v>46022</v>
      </c>
      <c r="F2381" s="6">
        <v>46032</v>
      </c>
      <c r="G2381" s="5" t="s">
        <v>2641</v>
      </c>
      <c r="H2381" s="5">
        <v>20</v>
      </c>
      <c r="I2381" s="5">
        <f>IFERROR(INDEX(Raw_Orders!H2381:H4809,MATCH(B2381,Raw_Orders!A2381:A4809,0)),0)</f>
        <v>20</v>
      </c>
      <c r="J2381" s="5" t="str">
        <f t="shared" si="148"/>
        <v>No</v>
      </c>
      <c r="K2381" s="5" t="str">
        <f t="shared" si="149"/>
        <v>Yes</v>
      </c>
      <c r="L2381" s="5" t="str">
        <f t="shared" si="151"/>
        <v>No</v>
      </c>
      <c r="M2381" s="5">
        <f t="shared" si="150"/>
        <v>0</v>
      </c>
    </row>
    <row r="2382" spans="1:13" x14ac:dyDescent="0.3">
      <c r="A2382" s="2" t="s">
        <v>5011</v>
      </c>
      <c r="B2382" s="2" t="s">
        <v>2531</v>
      </c>
      <c r="C2382" s="2" t="s">
        <v>2604</v>
      </c>
      <c r="D2382" s="3">
        <v>46016</v>
      </c>
      <c r="E2382" s="3">
        <v>46020</v>
      </c>
      <c r="F2382" s="3">
        <v>46020</v>
      </c>
      <c r="G2382" s="2" t="s">
        <v>2641</v>
      </c>
      <c r="H2382" s="2">
        <v>15</v>
      </c>
      <c r="I2382" s="2">
        <f>IFERROR(INDEX(Raw_Orders!H2382:H4810,MATCH(B2382,Raw_Orders!A2382:A4810,0)),0)</f>
        <v>15</v>
      </c>
      <c r="J2382" s="2" t="str">
        <f t="shared" si="148"/>
        <v>Yes</v>
      </c>
      <c r="K2382" s="2" t="str">
        <f t="shared" si="149"/>
        <v>Yes</v>
      </c>
      <c r="L2382" s="2" t="str">
        <f t="shared" si="151"/>
        <v>Yes</v>
      </c>
      <c r="M2382" s="2">
        <f t="shared" si="150"/>
        <v>1</v>
      </c>
    </row>
    <row r="2383" spans="1:13" x14ac:dyDescent="0.3">
      <c r="A2383" s="5" t="s">
        <v>5012</v>
      </c>
      <c r="B2383" s="5" t="s">
        <v>2532</v>
      </c>
      <c r="C2383" s="5" t="s">
        <v>2606</v>
      </c>
      <c r="D2383" s="6">
        <v>46016</v>
      </c>
      <c r="E2383" s="6">
        <v>46025</v>
      </c>
      <c r="F2383" s="6">
        <v>46022</v>
      </c>
      <c r="G2383" s="5" t="s">
        <v>2627</v>
      </c>
      <c r="H2383" s="5">
        <v>79</v>
      </c>
      <c r="I2383" s="5">
        <f>IFERROR(INDEX(Raw_Orders!H2383:H4811,MATCH(B2383,Raw_Orders!A2383:A4811,0)),0)</f>
        <v>79</v>
      </c>
      <c r="J2383" s="5" t="str">
        <f t="shared" si="148"/>
        <v>Yes</v>
      </c>
      <c r="K2383" s="5" t="str">
        <f t="shared" si="149"/>
        <v>Yes</v>
      </c>
      <c r="L2383" s="5" t="str">
        <f t="shared" si="151"/>
        <v>Yes</v>
      </c>
      <c r="M2383" s="5">
        <f t="shared" si="150"/>
        <v>1</v>
      </c>
    </row>
    <row r="2384" spans="1:13" x14ac:dyDescent="0.3">
      <c r="A2384" s="2" t="s">
        <v>5013</v>
      </c>
      <c r="B2384" s="2" t="s">
        <v>2533</v>
      </c>
      <c r="C2384" s="2" t="s">
        <v>2606</v>
      </c>
      <c r="D2384" s="3">
        <v>46017</v>
      </c>
      <c r="E2384" s="3">
        <v>46024</v>
      </c>
      <c r="F2384" s="3">
        <v>46027</v>
      </c>
      <c r="G2384" s="2" t="s">
        <v>2631</v>
      </c>
      <c r="H2384" s="2">
        <v>53</v>
      </c>
      <c r="I2384" s="2">
        <f>IFERROR(INDEX(Raw_Orders!H2384:H4812,MATCH(B2384,Raw_Orders!A2384:A4812,0)),0)</f>
        <v>53</v>
      </c>
      <c r="J2384" s="2" t="str">
        <f t="shared" si="148"/>
        <v>No</v>
      </c>
      <c r="K2384" s="2" t="str">
        <f t="shared" si="149"/>
        <v>Yes</v>
      </c>
      <c r="L2384" s="2" t="str">
        <f t="shared" si="151"/>
        <v>No</v>
      </c>
      <c r="M2384" s="2">
        <f t="shared" si="150"/>
        <v>0</v>
      </c>
    </row>
    <row r="2385" spans="1:13" x14ac:dyDescent="0.3">
      <c r="A2385" s="5" t="s">
        <v>5014</v>
      </c>
      <c r="B2385" s="5" t="s">
        <v>2534</v>
      </c>
      <c r="C2385" s="5" t="s">
        <v>2606</v>
      </c>
      <c r="D2385" s="6">
        <v>46017</v>
      </c>
      <c r="E2385" s="6">
        <v>46020</v>
      </c>
      <c r="F2385" s="6">
        <v>46024</v>
      </c>
      <c r="G2385" s="5" t="s">
        <v>2633</v>
      </c>
      <c r="H2385" s="5">
        <v>29</v>
      </c>
      <c r="I2385" s="5">
        <f>IFERROR(INDEX(Raw_Orders!H2385:H4813,MATCH(B2385,Raw_Orders!A2385:A4813,0)),0)</f>
        <v>29</v>
      </c>
      <c r="J2385" s="5" t="str">
        <f t="shared" si="148"/>
        <v>No</v>
      </c>
      <c r="K2385" s="5" t="str">
        <f t="shared" si="149"/>
        <v>Yes</v>
      </c>
      <c r="L2385" s="5" t="str">
        <f t="shared" si="151"/>
        <v>No</v>
      </c>
      <c r="M2385" s="5">
        <f t="shared" si="150"/>
        <v>0</v>
      </c>
    </row>
    <row r="2386" spans="1:13" x14ac:dyDescent="0.3">
      <c r="A2386" s="2" t="s">
        <v>5015</v>
      </c>
      <c r="B2386" s="2" t="s">
        <v>2535</v>
      </c>
      <c r="C2386" s="2" t="s">
        <v>2608</v>
      </c>
      <c r="D2386" s="3">
        <v>46017</v>
      </c>
      <c r="E2386" s="3">
        <v>46024</v>
      </c>
      <c r="F2386" s="3">
        <v>46034</v>
      </c>
      <c r="G2386" s="2" t="s">
        <v>2641</v>
      </c>
      <c r="H2386" s="2">
        <v>20</v>
      </c>
      <c r="I2386" s="2">
        <f>IFERROR(INDEX(Raw_Orders!H2386:H4814,MATCH(B2386,Raw_Orders!A2386:A4814,0)),0)</f>
        <v>20</v>
      </c>
      <c r="J2386" s="2" t="str">
        <f t="shared" si="148"/>
        <v>No</v>
      </c>
      <c r="K2386" s="2" t="str">
        <f t="shared" si="149"/>
        <v>Yes</v>
      </c>
      <c r="L2386" s="2" t="str">
        <f t="shared" si="151"/>
        <v>No</v>
      </c>
      <c r="M2386" s="2">
        <f t="shared" si="150"/>
        <v>0</v>
      </c>
    </row>
    <row r="2387" spans="1:13" x14ac:dyDescent="0.3">
      <c r="A2387" s="5" t="s">
        <v>5016</v>
      </c>
      <c r="B2387" s="5" t="s">
        <v>2536</v>
      </c>
      <c r="C2387" s="5" t="s">
        <v>2608</v>
      </c>
      <c r="D2387" s="6">
        <v>46018</v>
      </c>
      <c r="E2387" s="6">
        <v>46022</v>
      </c>
      <c r="F2387" s="6">
        <v>46031</v>
      </c>
      <c r="G2387" s="5" t="s">
        <v>2629</v>
      </c>
      <c r="H2387" s="5">
        <v>8</v>
      </c>
      <c r="I2387" s="5">
        <f>IFERROR(INDEX(Raw_Orders!H2387:H4815,MATCH(B2387,Raw_Orders!A2387:A4815,0)),0)</f>
        <v>8</v>
      </c>
      <c r="J2387" s="5" t="str">
        <f t="shared" si="148"/>
        <v>No</v>
      </c>
      <c r="K2387" s="5" t="str">
        <f t="shared" si="149"/>
        <v>Yes</v>
      </c>
      <c r="L2387" s="5" t="str">
        <f t="shared" si="151"/>
        <v>No</v>
      </c>
      <c r="M2387" s="5">
        <f t="shared" si="150"/>
        <v>0</v>
      </c>
    </row>
    <row r="2388" spans="1:13" x14ac:dyDescent="0.3">
      <c r="A2388" s="2" t="s">
        <v>5017</v>
      </c>
      <c r="B2388" s="2" t="s">
        <v>2537</v>
      </c>
      <c r="C2388" s="2" t="s">
        <v>2608</v>
      </c>
      <c r="D2388" s="3">
        <v>46016</v>
      </c>
      <c r="E2388" s="3">
        <v>46020</v>
      </c>
      <c r="F2388" s="3">
        <v>46031</v>
      </c>
      <c r="G2388" s="2" t="s">
        <v>2641</v>
      </c>
      <c r="H2388" s="2">
        <v>8</v>
      </c>
      <c r="I2388" s="2">
        <f>IFERROR(INDEX(Raw_Orders!H2388:H4816,MATCH(B2388,Raw_Orders!A2388:A4816,0)),0)</f>
        <v>8</v>
      </c>
      <c r="J2388" s="2" t="str">
        <f t="shared" si="148"/>
        <v>No</v>
      </c>
      <c r="K2388" s="2" t="str">
        <f t="shared" si="149"/>
        <v>Yes</v>
      </c>
      <c r="L2388" s="2" t="str">
        <f t="shared" si="151"/>
        <v>No</v>
      </c>
      <c r="M2388" s="2">
        <f t="shared" si="150"/>
        <v>0</v>
      </c>
    </row>
    <row r="2389" spans="1:13" x14ac:dyDescent="0.3">
      <c r="A2389" s="5" t="s">
        <v>5018</v>
      </c>
      <c r="B2389" s="5" t="s">
        <v>2538</v>
      </c>
      <c r="C2389" s="5" t="s">
        <v>2611</v>
      </c>
      <c r="D2389" s="6">
        <v>46018</v>
      </c>
      <c r="E2389" s="6">
        <v>46023</v>
      </c>
      <c r="F2389" s="6">
        <v>46025</v>
      </c>
      <c r="G2389" s="5" t="s">
        <v>2631</v>
      </c>
      <c r="H2389" s="5">
        <v>24</v>
      </c>
      <c r="I2389" s="5">
        <f>IFERROR(INDEX(Raw_Orders!H2389:H4817,MATCH(B2389,Raw_Orders!A2389:A4817,0)),0)</f>
        <v>28</v>
      </c>
      <c r="J2389" s="5" t="str">
        <f t="shared" si="148"/>
        <v>No</v>
      </c>
      <c r="K2389" s="5" t="str">
        <f t="shared" si="149"/>
        <v>N0</v>
      </c>
      <c r="L2389" s="5" t="str">
        <f t="shared" si="151"/>
        <v>No</v>
      </c>
      <c r="M2389" s="5">
        <f t="shared" si="150"/>
        <v>0</v>
      </c>
    </row>
    <row r="2390" spans="1:13" x14ac:dyDescent="0.3">
      <c r="A2390" s="2" t="s">
        <v>5019</v>
      </c>
      <c r="B2390" s="2" t="s">
        <v>2539</v>
      </c>
      <c r="C2390" s="2" t="s">
        <v>2606</v>
      </c>
      <c r="D2390" s="3">
        <v>46018</v>
      </c>
      <c r="E2390" s="3">
        <v>46026</v>
      </c>
      <c r="F2390" s="3">
        <v>46024</v>
      </c>
      <c r="G2390" s="2" t="s">
        <v>2641</v>
      </c>
      <c r="H2390" s="2">
        <v>20</v>
      </c>
      <c r="I2390" s="2">
        <f>IFERROR(INDEX(Raw_Orders!H2390:H4818,MATCH(B2390,Raw_Orders!A2390:A4818,0)),0)</f>
        <v>27</v>
      </c>
      <c r="J2390" s="2" t="str">
        <f t="shared" si="148"/>
        <v>Yes</v>
      </c>
      <c r="K2390" s="2" t="str">
        <f t="shared" si="149"/>
        <v>N0</v>
      </c>
      <c r="L2390" s="2" t="str">
        <f t="shared" si="151"/>
        <v>No</v>
      </c>
      <c r="M2390" s="2">
        <f t="shared" si="150"/>
        <v>0</v>
      </c>
    </row>
    <row r="2391" spans="1:13" x14ac:dyDescent="0.3">
      <c r="A2391" s="5" t="s">
        <v>5020</v>
      </c>
      <c r="B2391" s="5" t="s">
        <v>2540</v>
      </c>
      <c r="C2391" s="5" t="s">
        <v>2606</v>
      </c>
      <c r="D2391" s="6">
        <v>46019</v>
      </c>
      <c r="E2391" s="6">
        <v>46026</v>
      </c>
      <c r="F2391" s="6">
        <v>46025</v>
      </c>
      <c r="G2391" s="5" t="s">
        <v>2631</v>
      </c>
      <c r="H2391" s="5">
        <v>50</v>
      </c>
      <c r="I2391" s="5">
        <f>IFERROR(INDEX(Raw_Orders!H2391:H4819,MATCH(B2391,Raw_Orders!A2391:A4819,0)),0)</f>
        <v>58</v>
      </c>
      <c r="J2391" s="5" t="str">
        <f t="shared" si="148"/>
        <v>Yes</v>
      </c>
      <c r="K2391" s="5" t="str">
        <f t="shared" si="149"/>
        <v>N0</v>
      </c>
      <c r="L2391" s="5" t="str">
        <f t="shared" si="151"/>
        <v>No</v>
      </c>
      <c r="M2391" s="5">
        <f t="shared" si="150"/>
        <v>0</v>
      </c>
    </row>
    <row r="2392" spans="1:13" x14ac:dyDescent="0.3">
      <c r="A2392" s="2" t="s">
        <v>5021</v>
      </c>
      <c r="B2392" s="2" t="s">
        <v>2541</v>
      </c>
      <c r="C2392" s="2" t="s">
        <v>2608</v>
      </c>
      <c r="D2392" s="3">
        <v>46019</v>
      </c>
      <c r="E2392" s="3">
        <v>46021</v>
      </c>
      <c r="F2392" s="3">
        <v>46034</v>
      </c>
      <c r="G2392" s="2" t="s">
        <v>2631</v>
      </c>
      <c r="H2392" s="2">
        <v>32</v>
      </c>
      <c r="I2392" s="2">
        <f>IFERROR(INDEX(Raw_Orders!H2392:H4820,MATCH(B2392,Raw_Orders!A2392:A4820,0)),0)</f>
        <v>32</v>
      </c>
      <c r="J2392" s="2" t="str">
        <f t="shared" si="148"/>
        <v>No</v>
      </c>
      <c r="K2392" s="2" t="str">
        <f t="shared" si="149"/>
        <v>Yes</v>
      </c>
      <c r="L2392" s="2" t="str">
        <f t="shared" si="151"/>
        <v>No</v>
      </c>
      <c r="M2392" s="2">
        <f t="shared" si="150"/>
        <v>0</v>
      </c>
    </row>
    <row r="2393" spans="1:13" x14ac:dyDescent="0.3">
      <c r="A2393" s="5" t="s">
        <v>5022</v>
      </c>
      <c r="B2393" s="5" t="s">
        <v>2542</v>
      </c>
      <c r="C2393" s="5" t="s">
        <v>2608</v>
      </c>
      <c r="D2393" s="6">
        <v>46019</v>
      </c>
      <c r="E2393" s="6">
        <v>46027</v>
      </c>
      <c r="F2393" s="6">
        <v>46033</v>
      </c>
      <c r="G2393" s="5" t="s">
        <v>2627</v>
      </c>
      <c r="H2393" s="5">
        <v>13</v>
      </c>
      <c r="I2393" s="5">
        <f>IFERROR(INDEX(Raw_Orders!H2393:H4821,MATCH(B2393,Raw_Orders!A2393:A4821,0)),0)</f>
        <v>13</v>
      </c>
      <c r="J2393" s="5" t="str">
        <f t="shared" si="148"/>
        <v>No</v>
      </c>
      <c r="K2393" s="5" t="str">
        <f t="shared" si="149"/>
        <v>Yes</v>
      </c>
      <c r="L2393" s="5" t="str">
        <f t="shared" si="151"/>
        <v>No</v>
      </c>
      <c r="M2393" s="5">
        <f t="shared" si="150"/>
        <v>0</v>
      </c>
    </row>
    <row r="2394" spans="1:13" x14ac:dyDescent="0.3">
      <c r="A2394" s="2" t="s">
        <v>5023</v>
      </c>
      <c r="B2394" s="2" t="s">
        <v>2543</v>
      </c>
      <c r="C2394" s="2" t="s">
        <v>2608</v>
      </c>
      <c r="D2394" s="3">
        <v>46019</v>
      </c>
      <c r="E2394" s="3">
        <v>46022</v>
      </c>
      <c r="F2394" s="3">
        <v>46033</v>
      </c>
      <c r="G2394" s="2" t="s">
        <v>2627</v>
      </c>
      <c r="H2394" s="2">
        <v>12</v>
      </c>
      <c r="I2394" s="2">
        <f>IFERROR(INDEX(Raw_Orders!H2394:H4822,MATCH(B2394,Raw_Orders!A2394:A4822,0)),0)</f>
        <v>12</v>
      </c>
      <c r="J2394" s="2" t="str">
        <f t="shared" si="148"/>
        <v>No</v>
      </c>
      <c r="K2394" s="2" t="str">
        <f t="shared" si="149"/>
        <v>Yes</v>
      </c>
      <c r="L2394" s="2" t="str">
        <f t="shared" si="151"/>
        <v>No</v>
      </c>
      <c r="M2394" s="2">
        <f t="shared" si="150"/>
        <v>0</v>
      </c>
    </row>
    <row r="2395" spans="1:13" x14ac:dyDescent="0.3">
      <c r="A2395" s="5" t="s">
        <v>5024</v>
      </c>
      <c r="B2395" s="5" t="s">
        <v>2544</v>
      </c>
      <c r="C2395" s="5" t="s">
        <v>2601</v>
      </c>
      <c r="D2395" s="6">
        <v>46020</v>
      </c>
      <c r="E2395" s="6">
        <v>46021</v>
      </c>
      <c r="F2395" s="6">
        <v>46027</v>
      </c>
      <c r="G2395" s="5" t="s">
        <v>2641</v>
      </c>
      <c r="H2395" s="5">
        <v>21</v>
      </c>
      <c r="I2395" s="5">
        <f>IFERROR(INDEX(Raw_Orders!H2395:H4823,MATCH(B2395,Raw_Orders!A2395:A4823,0)),0)</f>
        <v>21</v>
      </c>
      <c r="J2395" s="5" t="str">
        <f t="shared" si="148"/>
        <v>No</v>
      </c>
      <c r="K2395" s="5" t="str">
        <f t="shared" si="149"/>
        <v>Yes</v>
      </c>
      <c r="L2395" s="5" t="str">
        <f t="shared" si="151"/>
        <v>No</v>
      </c>
      <c r="M2395" s="5">
        <f t="shared" si="150"/>
        <v>0</v>
      </c>
    </row>
    <row r="2396" spans="1:13" x14ac:dyDescent="0.3">
      <c r="A2396" s="2" t="s">
        <v>5025</v>
      </c>
      <c r="B2396" s="2" t="s">
        <v>2545</v>
      </c>
      <c r="C2396" s="2" t="s">
        <v>2604</v>
      </c>
      <c r="D2396" s="3">
        <v>46019</v>
      </c>
      <c r="E2396" s="3">
        <v>46021</v>
      </c>
      <c r="F2396" s="3">
        <v>46023</v>
      </c>
      <c r="G2396" s="2" t="s">
        <v>2641</v>
      </c>
      <c r="H2396" s="2">
        <v>59</v>
      </c>
      <c r="I2396" s="2">
        <f>IFERROR(INDEX(Raw_Orders!H2396:H4824,MATCH(B2396,Raw_Orders!A2396:A4824,0)),0)</f>
        <v>59</v>
      </c>
      <c r="J2396" s="2" t="str">
        <f t="shared" si="148"/>
        <v>No</v>
      </c>
      <c r="K2396" s="2" t="str">
        <f t="shared" si="149"/>
        <v>Yes</v>
      </c>
      <c r="L2396" s="2" t="str">
        <f t="shared" si="151"/>
        <v>No</v>
      </c>
      <c r="M2396" s="2">
        <f t="shared" si="150"/>
        <v>0</v>
      </c>
    </row>
    <row r="2397" spans="1:13" x14ac:dyDescent="0.3">
      <c r="A2397" s="5" t="s">
        <v>5026</v>
      </c>
      <c r="B2397" s="5" t="s">
        <v>2546</v>
      </c>
      <c r="C2397" s="5" t="s">
        <v>2606</v>
      </c>
      <c r="D2397" s="6">
        <v>46020</v>
      </c>
      <c r="E2397" s="6">
        <v>46022</v>
      </c>
      <c r="F2397" s="6">
        <v>46030</v>
      </c>
      <c r="G2397" s="5" t="s">
        <v>2629</v>
      </c>
      <c r="H2397" s="5">
        <v>89</v>
      </c>
      <c r="I2397" s="5">
        <f>IFERROR(INDEX(Raw_Orders!H2397:H4825,MATCH(B2397,Raw_Orders!A2397:A4825,0)),0)</f>
        <v>89</v>
      </c>
      <c r="J2397" s="5" t="str">
        <f t="shared" si="148"/>
        <v>No</v>
      </c>
      <c r="K2397" s="5" t="str">
        <f t="shared" si="149"/>
        <v>Yes</v>
      </c>
      <c r="L2397" s="5" t="str">
        <f t="shared" si="151"/>
        <v>No</v>
      </c>
      <c r="M2397" s="5">
        <f t="shared" si="150"/>
        <v>0</v>
      </c>
    </row>
    <row r="2398" spans="1:13" x14ac:dyDescent="0.3">
      <c r="A2398" s="2" t="s">
        <v>5027</v>
      </c>
      <c r="B2398" s="2" t="s">
        <v>2547</v>
      </c>
      <c r="C2398" s="2" t="s">
        <v>2606</v>
      </c>
      <c r="D2398" s="3">
        <v>46020</v>
      </c>
      <c r="E2398" s="3">
        <v>46022</v>
      </c>
      <c r="F2398" s="3">
        <v>46025</v>
      </c>
      <c r="G2398" s="2" t="s">
        <v>2641</v>
      </c>
      <c r="H2398" s="2">
        <v>38</v>
      </c>
      <c r="I2398" s="2">
        <f>IFERROR(INDEX(Raw_Orders!H2398:H4826,MATCH(B2398,Raw_Orders!A2398:A4826,0)),0)</f>
        <v>42</v>
      </c>
      <c r="J2398" s="2" t="str">
        <f t="shared" si="148"/>
        <v>No</v>
      </c>
      <c r="K2398" s="2" t="str">
        <f t="shared" si="149"/>
        <v>N0</v>
      </c>
      <c r="L2398" s="2" t="str">
        <f t="shared" si="151"/>
        <v>No</v>
      </c>
      <c r="M2398" s="2">
        <f t="shared" si="150"/>
        <v>0</v>
      </c>
    </row>
    <row r="2399" spans="1:13" x14ac:dyDescent="0.3">
      <c r="A2399" s="5" t="s">
        <v>5028</v>
      </c>
      <c r="B2399" s="5" t="s">
        <v>2548</v>
      </c>
      <c r="C2399" s="5" t="s">
        <v>2608</v>
      </c>
      <c r="D2399" s="6">
        <v>46018</v>
      </c>
      <c r="E2399" s="6">
        <v>46025</v>
      </c>
      <c r="F2399" s="6">
        <v>46031</v>
      </c>
      <c r="G2399" s="5" t="s">
        <v>2629</v>
      </c>
      <c r="H2399" s="5">
        <v>11</v>
      </c>
      <c r="I2399" s="5">
        <f>IFERROR(INDEX(Raw_Orders!H2399:H4827,MATCH(B2399,Raw_Orders!A2399:A4827,0)),0)</f>
        <v>11</v>
      </c>
      <c r="J2399" s="5" t="str">
        <f t="shared" si="148"/>
        <v>No</v>
      </c>
      <c r="K2399" s="5" t="str">
        <f t="shared" si="149"/>
        <v>Yes</v>
      </c>
      <c r="L2399" s="5" t="str">
        <f t="shared" si="151"/>
        <v>No</v>
      </c>
      <c r="M2399" s="5">
        <f t="shared" si="150"/>
        <v>0</v>
      </c>
    </row>
    <row r="2400" spans="1:13" x14ac:dyDescent="0.3">
      <c r="A2400" s="2" t="s">
        <v>5029</v>
      </c>
      <c r="B2400" s="2" t="s">
        <v>2549</v>
      </c>
      <c r="C2400" s="2" t="s">
        <v>2598</v>
      </c>
      <c r="D2400" s="3">
        <v>46019</v>
      </c>
      <c r="E2400" s="3">
        <v>46025</v>
      </c>
      <c r="F2400" s="3">
        <v>46032</v>
      </c>
      <c r="G2400" s="2" t="s">
        <v>2627</v>
      </c>
      <c r="H2400" s="2">
        <v>34</v>
      </c>
      <c r="I2400" s="2">
        <f>IFERROR(INDEX(Raw_Orders!H2400:H4828,MATCH(B2400,Raw_Orders!A2400:A4828,0)),0)</f>
        <v>34</v>
      </c>
      <c r="J2400" s="2" t="str">
        <f t="shared" si="148"/>
        <v>No</v>
      </c>
      <c r="K2400" s="2" t="str">
        <f t="shared" si="149"/>
        <v>Yes</v>
      </c>
      <c r="L2400" s="2" t="str">
        <f t="shared" si="151"/>
        <v>No</v>
      </c>
      <c r="M2400" s="2">
        <f t="shared" si="150"/>
        <v>0</v>
      </c>
    </row>
    <row r="2401" spans="1:13" x14ac:dyDescent="0.3">
      <c r="A2401" s="5" t="s">
        <v>5030</v>
      </c>
      <c r="B2401" s="5" t="s">
        <v>2550</v>
      </c>
      <c r="C2401" s="5" t="s">
        <v>2598</v>
      </c>
      <c r="D2401" s="6">
        <v>46021</v>
      </c>
      <c r="E2401" s="6">
        <v>46026</v>
      </c>
      <c r="F2401" s="6">
        <v>46034</v>
      </c>
      <c r="G2401" s="5" t="s">
        <v>2641</v>
      </c>
      <c r="H2401" s="5">
        <v>50</v>
      </c>
      <c r="I2401" s="5">
        <f>IFERROR(INDEX(Raw_Orders!H2401:H4829,MATCH(B2401,Raw_Orders!A2401:A4829,0)),0)</f>
        <v>50</v>
      </c>
      <c r="J2401" s="5" t="str">
        <f t="shared" si="148"/>
        <v>No</v>
      </c>
      <c r="K2401" s="5" t="str">
        <f t="shared" si="149"/>
        <v>Yes</v>
      </c>
      <c r="L2401" s="5" t="str">
        <f t="shared" si="151"/>
        <v>No</v>
      </c>
      <c r="M2401" s="5">
        <f t="shared" si="150"/>
        <v>0</v>
      </c>
    </row>
    <row r="2402" spans="1:13" x14ac:dyDescent="0.3">
      <c r="A2402" s="2" t="s">
        <v>5031</v>
      </c>
      <c r="B2402" s="2" t="s">
        <v>2551</v>
      </c>
      <c r="C2402" s="2" t="s">
        <v>2601</v>
      </c>
      <c r="D2402" s="3">
        <v>46021</v>
      </c>
      <c r="E2402" s="3">
        <v>46029</v>
      </c>
      <c r="F2402" s="3">
        <v>46030</v>
      </c>
      <c r="G2402" s="2" t="s">
        <v>2633</v>
      </c>
      <c r="H2402" s="2">
        <v>37</v>
      </c>
      <c r="I2402" s="2">
        <f>IFERROR(INDEX(Raw_Orders!H2402:H4830,MATCH(B2402,Raw_Orders!A2402:A4830,0)),0)</f>
        <v>37</v>
      </c>
      <c r="J2402" s="2" t="str">
        <f t="shared" si="148"/>
        <v>No</v>
      </c>
      <c r="K2402" s="2" t="str">
        <f t="shared" si="149"/>
        <v>Yes</v>
      </c>
      <c r="L2402" s="2" t="str">
        <f t="shared" si="151"/>
        <v>No</v>
      </c>
      <c r="M2402" s="2">
        <f t="shared" si="150"/>
        <v>0</v>
      </c>
    </row>
    <row r="2403" spans="1:13" x14ac:dyDescent="0.3">
      <c r="A2403" s="5" t="s">
        <v>5032</v>
      </c>
      <c r="B2403" s="5" t="s">
        <v>2552</v>
      </c>
      <c r="C2403" s="5" t="s">
        <v>2601</v>
      </c>
      <c r="D2403" s="6">
        <v>46019</v>
      </c>
      <c r="E2403" s="6">
        <v>46023</v>
      </c>
      <c r="F2403" s="6">
        <v>46024</v>
      </c>
      <c r="G2403" s="5" t="s">
        <v>2641</v>
      </c>
      <c r="H2403" s="5">
        <v>16</v>
      </c>
      <c r="I2403" s="5">
        <f>IFERROR(INDEX(Raw_Orders!H2403:H4831,MATCH(B2403,Raw_Orders!A2403:A4831,0)),0)</f>
        <v>16</v>
      </c>
      <c r="J2403" s="5" t="str">
        <f t="shared" si="148"/>
        <v>No</v>
      </c>
      <c r="K2403" s="5" t="str">
        <f t="shared" si="149"/>
        <v>Yes</v>
      </c>
      <c r="L2403" s="5" t="str">
        <f t="shared" si="151"/>
        <v>No</v>
      </c>
      <c r="M2403" s="5">
        <f t="shared" si="150"/>
        <v>0</v>
      </c>
    </row>
    <row r="2404" spans="1:13" x14ac:dyDescent="0.3">
      <c r="A2404" s="2" t="s">
        <v>5033</v>
      </c>
      <c r="B2404" s="2" t="s">
        <v>2553</v>
      </c>
      <c r="C2404" s="2" t="s">
        <v>2604</v>
      </c>
      <c r="D2404" s="3">
        <v>46021</v>
      </c>
      <c r="E2404" s="3">
        <v>46029</v>
      </c>
      <c r="F2404" s="3">
        <v>46025</v>
      </c>
      <c r="G2404" s="2" t="s">
        <v>2627</v>
      </c>
      <c r="H2404" s="2">
        <v>21</v>
      </c>
      <c r="I2404" s="2">
        <f>IFERROR(INDEX(Raw_Orders!H2404:H4832,MATCH(B2404,Raw_Orders!A2404:A4832,0)),0)</f>
        <v>21</v>
      </c>
      <c r="J2404" s="2" t="str">
        <f t="shared" si="148"/>
        <v>Yes</v>
      </c>
      <c r="K2404" s="2" t="str">
        <f t="shared" si="149"/>
        <v>Yes</v>
      </c>
      <c r="L2404" s="2" t="str">
        <f t="shared" si="151"/>
        <v>Yes</v>
      </c>
      <c r="M2404" s="2">
        <f t="shared" si="150"/>
        <v>1</v>
      </c>
    </row>
    <row r="2405" spans="1:13" x14ac:dyDescent="0.3">
      <c r="A2405" s="5" t="s">
        <v>5034</v>
      </c>
      <c r="B2405" s="5" t="s">
        <v>2554</v>
      </c>
      <c r="C2405" s="5" t="s">
        <v>2604</v>
      </c>
      <c r="D2405" s="6">
        <v>46019</v>
      </c>
      <c r="E2405" s="6">
        <v>46025</v>
      </c>
      <c r="F2405" s="6">
        <v>46024</v>
      </c>
      <c r="G2405" s="5" t="s">
        <v>2627</v>
      </c>
      <c r="H2405" s="5">
        <v>32</v>
      </c>
      <c r="I2405" s="5">
        <f>IFERROR(INDEX(Raw_Orders!H2405:H4833,MATCH(B2405,Raw_Orders!A2405:A4833,0)),0)</f>
        <v>37</v>
      </c>
      <c r="J2405" s="5" t="str">
        <f t="shared" si="148"/>
        <v>Yes</v>
      </c>
      <c r="K2405" s="5" t="str">
        <f t="shared" si="149"/>
        <v>N0</v>
      </c>
      <c r="L2405" s="5" t="str">
        <f t="shared" si="151"/>
        <v>No</v>
      </c>
      <c r="M2405" s="5">
        <f t="shared" si="150"/>
        <v>0</v>
      </c>
    </row>
    <row r="2406" spans="1:13" x14ac:dyDescent="0.3">
      <c r="A2406" s="2" t="s">
        <v>5035</v>
      </c>
      <c r="B2406" s="2" t="s">
        <v>2555</v>
      </c>
      <c r="C2406" s="2" t="s">
        <v>2606</v>
      </c>
      <c r="D2406" s="3">
        <v>46019</v>
      </c>
      <c r="E2406" s="3">
        <v>46024</v>
      </c>
      <c r="F2406" s="3">
        <v>46025</v>
      </c>
      <c r="G2406" s="2" t="s">
        <v>2631</v>
      </c>
      <c r="H2406" s="2">
        <v>31</v>
      </c>
      <c r="I2406" s="2">
        <f>IFERROR(INDEX(Raw_Orders!H2406:H4834,MATCH(B2406,Raw_Orders!A2406:A4834,0)),0)</f>
        <v>31</v>
      </c>
      <c r="J2406" s="2" t="str">
        <f t="shared" si="148"/>
        <v>No</v>
      </c>
      <c r="K2406" s="2" t="str">
        <f t="shared" si="149"/>
        <v>Yes</v>
      </c>
      <c r="L2406" s="2" t="str">
        <f t="shared" si="151"/>
        <v>No</v>
      </c>
      <c r="M2406" s="2">
        <f t="shared" si="150"/>
        <v>0</v>
      </c>
    </row>
    <row r="2407" spans="1:13" x14ac:dyDescent="0.3">
      <c r="A2407" s="5" t="s">
        <v>5036</v>
      </c>
      <c r="B2407" s="5" t="s">
        <v>2556</v>
      </c>
      <c r="C2407" s="5" t="s">
        <v>2606</v>
      </c>
      <c r="D2407" s="6">
        <v>46019</v>
      </c>
      <c r="E2407" s="6">
        <v>46024</v>
      </c>
      <c r="F2407" s="6">
        <v>46027</v>
      </c>
      <c r="G2407" s="5" t="s">
        <v>2633</v>
      </c>
      <c r="H2407" s="5">
        <v>34</v>
      </c>
      <c r="I2407" s="5">
        <f>IFERROR(INDEX(Raw_Orders!H2407:H4835,MATCH(B2407,Raw_Orders!A2407:A4835,0)),0)</f>
        <v>34</v>
      </c>
      <c r="J2407" s="5" t="str">
        <f t="shared" si="148"/>
        <v>No</v>
      </c>
      <c r="K2407" s="5" t="str">
        <f t="shared" si="149"/>
        <v>Yes</v>
      </c>
      <c r="L2407" s="5" t="str">
        <f t="shared" si="151"/>
        <v>No</v>
      </c>
      <c r="M2407" s="5">
        <f t="shared" si="150"/>
        <v>0</v>
      </c>
    </row>
    <row r="2408" spans="1:13" x14ac:dyDescent="0.3">
      <c r="A2408" s="2" t="s">
        <v>5037</v>
      </c>
      <c r="B2408" s="2" t="s">
        <v>2557</v>
      </c>
      <c r="C2408" s="2" t="s">
        <v>2608</v>
      </c>
      <c r="D2408" s="3">
        <v>46021</v>
      </c>
      <c r="E2408" s="3">
        <v>46024</v>
      </c>
      <c r="F2408" s="3">
        <v>46034</v>
      </c>
      <c r="G2408" s="2" t="s">
        <v>2627</v>
      </c>
      <c r="H2408" s="2">
        <v>11</v>
      </c>
      <c r="I2408" s="2">
        <f>IFERROR(INDEX(Raw_Orders!H2408:H4836,MATCH(B2408,Raw_Orders!A2408:A4836,0)),0)</f>
        <v>11</v>
      </c>
      <c r="J2408" s="2" t="str">
        <f t="shared" si="148"/>
        <v>No</v>
      </c>
      <c r="K2408" s="2" t="str">
        <f t="shared" si="149"/>
        <v>Yes</v>
      </c>
      <c r="L2408" s="2" t="str">
        <f t="shared" si="151"/>
        <v>No</v>
      </c>
      <c r="M2408" s="2">
        <f t="shared" si="150"/>
        <v>0</v>
      </c>
    </row>
    <row r="2409" spans="1:13" x14ac:dyDescent="0.3">
      <c r="A2409" s="5" t="s">
        <v>5038</v>
      </c>
      <c r="B2409" s="5" t="s">
        <v>2558</v>
      </c>
      <c r="C2409" s="5" t="s">
        <v>2598</v>
      </c>
      <c r="D2409" s="6">
        <v>46022</v>
      </c>
      <c r="E2409" s="6">
        <v>46027</v>
      </c>
      <c r="F2409" s="6">
        <v>46036</v>
      </c>
      <c r="G2409" s="5" t="s">
        <v>2629</v>
      </c>
      <c r="H2409" s="5">
        <v>42</v>
      </c>
      <c r="I2409" s="5">
        <f>IFERROR(INDEX(Raw_Orders!H2409:H4837,MATCH(B2409,Raw_Orders!A2409:A4837,0)),0)</f>
        <v>42</v>
      </c>
      <c r="J2409" s="5" t="str">
        <f t="shared" si="148"/>
        <v>No</v>
      </c>
      <c r="K2409" s="5" t="str">
        <f t="shared" si="149"/>
        <v>Yes</v>
      </c>
      <c r="L2409" s="5" t="str">
        <f t="shared" si="151"/>
        <v>No</v>
      </c>
      <c r="M2409" s="5">
        <f t="shared" si="150"/>
        <v>0</v>
      </c>
    </row>
    <row r="2410" spans="1:13" x14ac:dyDescent="0.3">
      <c r="A2410" s="2" t="s">
        <v>5039</v>
      </c>
      <c r="B2410" s="2" t="s">
        <v>2559</v>
      </c>
      <c r="C2410" s="2" t="s">
        <v>2614</v>
      </c>
      <c r="D2410" s="3">
        <v>46022</v>
      </c>
      <c r="E2410" s="3">
        <v>46026</v>
      </c>
      <c r="F2410" s="3">
        <v>46035</v>
      </c>
      <c r="G2410" s="2" t="s">
        <v>2633</v>
      </c>
      <c r="H2410" s="2">
        <v>1</v>
      </c>
      <c r="I2410" s="2">
        <f>IFERROR(INDEX(Raw_Orders!H2410:H4838,MATCH(B2410,Raw_Orders!A2410:A4838,0)),0)</f>
        <v>6</v>
      </c>
      <c r="J2410" s="2" t="str">
        <f t="shared" si="148"/>
        <v>No</v>
      </c>
      <c r="K2410" s="2" t="str">
        <f t="shared" si="149"/>
        <v>N0</v>
      </c>
      <c r="L2410" s="2" t="str">
        <f t="shared" si="151"/>
        <v>No</v>
      </c>
      <c r="M2410" s="2">
        <f t="shared" si="150"/>
        <v>0</v>
      </c>
    </row>
    <row r="2411" spans="1:13" x14ac:dyDescent="0.3">
      <c r="A2411" s="5" t="s">
        <v>5040</v>
      </c>
      <c r="B2411" s="5" t="s">
        <v>2560</v>
      </c>
      <c r="C2411" s="5" t="s">
        <v>2606</v>
      </c>
      <c r="D2411" s="6">
        <v>46021</v>
      </c>
      <c r="E2411" s="6">
        <v>46030</v>
      </c>
      <c r="F2411" s="6">
        <v>46027</v>
      </c>
      <c r="G2411" s="5" t="s">
        <v>2633</v>
      </c>
      <c r="H2411" s="5">
        <v>18</v>
      </c>
      <c r="I2411" s="5">
        <f>IFERROR(INDEX(Raw_Orders!H2411:H4839,MATCH(B2411,Raw_Orders!A2411:A4839,0)),0)</f>
        <v>23</v>
      </c>
      <c r="J2411" s="5" t="str">
        <f t="shared" si="148"/>
        <v>Yes</v>
      </c>
      <c r="K2411" s="5" t="str">
        <f t="shared" si="149"/>
        <v>N0</v>
      </c>
      <c r="L2411" s="5" t="str">
        <f t="shared" si="151"/>
        <v>No</v>
      </c>
      <c r="M2411" s="5">
        <f t="shared" si="150"/>
        <v>0</v>
      </c>
    </row>
    <row r="2412" spans="1:13" x14ac:dyDescent="0.3">
      <c r="A2412" s="2" t="s">
        <v>5041</v>
      </c>
      <c r="B2412" s="2" t="s">
        <v>2561</v>
      </c>
      <c r="C2412" s="2" t="s">
        <v>2608</v>
      </c>
      <c r="D2412" s="3">
        <v>46021</v>
      </c>
      <c r="E2412" s="3">
        <v>46029</v>
      </c>
      <c r="F2412" s="3">
        <v>46034</v>
      </c>
      <c r="G2412" s="2" t="s">
        <v>2631</v>
      </c>
      <c r="H2412" s="2">
        <v>51</v>
      </c>
      <c r="I2412" s="2">
        <f>IFERROR(INDEX(Raw_Orders!H2412:H4840,MATCH(B2412,Raw_Orders!A2412:A4840,0)),0)</f>
        <v>51</v>
      </c>
      <c r="J2412" s="2" t="str">
        <f t="shared" si="148"/>
        <v>No</v>
      </c>
      <c r="K2412" s="2" t="str">
        <f t="shared" si="149"/>
        <v>Yes</v>
      </c>
      <c r="L2412" s="2" t="str">
        <f t="shared" si="151"/>
        <v>No</v>
      </c>
      <c r="M2412" s="2">
        <f t="shared" si="150"/>
        <v>0</v>
      </c>
    </row>
    <row r="2413" spans="1:13" x14ac:dyDescent="0.3">
      <c r="A2413" s="5" t="s">
        <v>5042</v>
      </c>
      <c r="B2413" s="5" t="s">
        <v>2562</v>
      </c>
      <c r="C2413" s="5" t="s">
        <v>2608</v>
      </c>
      <c r="D2413" s="6">
        <v>46020</v>
      </c>
      <c r="E2413" s="6">
        <v>46026</v>
      </c>
      <c r="F2413" s="6">
        <v>46033</v>
      </c>
      <c r="G2413" s="5" t="s">
        <v>2641</v>
      </c>
      <c r="H2413" s="5">
        <v>3</v>
      </c>
      <c r="I2413" s="5">
        <f>IFERROR(INDEX(Raw_Orders!H2413:H4841,MATCH(B2413,Raw_Orders!A2413:A4841,0)),0)</f>
        <v>8</v>
      </c>
      <c r="J2413" s="5" t="str">
        <f t="shared" si="148"/>
        <v>No</v>
      </c>
      <c r="K2413" s="5" t="str">
        <f t="shared" si="149"/>
        <v>N0</v>
      </c>
      <c r="L2413" s="5" t="str">
        <f t="shared" si="151"/>
        <v>No</v>
      </c>
      <c r="M2413" s="5">
        <f t="shared" si="150"/>
        <v>0</v>
      </c>
    </row>
    <row r="2414" spans="1:13" x14ac:dyDescent="0.3">
      <c r="A2414" s="2" t="s">
        <v>5043</v>
      </c>
      <c r="B2414" s="2" t="s">
        <v>2563</v>
      </c>
      <c r="C2414" s="2" t="s">
        <v>2611</v>
      </c>
      <c r="D2414" s="3">
        <v>46022</v>
      </c>
      <c r="E2414" s="3">
        <v>46027</v>
      </c>
      <c r="F2414" s="3">
        <v>46028</v>
      </c>
      <c r="G2414" s="2" t="s">
        <v>2631</v>
      </c>
      <c r="H2414" s="2">
        <v>19</v>
      </c>
      <c r="I2414" s="2">
        <f>IFERROR(INDEX(Raw_Orders!H2414:H4842,MATCH(B2414,Raw_Orders!A2414:A4842,0)),0)</f>
        <v>19</v>
      </c>
      <c r="J2414" s="2" t="str">
        <f t="shared" si="148"/>
        <v>No</v>
      </c>
      <c r="K2414" s="2" t="str">
        <f t="shared" si="149"/>
        <v>Yes</v>
      </c>
      <c r="L2414" s="2" t="str">
        <f t="shared" si="151"/>
        <v>No</v>
      </c>
      <c r="M2414" s="2">
        <f t="shared" si="150"/>
        <v>0</v>
      </c>
    </row>
    <row r="2415" spans="1:13" x14ac:dyDescent="0.3">
      <c r="A2415" s="5" t="s">
        <v>5044</v>
      </c>
      <c r="B2415" s="5" t="s">
        <v>2564</v>
      </c>
      <c r="C2415" s="5" t="s">
        <v>2601</v>
      </c>
      <c r="D2415" s="6">
        <v>46023</v>
      </c>
      <c r="E2415" s="6">
        <v>46030</v>
      </c>
      <c r="F2415" s="6">
        <v>46032</v>
      </c>
      <c r="G2415" s="5" t="s">
        <v>2633</v>
      </c>
      <c r="H2415" s="5">
        <v>11</v>
      </c>
      <c r="I2415" s="5">
        <f>IFERROR(INDEX(Raw_Orders!H2415:H4843,MATCH(B2415,Raw_Orders!A2415:A4843,0)),0)</f>
        <v>13</v>
      </c>
      <c r="J2415" s="5" t="str">
        <f t="shared" si="148"/>
        <v>No</v>
      </c>
      <c r="K2415" s="5" t="str">
        <f t="shared" si="149"/>
        <v>N0</v>
      </c>
      <c r="L2415" s="5" t="str">
        <f t="shared" si="151"/>
        <v>No</v>
      </c>
      <c r="M2415" s="5">
        <f t="shared" si="150"/>
        <v>0</v>
      </c>
    </row>
    <row r="2416" spans="1:13" x14ac:dyDescent="0.3">
      <c r="A2416" s="2" t="s">
        <v>5045</v>
      </c>
      <c r="B2416" s="2" t="s">
        <v>2565</v>
      </c>
      <c r="C2416" s="2" t="s">
        <v>2604</v>
      </c>
      <c r="D2416" s="3">
        <v>46023</v>
      </c>
      <c r="E2416" s="3">
        <v>46027</v>
      </c>
      <c r="F2416" s="3">
        <v>46027</v>
      </c>
      <c r="G2416" s="2" t="s">
        <v>2627</v>
      </c>
      <c r="H2416" s="2">
        <v>60</v>
      </c>
      <c r="I2416" s="2">
        <f>IFERROR(INDEX(Raw_Orders!H2416:H4844,MATCH(B2416,Raw_Orders!A2416:A4844,0)),0)</f>
        <v>60</v>
      </c>
      <c r="J2416" s="2" t="str">
        <f t="shared" si="148"/>
        <v>Yes</v>
      </c>
      <c r="K2416" s="2" t="str">
        <f t="shared" si="149"/>
        <v>Yes</v>
      </c>
      <c r="L2416" s="2" t="str">
        <f t="shared" si="151"/>
        <v>Yes</v>
      </c>
      <c r="M2416" s="2">
        <f t="shared" si="150"/>
        <v>1</v>
      </c>
    </row>
    <row r="2417" spans="1:13" x14ac:dyDescent="0.3">
      <c r="A2417" s="5" t="s">
        <v>5046</v>
      </c>
      <c r="B2417" s="5" t="s">
        <v>2566</v>
      </c>
      <c r="C2417" s="5" t="s">
        <v>2606</v>
      </c>
      <c r="D2417" s="6">
        <v>46021</v>
      </c>
      <c r="E2417" s="6">
        <v>46024</v>
      </c>
      <c r="F2417" s="6">
        <v>46029</v>
      </c>
      <c r="G2417" s="5" t="s">
        <v>2641</v>
      </c>
      <c r="H2417" s="5">
        <v>35</v>
      </c>
      <c r="I2417" s="5">
        <f>IFERROR(INDEX(Raw_Orders!H2417:H4845,MATCH(B2417,Raw_Orders!A2417:A4845,0)),0)</f>
        <v>35</v>
      </c>
      <c r="J2417" s="5" t="str">
        <f t="shared" si="148"/>
        <v>No</v>
      </c>
      <c r="K2417" s="5" t="str">
        <f t="shared" si="149"/>
        <v>Yes</v>
      </c>
      <c r="L2417" s="5" t="str">
        <f t="shared" si="151"/>
        <v>No</v>
      </c>
      <c r="M2417" s="5">
        <f t="shared" si="150"/>
        <v>0</v>
      </c>
    </row>
    <row r="2418" spans="1:13" x14ac:dyDescent="0.3">
      <c r="A2418" s="2" t="s">
        <v>5047</v>
      </c>
      <c r="B2418" s="2" t="s">
        <v>2567</v>
      </c>
      <c r="C2418" s="2" t="s">
        <v>2606</v>
      </c>
      <c r="D2418" s="3">
        <v>46023</v>
      </c>
      <c r="E2418" s="3">
        <v>46024</v>
      </c>
      <c r="F2418" s="3">
        <v>46029</v>
      </c>
      <c r="G2418" s="2" t="s">
        <v>2629</v>
      </c>
      <c r="H2418" s="2">
        <v>58</v>
      </c>
      <c r="I2418" s="2">
        <f>IFERROR(INDEX(Raw_Orders!H2418:H4846,MATCH(B2418,Raw_Orders!A2418:A4846,0)),0)</f>
        <v>58</v>
      </c>
      <c r="J2418" s="2" t="str">
        <f t="shared" si="148"/>
        <v>No</v>
      </c>
      <c r="K2418" s="2" t="str">
        <f t="shared" si="149"/>
        <v>Yes</v>
      </c>
      <c r="L2418" s="2" t="str">
        <f t="shared" si="151"/>
        <v>No</v>
      </c>
      <c r="M2418" s="2">
        <f t="shared" si="150"/>
        <v>0</v>
      </c>
    </row>
    <row r="2419" spans="1:13" x14ac:dyDescent="0.3">
      <c r="A2419" s="5" t="s">
        <v>5048</v>
      </c>
      <c r="B2419" s="5" t="s">
        <v>2568</v>
      </c>
      <c r="C2419" s="5" t="s">
        <v>2606</v>
      </c>
      <c r="D2419" s="6">
        <v>46022</v>
      </c>
      <c r="E2419" s="6">
        <v>46025</v>
      </c>
      <c r="F2419" s="6">
        <v>46029</v>
      </c>
      <c r="G2419" s="5" t="s">
        <v>2629</v>
      </c>
      <c r="H2419" s="5">
        <v>27</v>
      </c>
      <c r="I2419" s="5">
        <f>IFERROR(INDEX(Raw_Orders!H2419:H4847,MATCH(B2419,Raw_Orders!A2419:A4847,0)),0)</f>
        <v>27</v>
      </c>
      <c r="J2419" s="5" t="str">
        <f t="shared" si="148"/>
        <v>No</v>
      </c>
      <c r="K2419" s="5" t="str">
        <f t="shared" si="149"/>
        <v>Yes</v>
      </c>
      <c r="L2419" s="5" t="str">
        <f t="shared" si="151"/>
        <v>No</v>
      </c>
      <c r="M2419" s="5">
        <f t="shared" si="150"/>
        <v>0</v>
      </c>
    </row>
    <row r="2420" spans="1:13" x14ac:dyDescent="0.3">
      <c r="A2420" s="2" t="s">
        <v>5049</v>
      </c>
      <c r="B2420" s="2" t="s">
        <v>2569</v>
      </c>
      <c r="C2420" s="2" t="s">
        <v>2608</v>
      </c>
      <c r="D2420" s="3">
        <v>46021</v>
      </c>
      <c r="E2420" s="3">
        <v>46024</v>
      </c>
      <c r="F2420" s="3">
        <v>46035</v>
      </c>
      <c r="G2420" s="2" t="s">
        <v>2641</v>
      </c>
      <c r="H2420" s="2">
        <v>8</v>
      </c>
      <c r="I2420" s="2">
        <f>IFERROR(INDEX(Raw_Orders!H2420:H4848,MATCH(B2420,Raw_Orders!A2420:A4848,0)),0)</f>
        <v>8</v>
      </c>
      <c r="J2420" s="2" t="str">
        <f t="shared" si="148"/>
        <v>No</v>
      </c>
      <c r="K2420" s="2" t="str">
        <f t="shared" si="149"/>
        <v>Yes</v>
      </c>
      <c r="L2420" s="2" t="str">
        <f t="shared" si="151"/>
        <v>No</v>
      </c>
      <c r="M2420" s="2">
        <f t="shared" si="150"/>
        <v>0</v>
      </c>
    </row>
    <row r="2421" spans="1:13" x14ac:dyDescent="0.3">
      <c r="A2421" s="5" t="s">
        <v>5050</v>
      </c>
      <c r="B2421" s="5" t="s">
        <v>2570</v>
      </c>
      <c r="C2421" s="5" t="s">
        <v>2611</v>
      </c>
      <c r="D2421" s="6">
        <v>46022</v>
      </c>
      <c r="E2421" s="6">
        <v>46029</v>
      </c>
      <c r="F2421" s="6">
        <v>46030</v>
      </c>
      <c r="G2421" s="5" t="s">
        <v>2633</v>
      </c>
      <c r="H2421" s="5">
        <v>55</v>
      </c>
      <c r="I2421" s="5">
        <f>IFERROR(INDEX(Raw_Orders!H2421:H4849,MATCH(B2421,Raw_Orders!A2421:A4849,0)),0)</f>
        <v>55</v>
      </c>
      <c r="J2421" s="5" t="str">
        <f t="shared" si="148"/>
        <v>No</v>
      </c>
      <c r="K2421" s="5" t="str">
        <f t="shared" si="149"/>
        <v>Yes</v>
      </c>
      <c r="L2421" s="5" t="str">
        <f t="shared" si="151"/>
        <v>No</v>
      </c>
      <c r="M2421" s="5">
        <f t="shared" si="150"/>
        <v>0</v>
      </c>
    </row>
    <row r="2422" spans="1:13" x14ac:dyDescent="0.3">
      <c r="A2422" s="2" t="s">
        <v>5051</v>
      </c>
      <c r="B2422" s="2" t="s">
        <v>2571</v>
      </c>
      <c r="C2422" s="2" t="s">
        <v>2598</v>
      </c>
      <c r="D2422" s="3">
        <v>46024</v>
      </c>
      <c r="E2422" s="3">
        <v>46026</v>
      </c>
      <c r="F2422" s="3">
        <v>46039</v>
      </c>
      <c r="G2422" s="2" t="s">
        <v>2627</v>
      </c>
      <c r="H2422" s="2">
        <v>59</v>
      </c>
      <c r="I2422" s="2">
        <f>IFERROR(INDEX(Raw_Orders!H2422:H4850,MATCH(B2422,Raw_Orders!A2422:A4850,0)),0)</f>
        <v>63</v>
      </c>
      <c r="J2422" s="2" t="str">
        <f t="shared" si="148"/>
        <v>No</v>
      </c>
      <c r="K2422" s="2" t="str">
        <f t="shared" si="149"/>
        <v>N0</v>
      </c>
      <c r="L2422" s="2" t="str">
        <f t="shared" si="151"/>
        <v>No</v>
      </c>
      <c r="M2422" s="2">
        <f t="shared" si="150"/>
        <v>0</v>
      </c>
    </row>
    <row r="2423" spans="1:13" x14ac:dyDescent="0.3">
      <c r="A2423" s="5" t="s">
        <v>5052</v>
      </c>
      <c r="B2423" s="5" t="s">
        <v>2572</v>
      </c>
      <c r="C2423" s="5" t="s">
        <v>2601</v>
      </c>
      <c r="D2423" s="6">
        <v>46023</v>
      </c>
      <c r="E2423" s="6">
        <v>46029</v>
      </c>
      <c r="F2423" s="6">
        <v>46030</v>
      </c>
      <c r="G2423" s="5" t="s">
        <v>2641</v>
      </c>
      <c r="H2423" s="5">
        <v>13</v>
      </c>
      <c r="I2423" s="5">
        <f>IFERROR(INDEX(Raw_Orders!H2423:H4851,MATCH(B2423,Raw_Orders!A2423:A4851,0)),0)</f>
        <v>13</v>
      </c>
      <c r="J2423" s="5" t="str">
        <f t="shared" si="148"/>
        <v>No</v>
      </c>
      <c r="K2423" s="5" t="str">
        <f t="shared" si="149"/>
        <v>Yes</v>
      </c>
      <c r="L2423" s="5" t="str">
        <f t="shared" si="151"/>
        <v>No</v>
      </c>
      <c r="M2423" s="5">
        <f t="shared" si="150"/>
        <v>0</v>
      </c>
    </row>
    <row r="2424" spans="1:13" x14ac:dyDescent="0.3">
      <c r="A2424" s="2" t="s">
        <v>5053</v>
      </c>
      <c r="B2424" s="2" t="s">
        <v>2573</v>
      </c>
      <c r="C2424" s="2" t="s">
        <v>2616</v>
      </c>
      <c r="D2424" s="3">
        <v>46022</v>
      </c>
      <c r="E2424" s="3">
        <v>46028</v>
      </c>
      <c r="F2424" s="3">
        <v>46037</v>
      </c>
      <c r="G2424" s="2" t="s">
        <v>2641</v>
      </c>
      <c r="H2424" s="2">
        <v>23</v>
      </c>
      <c r="I2424" s="2">
        <f>IFERROR(INDEX(Raw_Orders!H2424:H4852,MATCH(B2424,Raw_Orders!A2424:A4852,0)),0)</f>
        <v>23</v>
      </c>
      <c r="J2424" s="2" t="str">
        <f t="shared" si="148"/>
        <v>No</v>
      </c>
      <c r="K2424" s="2" t="str">
        <f t="shared" si="149"/>
        <v>Yes</v>
      </c>
      <c r="L2424" s="2" t="str">
        <f t="shared" si="151"/>
        <v>No</v>
      </c>
      <c r="M2424" s="2">
        <f t="shared" si="150"/>
        <v>0</v>
      </c>
    </row>
    <row r="2425" spans="1:13" x14ac:dyDescent="0.3">
      <c r="A2425" s="5" t="s">
        <v>5054</v>
      </c>
      <c r="B2425" s="5" t="s">
        <v>2574</v>
      </c>
      <c r="C2425" s="5" t="s">
        <v>2604</v>
      </c>
      <c r="D2425" s="6">
        <v>46023</v>
      </c>
      <c r="E2425" s="6">
        <v>46028</v>
      </c>
      <c r="F2425" s="6">
        <v>46027</v>
      </c>
      <c r="G2425" s="5" t="s">
        <v>2627</v>
      </c>
      <c r="H2425" s="5">
        <v>23</v>
      </c>
      <c r="I2425" s="5">
        <f>IFERROR(INDEX(Raw_Orders!H2425:H4853,MATCH(B2425,Raw_Orders!A2425:A4853,0)),0)</f>
        <v>23</v>
      </c>
      <c r="J2425" s="5" t="str">
        <f t="shared" si="148"/>
        <v>Yes</v>
      </c>
      <c r="K2425" s="5" t="str">
        <f t="shared" si="149"/>
        <v>Yes</v>
      </c>
      <c r="L2425" s="5" t="str">
        <f t="shared" si="151"/>
        <v>Yes</v>
      </c>
      <c r="M2425" s="5">
        <f t="shared" si="150"/>
        <v>1</v>
      </c>
    </row>
    <row r="2426" spans="1:13" x14ac:dyDescent="0.3">
      <c r="A2426" s="2" t="s">
        <v>5055</v>
      </c>
      <c r="B2426" s="2" t="s">
        <v>2575</v>
      </c>
      <c r="C2426" s="2" t="s">
        <v>2604</v>
      </c>
      <c r="D2426" s="3">
        <v>46022</v>
      </c>
      <c r="E2426" s="3">
        <v>46032</v>
      </c>
      <c r="F2426" s="3">
        <v>46026</v>
      </c>
      <c r="G2426" s="2" t="s">
        <v>2627</v>
      </c>
      <c r="H2426" s="2">
        <v>18</v>
      </c>
      <c r="I2426" s="2">
        <f>IFERROR(INDEX(Raw_Orders!H2426:H4854,MATCH(B2426,Raw_Orders!A2426:A4854,0)),0)</f>
        <v>18</v>
      </c>
      <c r="J2426" s="2" t="str">
        <f t="shared" si="148"/>
        <v>Yes</v>
      </c>
      <c r="K2426" s="2" t="str">
        <f t="shared" si="149"/>
        <v>Yes</v>
      </c>
      <c r="L2426" s="2" t="str">
        <f t="shared" si="151"/>
        <v>Yes</v>
      </c>
      <c r="M2426" s="2">
        <f t="shared" si="150"/>
        <v>1</v>
      </c>
    </row>
    <row r="2427" spans="1:13" x14ac:dyDescent="0.3">
      <c r="A2427" s="5" t="s">
        <v>5056</v>
      </c>
      <c r="B2427" s="5" t="s">
        <v>2576</v>
      </c>
      <c r="C2427" s="5" t="s">
        <v>2606</v>
      </c>
      <c r="D2427" s="6">
        <v>46024</v>
      </c>
      <c r="E2427" s="6">
        <v>46026</v>
      </c>
      <c r="F2427" s="6">
        <v>46031</v>
      </c>
      <c r="G2427" s="5" t="s">
        <v>2631</v>
      </c>
      <c r="H2427" s="5">
        <v>11</v>
      </c>
      <c r="I2427" s="5">
        <f>IFERROR(INDEX(Raw_Orders!H2427:H4855,MATCH(B2427,Raw_Orders!A2427:A4855,0)),0)</f>
        <v>11</v>
      </c>
      <c r="J2427" s="5" t="str">
        <f t="shared" si="148"/>
        <v>No</v>
      </c>
      <c r="K2427" s="5" t="str">
        <f t="shared" si="149"/>
        <v>Yes</v>
      </c>
      <c r="L2427" s="5" t="str">
        <f t="shared" si="151"/>
        <v>No</v>
      </c>
      <c r="M2427" s="5">
        <f t="shared" si="150"/>
        <v>0</v>
      </c>
    </row>
    <row r="2428" spans="1:13" x14ac:dyDescent="0.3">
      <c r="A2428" s="2" t="s">
        <v>5057</v>
      </c>
      <c r="B2428" s="2" t="s">
        <v>2577</v>
      </c>
      <c r="C2428" s="2" t="s">
        <v>2606</v>
      </c>
      <c r="D2428" s="3">
        <v>46024</v>
      </c>
      <c r="E2428" s="3">
        <v>46025</v>
      </c>
      <c r="F2428" s="3">
        <v>46029</v>
      </c>
      <c r="G2428" s="2" t="s">
        <v>2627</v>
      </c>
      <c r="H2428" s="2">
        <v>36</v>
      </c>
      <c r="I2428" s="2">
        <f>IFERROR(INDEX(Raw_Orders!H2428:H4856,MATCH(B2428,Raw_Orders!A2428:A4856,0)),0)</f>
        <v>36</v>
      </c>
      <c r="J2428" s="2" t="str">
        <f t="shared" si="148"/>
        <v>No</v>
      </c>
      <c r="K2428" s="2" t="str">
        <f t="shared" si="149"/>
        <v>Yes</v>
      </c>
      <c r="L2428" s="2" t="str">
        <f t="shared" si="151"/>
        <v>No</v>
      </c>
      <c r="M2428" s="2">
        <f t="shared" si="150"/>
        <v>0</v>
      </c>
    </row>
    <row r="2429" spans="1:13" x14ac:dyDescent="0.3">
      <c r="A2429" s="5" t="s">
        <v>5058</v>
      </c>
      <c r="B2429" s="5" t="s">
        <v>2578</v>
      </c>
      <c r="C2429" s="5" t="s">
        <v>2608</v>
      </c>
      <c r="D2429" s="6">
        <v>46022</v>
      </c>
      <c r="E2429" s="6">
        <v>46028</v>
      </c>
      <c r="F2429" s="6">
        <v>46035</v>
      </c>
      <c r="G2429" s="5" t="s">
        <v>2631</v>
      </c>
      <c r="H2429" s="5">
        <v>25</v>
      </c>
      <c r="I2429" s="5">
        <f>IFERROR(INDEX(Raw_Orders!H2429:H4857,MATCH(B2429,Raw_Orders!A2429:A4857,0)),0)</f>
        <v>25</v>
      </c>
      <c r="J2429" s="5" t="str">
        <f t="shared" si="148"/>
        <v>No</v>
      </c>
      <c r="K2429" s="5" t="str">
        <f t="shared" si="149"/>
        <v>Yes</v>
      </c>
      <c r="L2429" s="5" t="str">
        <f t="shared" si="151"/>
        <v>No</v>
      </c>
      <c r="M2429" s="5">
        <f t="shared" si="150"/>
        <v>0</v>
      </c>
    </row>
    <row r="2430" spans="1:13" x14ac:dyDescent="0.3">
      <c r="A2430" s="2" t="s">
        <v>5059</v>
      </c>
      <c r="B2430" s="2" t="s">
        <v>2579</v>
      </c>
      <c r="C2430" s="2" t="s">
        <v>2608</v>
      </c>
      <c r="D2430" s="3">
        <v>46023</v>
      </c>
      <c r="E2430" s="3">
        <v>46027</v>
      </c>
      <c r="F2430" s="3">
        <v>46037</v>
      </c>
      <c r="G2430" s="2" t="s">
        <v>2631</v>
      </c>
      <c r="H2430" s="2">
        <v>10</v>
      </c>
      <c r="I2430" s="2">
        <f>IFERROR(INDEX(Raw_Orders!H2430:H4858,MATCH(B2430,Raw_Orders!A2430:A4858,0)),0)</f>
        <v>10</v>
      </c>
      <c r="J2430" s="2" t="str">
        <f t="shared" si="148"/>
        <v>No</v>
      </c>
      <c r="K2430" s="2" t="str">
        <f t="shared" si="149"/>
        <v>Yes</v>
      </c>
      <c r="L2430" s="2" t="str">
        <f t="shared" si="151"/>
        <v>No</v>
      </c>
      <c r="M2430" s="2">
        <f t="shared" si="150"/>
        <v>0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I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30"/>
  <sheetViews>
    <sheetView zoomScaleNormal="100" workbookViewId="0">
      <pane ySplit="1" topLeftCell="A2" activePane="bottomLeft" state="frozen"/>
      <selection pane="bottomLeft" activeCell="A2409" sqref="A2409"/>
    </sheetView>
  </sheetViews>
  <sheetFormatPr defaultColWidth="8.6640625" defaultRowHeight="14.4" x14ac:dyDescent="0.3"/>
  <cols>
    <col min="1" max="1" width="11" customWidth="1"/>
    <col min="2" max="3" width="12" customWidth="1"/>
    <col min="4" max="5" width="10" customWidth="1"/>
    <col min="6" max="6" width="18" customWidth="1"/>
    <col min="7" max="7" width="15" customWidth="1"/>
    <col min="8" max="8" width="12" customWidth="1"/>
    <col min="9" max="9" width="11" customWidth="1"/>
    <col min="10" max="10" width="13" customWidth="1"/>
    <col min="11" max="11" width="11" customWidth="1"/>
    <col min="12" max="12" width="16.77734375" customWidth="1"/>
  </cols>
  <sheetData>
    <row r="1" spans="1:12" ht="27.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3" t="s">
        <v>10</v>
      </c>
      <c r="L1" s="13" t="s">
        <v>5086</v>
      </c>
    </row>
    <row r="2" spans="1:12" x14ac:dyDescent="0.3">
      <c r="A2" s="2" t="s">
        <v>12</v>
      </c>
      <c r="B2" s="3">
        <v>45658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11</v>
      </c>
      <c r="I2" s="4">
        <v>183.06</v>
      </c>
      <c r="J2" s="3">
        <v>45668</v>
      </c>
      <c r="K2">
        <f>I2*H2</f>
        <v>2013.66</v>
      </c>
      <c r="L2" t="str">
        <f>INDEX(Raw_Shipments!L2:L2430,MATCH(A2,Raw_Shipments!B2:B2430))</f>
        <v>Yes</v>
      </c>
    </row>
    <row r="3" spans="1:12" x14ac:dyDescent="0.3">
      <c r="A3" s="5" t="s">
        <v>18</v>
      </c>
      <c r="B3" s="6">
        <v>45658</v>
      </c>
      <c r="C3" s="5" t="s">
        <v>19</v>
      </c>
      <c r="D3" s="5" t="s">
        <v>14</v>
      </c>
      <c r="E3" s="5" t="s">
        <v>20</v>
      </c>
      <c r="F3" s="5" t="s">
        <v>21</v>
      </c>
      <c r="G3" s="5" t="s">
        <v>22</v>
      </c>
      <c r="H3" s="5">
        <v>9</v>
      </c>
      <c r="I3" s="7">
        <v>2108.56</v>
      </c>
      <c r="J3" s="6">
        <v>45666</v>
      </c>
      <c r="K3">
        <f t="shared" ref="K3:K66" si="0">I3*H3</f>
        <v>18977.04</v>
      </c>
      <c r="L3" t="str">
        <f>INDEX(Raw_Shipments!L3:L2431,MATCH(A3,Raw_Shipments!B3:B2431))</f>
        <v>No</v>
      </c>
    </row>
    <row r="4" spans="1:12" x14ac:dyDescent="0.3">
      <c r="A4" s="2" t="s">
        <v>23</v>
      </c>
      <c r="B4" s="3">
        <v>45658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22</v>
      </c>
      <c r="H4" s="2">
        <v>19</v>
      </c>
      <c r="I4" s="4">
        <v>1646.8</v>
      </c>
      <c r="J4" s="3">
        <v>45662</v>
      </c>
      <c r="K4">
        <f t="shared" si="0"/>
        <v>31289.200000000001</v>
      </c>
      <c r="L4" t="str">
        <f>INDEX(Raw_Shipments!L4:L2432,MATCH(A4,Raw_Shipments!B4:B2432))</f>
        <v>No</v>
      </c>
    </row>
    <row r="5" spans="1:12" x14ac:dyDescent="0.3">
      <c r="A5" s="5" t="s">
        <v>28</v>
      </c>
      <c r="B5" s="6">
        <v>45658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>
        <v>33</v>
      </c>
      <c r="I5" s="7">
        <v>689</v>
      </c>
      <c r="J5" s="6">
        <v>45664</v>
      </c>
      <c r="K5">
        <f t="shared" si="0"/>
        <v>22737</v>
      </c>
      <c r="L5" t="str">
        <f>INDEX(Raw_Shipments!L5:L2433,MATCH(A5,Raw_Shipments!B5:B2433))</f>
        <v>No</v>
      </c>
    </row>
    <row r="6" spans="1:12" x14ac:dyDescent="0.3">
      <c r="A6" s="2" t="s">
        <v>34</v>
      </c>
      <c r="B6" s="3">
        <v>45658</v>
      </c>
      <c r="C6" s="2" t="s">
        <v>35</v>
      </c>
      <c r="D6" s="2" t="s">
        <v>30</v>
      </c>
      <c r="E6" s="2" t="s">
        <v>36</v>
      </c>
      <c r="F6" s="2" t="s">
        <v>37</v>
      </c>
      <c r="G6" s="2" t="s">
        <v>33</v>
      </c>
      <c r="H6" s="2">
        <v>59</v>
      </c>
      <c r="I6" s="4">
        <v>1064.79</v>
      </c>
      <c r="J6" s="3">
        <v>45668</v>
      </c>
      <c r="K6">
        <f t="shared" si="0"/>
        <v>62822.61</v>
      </c>
      <c r="L6" t="str">
        <f>INDEX(Raw_Shipments!L6:L2434,MATCH(A6,Raw_Shipments!B6:B2434))</f>
        <v>No</v>
      </c>
    </row>
    <row r="7" spans="1:12" x14ac:dyDescent="0.3">
      <c r="A7" s="5" t="s">
        <v>38</v>
      </c>
      <c r="B7" s="6">
        <v>45658</v>
      </c>
      <c r="C7" s="5" t="s">
        <v>39</v>
      </c>
      <c r="D7" s="5" t="s">
        <v>30</v>
      </c>
      <c r="E7" s="5" t="s">
        <v>40</v>
      </c>
      <c r="F7" s="5" t="s">
        <v>41</v>
      </c>
      <c r="G7" s="5" t="s">
        <v>42</v>
      </c>
      <c r="H7" s="5">
        <v>41</v>
      </c>
      <c r="I7" s="7">
        <v>2445.11</v>
      </c>
      <c r="J7" s="6">
        <v>45662</v>
      </c>
      <c r="K7">
        <f t="shared" si="0"/>
        <v>100249.51000000001</v>
      </c>
      <c r="L7" t="str">
        <f>INDEX(Raw_Shipments!L7:L2435,MATCH(A7,Raw_Shipments!B7:B2435))</f>
        <v>No</v>
      </c>
    </row>
    <row r="8" spans="1:12" x14ac:dyDescent="0.3">
      <c r="A8" s="2" t="s">
        <v>43</v>
      </c>
      <c r="B8" s="3">
        <v>45658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42</v>
      </c>
      <c r="H8" s="2">
        <v>2</v>
      </c>
      <c r="I8" s="4">
        <v>1833.14</v>
      </c>
      <c r="J8" s="3">
        <v>45661</v>
      </c>
      <c r="K8">
        <f t="shared" si="0"/>
        <v>3666.28</v>
      </c>
      <c r="L8" t="str">
        <f>INDEX(Raw_Shipments!L8:L2436,MATCH(A8,Raw_Shipments!B8:B2436))</f>
        <v>No</v>
      </c>
    </row>
    <row r="9" spans="1:12" x14ac:dyDescent="0.3">
      <c r="A9" s="5" t="s">
        <v>48</v>
      </c>
      <c r="B9" s="6">
        <v>45658</v>
      </c>
      <c r="C9" s="5" t="s">
        <v>49</v>
      </c>
      <c r="D9" s="5" t="s">
        <v>14</v>
      </c>
      <c r="E9" s="5" t="s">
        <v>50</v>
      </c>
      <c r="F9" s="5" t="s">
        <v>51</v>
      </c>
      <c r="G9" s="5" t="s">
        <v>42</v>
      </c>
      <c r="H9" s="5">
        <v>12</v>
      </c>
      <c r="I9" s="7">
        <v>1952.28</v>
      </c>
      <c r="J9" s="6">
        <v>45666</v>
      </c>
      <c r="K9">
        <f t="shared" si="0"/>
        <v>23427.360000000001</v>
      </c>
      <c r="L9" t="str">
        <f>INDEX(Raw_Shipments!L9:L2437,MATCH(A9,Raw_Shipments!B9:B2437))</f>
        <v>No</v>
      </c>
    </row>
    <row r="10" spans="1:12" x14ac:dyDescent="0.3">
      <c r="A10" s="2" t="s">
        <v>52</v>
      </c>
      <c r="B10" s="3">
        <v>45659</v>
      </c>
      <c r="C10" s="2" t="s">
        <v>29</v>
      </c>
      <c r="D10" s="2" t="s">
        <v>30</v>
      </c>
      <c r="E10" s="2" t="s">
        <v>53</v>
      </c>
      <c r="F10" s="2" t="s">
        <v>54</v>
      </c>
      <c r="G10" s="2" t="s">
        <v>55</v>
      </c>
      <c r="H10" s="2">
        <v>27</v>
      </c>
      <c r="I10" s="4">
        <v>2055.9</v>
      </c>
      <c r="J10" s="3">
        <v>45664</v>
      </c>
      <c r="K10">
        <f t="shared" si="0"/>
        <v>55509.3</v>
      </c>
      <c r="L10" t="str">
        <f>INDEX(Raw_Shipments!L10:L2438,MATCH(A10,Raw_Shipments!B10:B2438))</f>
        <v>No</v>
      </c>
    </row>
    <row r="11" spans="1:12" x14ac:dyDescent="0.3">
      <c r="A11" s="5" t="s">
        <v>56</v>
      </c>
      <c r="B11" s="6">
        <v>45659</v>
      </c>
      <c r="C11" s="5" t="s">
        <v>57</v>
      </c>
      <c r="D11" s="5" t="s">
        <v>45</v>
      </c>
      <c r="E11" s="5" t="s">
        <v>58</v>
      </c>
      <c r="F11" s="5" t="s">
        <v>59</v>
      </c>
      <c r="G11" s="5" t="s">
        <v>55</v>
      </c>
      <c r="H11" s="5">
        <v>16</v>
      </c>
      <c r="I11" s="7">
        <v>1695.1</v>
      </c>
      <c r="J11" s="6">
        <v>45663</v>
      </c>
      <c r="K11">
        <f t="shared" si="0"/>
        <v>27121.599999999999</v>
      </c>
      <c r="L11" t="str">
        <f>INDEX(Raw_Shipments!L11:L2439,MATCH(A11,Raw_Shipments!B11:B2439))</f>
        <v>No</v>
      </c>
    </row>
    <row r="12" spans="1:12" x14ac:dyDescent="0.3">
      <c r="A12" s="2" t="s">
        <v>60</v>
      </c>
      <c r="B12" s="3">
        <v>45659</v>
      </c>
      <c r="C12" s="2" t="s">
        <v>61</v>
      </c>
      <c r="D12" s="2" t="s">
        <v>14</v>
      </c>
      <c r="E12" s="2" t="s">
        <v>62</v>
      </c>
      <c r="F12" s="2" t="s">
        <v>63</v>
      </c>
      <c r="G12" s="2" t="s">
        <v>55</v>
      </c>
      <c r="H12" s="2">
        <v>59</v>
      </c>
      <c r="I12" s="4">
        <v>2555.2199999999998</v>
      </c>
      <c r="J12" s="3">
        <v>45663</v>
      </c>
      <c r="K12">
        <f t="shared" si="0"/>
        <v>150757.97999999998</v>
      </c>
      <c r="L12" t="str">
        <f>INDEX(Raw_Shipments!L12:L2440,MATCH(A12,Raw_Shipments!B12:B2440))</f>
        <v>No</v>
      </c>
    </row>
    <row r="13" spans="1:12" x14ac:dyDescent="0.3">
      <c r="A13" s="5" t="s">
        <v>64</v>
      </c>
      <c r="B13" s="6">
        <v>45659</v>
      </c>
      <c r="C13" s="5" t="s">
        <v>65</v>
      </c>
      <c r="D13" s="5" t="s">
        <v>14</v>
      </c>
      <c r="E13" s="5" t="s">
        <v>66</v>
      </c>
      <c r="F13" s="5" t="s">
        <v>67</v>
      </c>
      <c r="G13" s="5" t="s">
        <v>17</v>
      </c>
      <c r="H13" s="5">
        <v>14</v>
      </c>
      <c r="I13" s="7">
        <v>850.8</v>
      </c>
      <c r="J13" s="6">
        <v>45669</v>
      </c>
      <c r="K13">
        <f t="shared" si="0"/>
        <v>11911.199999999999</v>
      </c>
      <c r="L13" t="str">
        <f>INDEX(Raw_Shipments!L13:L2441,MATCH(A13,Raw_Shipments!B13:B2441))</f>
        <v>Yes</v>
      </c>
    </row>
    <row r="14" spans="1:12" x14ac:dyDescent="0.3">
      <c r="A14" s="2" t="s">
        <v>68</v>
      </c>
      <c r="B14" s="3">
        <v>45659</v>
      </c>
      <c r="C14" s="2" t="s">
        <v>69</v>
      </c>
      <c r="D14" s="2" t="s">
        <v>30</v>
      </c>
      <c r="E14" s="2" t="s">
        <v>20</v>
      </c>
      <c r="F14" s="2" t="s">
        <v>21</v>
      </c>
      <c r="G14" s="2" t="s">
        <v>22</v>
      </c>
      <c r="H14" s="2">
        <v>18</v>
      </c>
      <c r="I14" s="4">
        <v>2108.56</v>
      </c>
      <c r="J14" s="3">
        <v>45669</v>
      </c>
      <c r="K14">
        <f t="shared" si="0"/>
        <v>37954.080000000002</v>
      </c>
      <c r="L14" t="str">
        <f>INDEX(Raw_Shipments!L14:L2442,MATCH(A14,Raw_Shipments!B14:B2442))</f>
        <v>No</v>
      </c>
    </row>
    <row r="15" spans="1:12" x14ac:dyDescent="0.3">
      <c r="A15" s="5" t="s">
        <v>70</v>
      </c>
      <c r="B15" s="6">
        <v>45659</v>
      </c>
      <c r="C15" s="5" t="s">
        <v>71</v>
      </c>
      <c r="D15" s="5" t="s">
        <v>45</v>
      </c>
      <c r="E15" s="5" t="s">
        <v>40</v>
      </c>
      <c r="F15" s="5" t="s">
        <v>41</v>
      </c>
      <c r="G15" s="5" t="s">
        <v>42</v>
      </c>
      <c r="H15" s="5">
        <v>26</v>
      </c>
      <c r="I15" s="7">
        <v>2445.11</v>
      </c>
      <c r="J15" s="6">
        <v>45665</v>
      </c>
      <c r="K15">
        <f t="shared" si="0"/>
        <v>63572.86</v>
      </c>
      <c r="L15" t="str">
        <f>INDEX(Raw_Shipments!L15:L2443,MATCH(A15,Raw_Shipments!B15:B2443))</f>
        <v>No</v>
      </c>
    </row>
    <row r="16" spans="1:12" x14ac:dyDescent="0.3">
      <c r="A16" s="2" t="s">
        <v>72</v>
      </c>
      <c r="B16" s="3">
        <v>45659</v>
      </c>
      <c r="C16" s="2" t="s">
        <v>71</v>
      </c>
      <c r="D16" s="2" t="s">
        <v>45</v>
      </c>
      <c r="E16" s="2" t="s">
        <v>50</v>
      </c>
      <c r="F16" s="2" t="s">
        <v>51</v>
      </c>
      <c r="G16" s="2" t="s">
        <v>42</v>
      </c>
      <c r="H16" s="2">
        <v>6</v>
      </c>
      <c r="I16" s="4">
        <v>1952.28</v>
      </c>
      <c r="J16" s="3">
        <v>45664</v>
      </c>
      <c r="K16">
        <f t="shared" si="0"/>
        <v>11713.68</v>
      </c>
      <c r="L16" t="str">
        <f>INDEX(Raw_Shipments!L16:L2444,MATCH(A16,Raw_Shipments!B16:B2444))</f>
        <v>No</v>
      </c>
    </row>
    <row r="17" spans="1:12" x14ac:dyDescent="0.3">
      <c r="A17" s="5" t="s">
        <v>73</v>
      </c>
      <c r="B17" s="6">
        <v>45660</v>
      </c>
      <c r="C17" s="5" t="s">
        <v>44</v>
      </c>
      <c r="D17" s="5" t="s">
        <v>14</v>
      </c>
      <c r="E17" s="5" t="s">
        <v>58</v>
      </c>
      <c r="F17" s="5" t="s">
        <v>59</v>
      </c>
      <c r="G17" s="5" t="s">
        <v>55</v>
      </c>
      <c r="H17" s="5">
        <v>13</v>
      </c>
      <c r="I17" s="7">
        <v>1695.1</v>
      </c>
      <c r="J17" s="6">
        <v>45664</v>
      </c>
      <c r="K17">
        <f t="shared" si="0"/>
        <v>22036.3</v>
      </c>
      <c r="L17" t="str">
        <f>INDEX(Raw_Shipments!L17:L2445,MATCH(A17,Raw_Shipments!B17:B2445))</f>
        <v>No</v>
      </c>
    </row>
    <row r="18" spans="1:12" x14ac:dyDescent="0.3">
      <c r="A18" s="2" t="s">
        <v>74</v>
      </c>
      <c r="B18" s="3">
        <v>45660</v>
      </c>
      <c r="C18" s="2" t="s">
        <v>75</v>
      </c>
      <c r="D18" s="2" t="s">
        <v>45</v>
      </c>
      <c r="E18" s="2" t="s">
        <v>62</v>
      </c>
      <c r="F18" s="2" t="s">
        <v>63</v>
      </c>
      <c r="G18" s="2" t="s">
        <v>55</v>
      </c>
      <c r="H18" s="2">
        <v>50</v>
      </c>
      <c r="I18" s="4">
        <v>2555.2199999999998</v>
      </c>
      <c r="J18" s="3">
        <v>45663</v>
      </c>
      <c r="K18">
        <f t="shared" si="0"/>
        <v>127760.99999999999</v>
      </c>
      <c r="L18" t="str">
        <f>INDEX(Raw_Shipments!L18:L2446,MATCH(A18,Raw_Shipments!B18:B2446))</f>
        <v>No</v>
      </c>
    </row>
    <row r="19" spans="1:12" x14ac:dyDescent="0.3">
      <c r="A19" s="5" t="s">
        <v>76</v>
      </c>
      <c r="B19" s="6">
        <v>45660</v>
      </c>
      <c r="C19" s="5" t="s">
        <v>77</v>
      </c>
      <c r="D19" s="5" t="s">
        <v>14</v>
      </c>
      <c r="E19" s="5" t="s">
        <v>66</v>
      </c>
      <c r="F19" s="5" t="s">
        <v>67</v>
      </c>
      <c r="G19" s="5" t="s">
        <v>17</v>
      </c>
      <c r="H19" s="5">
        <v>11</v>
      </c>
      <c r="I19" s="7">
        <v>850.8</v>
      </c>
      <c r="J19" s="6">
        <v>45668</v>
      </c>
      <c r="K19">
        <f t="shared" si="0"/>
        <v>9358.7999999999993</v>
      </c>
      <c r="L19" t="str">
        <f>INDEX(Raw_Shipments!L19:L2447,MATCH(A19,Raw_Shipments!B19:B2447))</f>
        <v>Yes</v>
      </c>
    </row>
    <row r="20" spans="1:12" x14ac:dyDescent="0.3">
      <c r="A20" s="2" t="s">
        <v>78</v>
      </c>
      <c r="B20" s="3">
        <v>45660</v>
      </c>
      <c r="C20" s="2" t="s">
        <v>79</v>
      </c>
      <c r="D20" s="2" t="s">
        <v>25</v>
      </c>
      <c r="E20" s="2" t="s">
        <v>15</v>
      </c>
      <c r="F20" s="2" t="s">
        <v>16</v>
      </c>
      <c r="G20" s="2" t="s">
        <v>17</v>
      </c>
      <c r="H20" s="2">
        <v>13</v>
      </c>
      <c r="I20" s="4">
        <v>183.06</v>
      </c>
      <c r="J20" s="3">
        <v>45667</v>
      </c>
      <c r="K20">
        <f t="shared" si="0"/>
        <v>2379.7800000000002</v>
      </c>
      <c r="L20" t="str">
        <f>INDEX(Raw_Shipments!L20:L2448,MATCH(A20,Raw_Shipments!B20:B2448))</f>
        <v>Yes</v>
      </c>
    </row>
    <row r="21" spans="1:12" x14ac:dyDescent="0.3">
      <c r="A21" s="5" t="s">
        <v>80</v>
      </c>
      <c r="B21" s="6">
        <v>45660</v>
      </c>
      <c r="C21" s="5" t="s">
        <v>81</v>
      </c>
      <c r="D21" s="5" t="s">
        <v>14</v>
      </c>
      <c r="E21" s="5" t="s">
        <v>26</v>
      </c>
      <c r="F21" s="5" t="s">
        <v>27</v>
      </c>
      <c r="G21" s="5" t="s">
        <v>22</v>
      </c>
      <c r="H21" s="5">
        <v>23</v>
      </c>
      <c r="I21" s="7">
        <v>1646.8</v>
      </c>
      <c r="J21" s="6">
        <v>45664</v>
      </c>
      <c r="K21">
        <f t="shared" si="0"/>
        <v>37876.400000000001</v>
      </c>
      <c r="L21" t="str">
        <f>INDEX(Raw_Shipments!L21:L2449,MATCH(A21,Raw_Shipments!B21:B2449))</f>
        <v>No</v>
      </c>
    </row>
    <row r="22" spans="1:12" x14ac:dyDescent="0.3">
      <c r="A22" s="2" t="s">
        <v>82</v>
      </c>
      <c r="B22" s="3">
        <v>45660</v>
      </c>
      <c r="C22" s="2" t="s">
        <v>83</v>
      </c>
      <c r="D22" s="2" t="s">
        <v>25</v>
      </c>
      <c r="E22" s="2" t="s">
        <v>36</v>
      </c>
      <c r="F22" s="2" t="s">
        <v>37</v>
      </c>
      <c r="G22" s="2" t="s">
        <v>33</v>
      </c>
      <c r="H22" s="2">
        <v>35</v>
      </c>
      <c r="I22" s="4">
        <v>1064.79</v>
      </c>
      <c r="J22" s="3">
        <v>45666</v>
      </c>
      <c r="K22">
        <f t="shared" si="0"/>
        <v>37267.65</v>
      </c>
      <c r="L22" t="str">
        <f>INDEX(Raw_Shipments!L22:L2450,MATCH(A22,Raw_Shipments!B22:B2450))</f>
        <v>No</v>
      </c>
    </row>
    <row r="23" spans="1:12" x14ac:dyDescent="0.3">
      <c r="A23" s="5" t="s">
        <v>84</v>
      </c>
      <c r="B23" s="6">
        <v>45660</v>
      </c>
      <c r="C23" s="5" t="s">
        <v>85</v>
      </c>
      <c r="D23" s="5" t="s">
        <v>45</v>
      </c>
      <c r="E23" s="5" t="s">
        <v>86</v>
      </c>
      <c r="F23" s="5" t="s">
        <v>87</v>
      </c>
      <c r="G23" s="5" t="s">
        <v>33</v>
      </c>
      <c r="H23" s="5">
        <v>29</v>
      </c>
      <c r="I23" s="7">
        <v>815.88</v>
      </c>
      <c r="J23" s="6">
        <v>45667</v>
      </c>
      <c r="K23">
        <f t="shared" si="0"/>
        <v>23660.52</v>
      </c>
      <c r="L23" t="str">
        <f>INDEX(Raw_Shipments!L23:L2451,MATCH(A23,Raw_Shipments!B23:B2451))</f>
        <v>No</v>
      </c>
    </row>
    <row r="24" spans="1:12" x14ac:dyDescent="0.3">
      <c r="A24" s="2" t="s">
        <v>88</v>
      </c>
      <c r="B24" s="3">
        <v>45661</v>
      </c>
      <c r="C24" s="2" t="s">
        <v>89</v>
      </c>
      <c r="D24" s="2" t="s">
        <v>14</v>
      </c>
      <c r="E24" s="2" t="s">
        <v>53</v>
      </c>
      <c r="F24" s="2" t="s">
        <v>54</v>
      </c>
      <c r="G24" s="2" t="s">
        <v>55</v>
      </c>
      <c r="H24" s="2">
        <v>40</v>
      </c>
      <c r="I24" s="4">
        <v>2055.9</v>
      </c>
      <c r="J24" s="3">
        <v>45665</v>
      </c>
      <c r="K24">
        <f t="shared" si="0"/>
        <v>82236</v>
      </c>
      <c r="L24" t="str">
        <f>INDEX(Raw_Shipments!L24:L2452,MATCH(A24,Raw_Shipments!B24:B2452))</f>
        <v>No</v>
      </c>
    </row>
    <row r="25" spans="1:12" x14ac:dyDescent="0.3">
      <c r="A25" s="5" t="s">
        <v>90</v>
      </c>
      <c r="B25" s="6">
        <v>45661</v>
      </c>
      <c r="C25" s="5" t="s">
        <v>91</v>
      </c>
      <c r="D25" s="5" t="s">
        <v>25</v>
      </c>
      <c r="E25" s="5" t="s">
        <v>58</v>
      </c>
      <c r="F25" s="5" t="s">
        <v>59</v>
      </c>
      <c r="G25" s="5" t="s">
        <v>55</v>
      </c>
      <c r="H25" s="5">
        <v>14</v>
      </c>
      <c r="I25" s="7">
        <v>1695.1</v>
      </c>
      <c r="J25" s="6">
        <v>45667</v>
      </c>
      <c r="K25">
        <f t="shared" si="0"/>
        <v>23731.399999999998</v>
      </c>
      <c r="L25" t="str">
        <f>INDEX(Raw_Shipments!L25:L2453,MATCH(A25,Raw_Shipments!B25:B2453))</f>
        <v>No</v>
      </c>
    </row>
    <row r="26" spans="1:12" x14ac:dyDescent="0.3">
      <c r="A26" s="2" t="s">
        <v>92</v>
      </c>
      <c r="B26" s="3">
        <v>45661</v>
      </c>
      <c r="C26" s="2" t="s">
        <v>93</v>
      </c>
      <c r="D26" s="2" t="s">
        <v>45</v>
      </c>
      <c r="E26" s="2" t="s">
        <v>62</v>
      </c>
      <c r="F26" s="2" t="s">
        <v>63</v>
      </c>
      <c r="G26" s="2" t="s">
        <v>55</v>
      </c>
      <c r="H26" s="2">
        <v>29</v>
      </c>
      <c r="I26" s="4">
        <v>2555.2199999999998</v>
      </c>
      <c r="J26" s="3">
        <v>45671</v>
      </c>
      <c r="K26">
        <f t="shared" si="0"/>
        <v>74101.37999999999</v>
      </c>
      <c r="L26" t="str">
        <f>INDEX(Raw_Shipments!L26:L2454,MATCH(A26,Raw_Shipments!B26:B2454))</f>
        <v>No</v>
      </c>
    </row>
    <row r="27" spans="1:12" x14ac:dyDescent="0.3">
      <c r="A27" s="5" t="s">
        <v>94</v>
      </c>
      <c r="B27" s="6">
        <v>45661</v>
      </c>
      <c r="C27" s="5" t="s">
        <v>29</v>
      </c>
      <c r="D27" s="5" t="s">
        <v>45</v>
      </c>
      <c r="E27" s="5" t="s">
        <v>66</v>
      </c>
      <c r="F27" s="5" t="s">
        <v>67</v>
      </c>
      <c r="G27" s="5" t="s">
        <v>17</v>
      </c>
      <c r="H27" s="5">
        <v>11</v>
      </c>
      <c r="I27" s="7">
        <v>850.8</v>
      </c>
      <c r="J27" s="6">
        <v>45670</v>
      </c>
      <c r="K27">
        <f t="shared" si="0"/>
        <v>9358.7999999999993</v>
      </c>
      <c r="L27" t="str">
        <f>INDEX(Raw_Shipments!L27:L2455,MATCH(A27,Raw_Shipments!B27:B2455))</f>
        <v>No</v>
      </c>
    </row>
    <row r="28" spans="1:12" x14ac:dyDescent="0.3">
      <c r="A28" s="2" t="s">
        <v>95</v>
      </c>
      <c r="B28" s="3">
        <v>45661</v>
      </c>
      <c r="C28" s="2" t="s">
        <v>96</v>
      </c>
      <c r="D28" s="2" t="s">
        <v>30</v>
      </c>
      <c r="E28" s="2" t="s">
        <v>97</v>
      </c>
      <c r="F28" s="2" t="s">
        <v>98</v>
      </c>
      <c r="G28" s="2" t="s">
        <v>17</v>
      </c>
      <c r="H28" s="2">
        <v>29</v>
      </c>
      <c r="I28" s="4">
        <v>1110.6500000000001</v>
      </c>
      <c r="J28" s="3">
        <v>45668</v>
      </c>
      <c r="K28">
        <f t="shared" si="0"/>
        <v>32208.850000000002</v>
      </c>
      <c r="L28" t="str">
        <f>INDEX(Raw_Shipments!L28:L2456,MATCH(A28,Raw_Shipments!B28:B2456))</f>
        <v>No</v>
      </c>
    </row>
    <row r="29" spans="1:12" x14ac:dyDescent="0.3">
      <c r="A29" s="5" t="s">
        <v>99</v>
      </c>
      <c r="B29" s="6">
        <v>45661</v>
      </c>
      <c r="C29" s="5" t="s">
        <v>100</v>
      </c>
      <c r="D29" s="5" t="s">
        <v>45</v>
      </c>
      <c r="E29" s="5" t="s">
        <v>20</v>
      </c>
      <c r="F29" s="5" t="s">
        <v>21</v>
      </c>
      <c r="G29" s="5" t="s">
        <v>22</v>
      </c>
      <c r="H29" s="5">
        <v>7</v>
      </c>
      <c r="I29" s="7">
        <v>2108.56</v>
      </c>
      <c r="J29" s="6">
        <v>45664</v>
      </c>
      <c r="K29">
        <f t="shared" si="0"/>
        <v>14759.92</v>
      </c>
      <c r="L29" t="str">
        <f>INDEX(Raw_Shipments!L29:L2457,MATCH(A29,Raw_Shipments!B29:B2457))</f>
        <v>No</v>
      </c>
    </row>
    <row r="30" spans="1:12" x14ac:dyDescent="0.3">
      <c r="A30" s="2" t="s">
        <v>101</v>
      </c>
      <c r="B30" s="3">
        <v>45661</v>
      </c>
      <c r="C30" s="2" t="s">
        <v>102</v>
      </c>
      <c r="D30" s="2" t="s">
        <v>14</v>
      </c>
      <c r="E30" s="2" t="s">
        <v>31</v>
      </c>
      <c r="F30" s="2" t="s">
        <v>32</v>
      </c>
      <c r="G30" s="2" t="s">
        <v>33</v>
      </c>
      <c r="H30" s="2">
        <v>50</v>
      </c>
      <c r="I30" s="4">
        <v>689</v>
      </c>
      <c r="J30" s="3">
        <v>45666</v>
      </c>
      <c r="K30">
        <f t="shared" si="0"/>
        <v>34450</v>
      </c>
      <c r="L30" t="str">
        <f>INDEX(Raw_Shipments!L30:L2458,MATCH(A30,Raw_Shipments!B30:B2458))</f>
        <v>No</v>
      </c>
    </row>
    <row r="31" spans="1:12" x14ac:dyDescent="0.3">
      <c r="A31" s="5" t="s">
        <v>103</v>
      </c>
      <c r="B31" s="6">
        <v>45661</v>
      </c>
      <c r="C31" s="5" t="s">
        <v>104</v>
      </c>
      <c r="D31" s="5" t="s">
        <v>25</v>
      </c>
      <c r="E31" s="5" t="s">
        <v>36</v>
      </c>
      <c r="F31" s="5" t="s">
        <v>37</v>
      </c>
      <c r="G31" s="5" t="s">
        <v>33</v>
      </c>
      <c r="H31" s="5">
        <v>41</v>
      </c>
      <c r="I31" s="7">
        <v>1064.79</v>
      </c>
      <c r="J31" s="6">
        <v>45669</v>
      </c>
      <c r="K31">
        <f t="shared" si="0"/>
        <v>43656.39</v>
      </c>
      <c r="L31" t="str">
        <f>INDEX(Raw_Shipments!L31:L2459,MATCH(A31,Raw_Shipments!B31:B2459))</f>
        <v>Yes</v>
      </c>
    </row>
    <row r="32" spans="1:12" x14ac:dyDescent="0.3">
      <c r="A32" s="2" t="s">
        <v>105</v>
      </c>
      <c r="B32" s="3">
        <v>45661</v>
      </c>
      <c r="C32" s="2" t="s">
        <v>75</v>
      </c>
      <c r="D32" s="2" t="s">
        <v>14</v>
      </c>
      <c r="E32" s="2" t="s">
        <v>86</v>
      </c>
      <c r="F32" s="2" t="s">
        <v>87</v>
      </c>
      <c r="G32" s="2" t="s">
        <v>33</v>
      </c>
      <c r="H32" s="2">
        <v>26</v>
      </c>
      <c r="I32" s="4">
        <v>815.88</v>
      </c>
      <c r="J32" s="3">
        <v>45670</v>
      </c>
      <c r="K32">
        <f t="shared" si="0"/>
        <v>21212.880000000001</v>
      </c>
      <c r="L32" t="str">
        <f>INDEX(Raw_Shipments!L32:L2460,MATCH(A32,Raw_Shipments!B32:B2460))</f>
        <v>No</v>
      </c>
    </row>
    <row r="33" spans="1:12" x14ac:dyDescent="0.3">
      <c r="A33" s="5" t="s">
        <v>106</v>
      </c>
      <c r="B33" s="6">
        <v>45661</v>
      </c>
      <c r="C33" s="5" t="s">
        <v>107</v>
      </c>
      <c r="D33" s="5" t="s">
        <v>30</v>
      </c>
      <c r="E33" s="5" t="s">
        <v>46</v>
      </c>
      <c r="F33" s="5" t="s">
        <v>47</v>
      </c>
      <c r="G33" s="5" t="s">
        <v>42</v>
      </c>
      <c r="H33" s="5">
        <v>7</v>
      </c>
      <c r="I33" s="7">
        <v>1833.14</v>
      </c>
      <c r="J33" s="6">
        <v>45666</v>
      </c>
      <c r="K33">
        <f t="shared" si="0"/>
        <v>12831.980000000001</v>
      </c>
      <c r="L33" t="str">
        <f>INDEX(Raw_Shipments!L33:L2461,MATCH(A33,Raw_Shipments!B33:B2461))</f>
        <v>No</v>
      </c>
    </row>
    <row r="34" spans="1:12" x14ac:dyDescent="0.3">
      <c r="A34" s="2" t="s">
        <v>108</v>
      </c>
      <c r="B34" s="3">
        <v>45661</v>
      </c>
      <c r="C34" s="2" t="s">
        <v>109</v>
      </c>
      <c r="D34" s="2" t="s">
        <v>14</v>
      </c>
      <c r="E34" s="2" t="s">
        <v>50</v>
      </c>
      <c r="F34" s="2" t="s">
        <v>51</v>
      </c>
      <c r="G34" s="2" t="s">
        <v>42</v>
      </c>
      <c r="H34" s="2">
        <v>8</v>
      </c>
      <c r="I34" s="4">
        <v>1952.28</v>
      </c>
      <c r="J34" s="3">
        <v>45670</v>
      </c>
      <c r="K34">
        <f t="shared" si="0"/>
        <v>15618.24</v>
      </c>
      <c r="L34" t="str">
        <f>INDEX(Raw_Shipments!L34:L2462,MATCH(A34,Raw_Shipments!B34:B2462))</f>
        <v>No</v>
      </c>
    </row>
    <row r="35" spans="1:12" x14ac:dyDescent="0.3">
      <c r="A35" s="5" t="s">
        <v>110</v>
      </c>
      <c r="B35" s="6">
        <v>45662</v>
      </c>
      <c r="C35" s="5" t="s">
        <v>111</v>
      </c>
      <c r="D35" s="5" t="s">
        <v>45</v>
      </c>
      <c r="E35" s="5" t="s">
        <v>53</v>
      </c>
      <c r="F35" s="5" t="s">
        <v>54</v>
      </c>
      <c r="G35" s="5" t="s">
        <v>55</v>
      </c>
      <c r="H35" s="5">
        <v>23</v>
      </c>
      <c r="I35" s="7">
        <v>2055.9</v>
      </c>
      <c r="J35" s="6">
        <v>45666</v>
      </c>
      <c r="K35">
        <f t="shared" si="0"/>
        <v>47285.700000000004</v>
      </c>
      <c r="L35" t="str">
        <f>INDEX(Raw_Shipments!L35:L2463,MATCH(A35,Raw_Shipments!B35:B2463))</f>
        <v>No</v>
      </c>
    </row>
    <row r="36" spans="1:12" x14ac:dyDescent="0.3">
      <c r="A36" s="2" t="s">
        <v>112</v>
      </c>
      <c r="B36" s="3">
        <v>45662</v>
      </c>
      <c r="C36" s="2" t="s">
        <v>113</v>
      </c>
      <c r="D36" s="2" t="s">
        <v>14</v>
      </c>
      <c r="E36" s="2" t="s">
        <v>62</v>
      </c>
      <c r="F36" s="2" t="s">
        <v>63</v>
      </c>
      <c r="G36" s="2" t="s">
        <v>55</v>
      </c>
      <c r="H36" s="2">
        <v>41</v>
      </c>
      <c r="I36" s="4">
        <v>2555.2199999999998</v>
      </c>
      <c r="J36" s="3">
        <v>45669</v>
      </c>
      <c r="K36">
        <f t="shared" si="0"/>
        <v>104764.01999999999</v>
      </c>
      <c r="L36" t="str">
        <f>INDEX(Raw_Shipments!L36:L2464,MATCH(A36,Raw_Shipments!B36:B2464))</f>
        <v>No</v>
      </c>
    </row>
    <row r="37" spans="1:12" x14ac:dyDescent="0.3">
      <c r="A37" s="5" t="s">
        <v>114</v>
      </c>
      <c r="B37" s="6">
        <v>45662</v>
      </c>
      <c r="C37" s="5" t="s">
        <v>115</v>
      </c>
      <c r="D37" s="5" t="s">
        <v>25</v>
      </c>
      <c r="E37" s="5" t="s">
        <v>66</v>
      </c>
      <c r="F37" s="5" t="s">
        <v>67</v>
      </c>
      <c r="G37" s="5" t="s">
        <v>17</v>
      </c>
      <c r="H37" s="5">
        <v>9</v>
      </c>
      <c r="I37" s="7">
        <v>850.8</v>
      </c>
      <c r="J37" s="6">
        <v>45668</v>
      </c>
      <c r="K37">
        <f t="shared" si="0"/>
        <v>7657.2</v>
      </c>
      <c r="L37" t="str">
        <f>INDEX(Raw_Shipments!L37:L2465,MATCH(A37,Raw_Shipments!B37:B2465))</f>
        <v>No</v>
      </c>
    </row>
    <row r="38" spans="1:12" x14ac:dyDescent="0.3">
      <c r="A38" s="2" t="s">
        <v>116</v>
      </c>
      <c r="B38" s="3">
        <v>45662</v>
      </c>
      <c r="C38" s="2" t="s">
        <v>117</v>
      </c>
      <c r="D38" s="2" t="s">
        <v>30</v>
      </c>
      <c r="E38" s="2" t="s">
        <v>97</v>
      </c>
      <c r="F38" s="2" t="s">
        <v>98</v>
      </c>
      <c r="G38" s="2" t="s">
        <v>17</v>
      </c>
      <c r="H38" s="2">
        <v>42</v>
      </c>
      <c r="I38" s="4">
        <v>1110.6500000000001</v>
      </c>
      <c r="J38" s="3">
        <v>45670</v>
      </c>
      <c r="K38">
        <f t="shared" si="0"/>
        <v>46647.3</v>
      </c>
      <c r="L38" t="str">
        <f>INDEX(Raw_Shipments!L38:L2466,MATCH(A38,Raw_Shipments!B38:B2466))</f>
        <v>No</v>
      </c>
    </row>
    <row r="39" spans="1:12" x14ac:dyDescent="0.3">
      <c r="A39" s="5" t="s">
        <v>118</v>
      </c>
      <c r="B39" s="6">
        <v>45662</v>
      </c>
      <c r="C39" s="5" t="s">
        <v>100</v>
      </c>
      <c r="D39" s="5" t="s">
        <v>25</v>
      </c>
      <c r="E39" s="5" t="s">
        <v>119</v>
      </c>
      <c r="F39" s="5" t="s">
        <v>120</v>
      </c>
      <c r="G39" s="5" t="s">
        <v>22</v>
      </c>
      <c r="H39" s="5">
        <v>50</v>
      </c>
      <c r="I39" s="7">
        <v>912.26</v>
      </c>
      <c r="J39" s="6">
        <v>45665</v>
      </c>
      <c r="K39">
        <f t="shared" si="0"/>
        <v>45613</v>
      </c>
      <c r="L39" t="str">
        <f>INDEX(Raw_Shipments!L39:L2467,MATCH(A39,Raw_Shipments!B39:B2467))</f>
        <v>No</v>
      </c>
    </row>
    <row r="40" spans="1:12" x14ac:dyDescent="0.3">
      <c r="A40" s="2" t="s">
        <v>121</v>
      </c>
      <c r="B40" s="3">
        <v>45662</v>
      </c>
      <c r="C40" s="2" t="s">
        <v>122</v>
      </c>
      <c r="D40" s="2" t="s">
        <v>30</v>
      </c>
      <c r="E40" s="2" t="s">
        <v>26</v>
      </c>
      <c r="F40" s="2" t="s">
        <v>27</v>
      </c>
      <c r="G40" s="2" t="s">
        <v>22</v>
      </c>
      <c r="H40" s="2">
        <v>24</v>
      </c>
      <c r="I40" s="4">
        <v>1646.8</v>
      </c>
      <c r="J40" s="3">
        <v>45666</v>
      </c>
      <c r="K40">
        <f t="shared" si="0"/>
        <v>39523.199999999997</v>
      </c>
      <c r="L40" t="str">
        <f>INDEX(Raw_Shipments!L40:L2468,MATCH(A40,Raw_Shipments!B40:B2468))</f>
        <v>No</v>
      </c>
    </row>
    <row r="41" spans="1:12" x14ac:dyDescent="0.3">
      <c r="A41" s="5" t="s">
        <v>123</v>
      </c>
      <c r="B41" s="6">
        <v>45662</v>
      </c>
      <c r="C41" s="5" t="s">
        <v>102</v>
      </c>
      <c r="D41" s="5" t="s">
        <v>45</v>
      </c>
      <c r="E41" s="5" t="s">
        <v>31</v>
      </c>
      <c r="F41" s="5" t="s">
        <v>32</v>
      </c>
      <c r="G41" s="5" t="s">
        <v>33</v>
      </c>
      <c r="H41" s="5">
        <v>35</v>
      </c>
      <c r="I41" s="7">
        <v>689</v>
      </c>
      <c r="J41" s="6">
        <v>45670</v>
      </c>
      <c r="K41">
        <f t="shared" si="0"/>
        <v>24115</v>
      </c>
      <c r="L41" t="str">
        <f>INDEX(Raw_Shipments!L41:L2469,MATCH(A41,Raw_Shipments!B41:B2469))</f>
        <v>No</v>
      </c>
    </row>
    <row r="42" spans="1:12" x14ac:dyDescent="0.3">
      <c r="A42" s="2" t="s">
        <v>124</v>
      </c>
      <c r="B42" s="3">
        <v>45662</v>
      </c>
      <c r="C42" s="2" t="s">
        <v>125</v>
      </c>
      <c r="D42" s="2" t="s">
        <v>14</v>
      </c>
      <c r="E42" s="2" t="s">
        <v>36</v>
      </c>
      <c r="F42" s="2" t="s">
        <v>37</v>
      </c>
      <c r="G42" s="2" t="s">
        <v>33</v>
      </c>
      <c r="H42" s="2">
        <v>29</v>
      </c>
      <c r="I42" s="4">
        <v>1064.79</v>
      </c>
      <c r="J42" s="3">
        <v>45671</v>
      </c>
      <c r="K42">
        <f t="shared" si="0"/>
        <v>30878.91</v>
      </c>
      <c r="L42" t="str">
        <f>INDEX(Raw_Shipments!L42:L2470,MATCH(A42,Raw_Shipments!B42:B2470))</f>
        <v>No</v>
      </c>
    </row>
    <row r="43" spans="1:12" x14ac:dyDescent="0.3">
      <c r="A43" s="5" t="s">
        <v>126</v>
      </c>
      <c r="B43" s="6">
        <v>45662</v>
      </c>
      <c r="C43" s="5" t="s">
        <v>109</v>
      </c>
      <c r="D43" s="5" t="s">
        <v>25</v>
      </c>
      <c r="E43" s="5" t="s">
        <v>86</v>
      </c>
      <c r="F43" s="5" t="s">
        <v>87</v>
      </c>
      <c r="G43" s="5" t="s">
        <v>33</v>
      </c>
      <c r="H43" s="5">
        <v>23</v>
      </c>
      <c r="I43" s="7">
        <v>815.88</v>
      </c>
      <c r="J43" s="6">
        <v>45666</v>
      </c>
      <c r="K43">
        <f t="shared" si="0"/>
        <v>18765.240000000002</v>
      </c>
      <c r="L43" t="str">
        <f>INDEX(Raw_Shipments!L43:L2471,MATCH(A43,Raw_Shipments!B43:B2471))</f>
        <v>No</v>
      </c>
    </row>
    <row r="44" spans="1:12" x14ac:dyDescent="0.3">
      <c r="A44" s="2" t="s">
        <v>127</v>
      </c>
      <c r="B44" s="3">
        <v>45662</v>
      </c>
      <c r="C44" s="2" t="s">
        <v>128</v>
      </c>
      <c r="D44" s="2" t="s">
        <v>30</v>
      </c>
      <c r="E44" s="2" t="s">
        <v>50</v>
      </c>
      <c r="F44" s="2" t="s">
        <v>51</v>
      </c>
      <c r="G44" s="2" t="s">
        <v>42</v>
      </c>
      <c r="H44" s="2">
        <v>11</v>
      </c>
      <c r="I44" s="4">
        <v>1952.28</v>
      </c>
      <c r="J44" s="3">
        <v>45671</v>
      </c>
      <c r="K44">
        <f t="shared" si="0"/>
        <v>21475.079999999998</v>
      </c>
      <c r="L44" t="str">
        <f>INDEX(Raw_Shipments!L44:L2472,MATCH(A44,Raw_Shipments!B44:B2472))</f>
        <v>No</v>
      </c>
    </row>
    <row r="45" spans="1:12" x14ac:dyDescent="0.3">
      <c r="A45" s="5" t="s">
        <v>129</v>
      </c>
      <c r="B45" s="6">
        <v>45663</v>
      </c>
      <c r="C45" s="5" t="s">
        <v>44</v>
      </c>
      <c r="D45" s="5" t="s">
        <v>14</v>
      </c>
      <c r="E45" s="5" t="s">
        <v>62</v>
      </c>
      <c r="F45" s="5" t="s">
        <v>63</v>
      </c>
      <c r="G45" s="5" t="s">
        <v>55</v>
      </c>
      <c r="H45" s="5">
        <v>27</v>
      </c>
      <c r="I45" s="7">
        <v>2555.2199999999998</v>
      </c>
      <c r="J45" s="6">
        <v>45672</v>
      </c>
      <c r="K45">
        <f t="shared" si="0"/>
        <v>68990.939999999988</v>
      </c>
      <c r="L45" t="str">
        <f>INDEX(Raw_Shipments!L45:L2473,MATCH(A45,Raw_Shipments!B45:B2473))</f>
        <v>No</v>
      </c>
    </row>
    <row r="46" spans="1:12" x14ac:dyDescent="0.3">
      <c r="A46" s="2" t="s">
        <v>130</v>
      </c>
      <c r="B46" s="3">
        <v>45663</v>
      </c>
      <c r="C46" s="2" t="s">
        <v>131</v>
      </c>
      <c r="D46" s="2" t="s">
        <v>30</v>
      </c>
      <c r="E46" s="2" t="s">
        <v>97</v>
      </c>
      <c r="F46" s="2" t="s">
        <v>98</v>
      </c>
      <c r="G46" s="2" t="s">
        <v>17</v>
      </c>
      <c r="H46" s="2">
        <v>27</v>
      </c>
      <c r="I46" s="4">
        <v>1110.6500000000001</v>
      </c>
      <c r="J46" s="3">
        <v>45670</v>
      </c>
      <c r="K46">
        <f t="shared" si="0"/>
        <v>29987.550000000003</v>
      </c>
      <c r="L46" t="str">
        <f>INDEX(Raw_Shipments!L46:L2474,MATCH(A46,Raw_Shipments!B46:B2474))</f>
        <v>No</v>
      </c>
    </row>
    <row r="47" spans="1:12" x14ac:dyDescent="0.3">
      <c r="A47" s="5" t="s">
        <v>132</v>
      </c>
      <c r="B47" s="6">
        <v>45663</v>
      </c>
      <c r="C47" s="5" t="s">
        <v>57</v>
      </c>
      <c r="D47" s="5" t="s">
        <v>14</v>
      </c>
      <c r="E47" s="5" t="s">
        <v>119</v>
      </c>
      <c r="F47" s="5" t="s">
        <v>120</v>
      </c>
      <c r="G47" s="5" t="s">
        <v>22</v>
      </c>
      <c r="H47" s="5">
        <v>40</v>
      </c>
      <c r="I47" s="7">
        <v>912.26</v>
      </c>
      <c r="J47" s="6">
        <v>45673</v>
      </c>
      <c r="K47">
        <f t="shared" si="0"/>
        <v>36490.400000000001</v>
      </c>
      <c r="L47" t="str">
        <f>INDEX(Raw_Shipments!L47:L2475,MATCH(A47,Raw_Shipments!B47:B2475))</f>
        <v>No</v>
      </c>
    </row>
    <row r="48" spans="1:12" x14ac:dyDescent="0.3">
      <c r="A48" s="2" t="s">
        <v>133</v>
      </c>
      <c r="B48" s="3">
        <v>45663</v>
      </c>
      <c r="C48" s="2" t="s">
        <v>61</v>
      </c>
      <c r="D48" s="2" t="s">
        <v>14</v>
      </c>
      <c r="E48" s="2" t="s">
        <v>46</v>
      </c>
      <c r="F48" s="2" t="s">
        <v>47</v>
      </c>
      <c r="G48" s="2" t="s">
        <v>42</v>
      </c>
      <c r="H48" s="2">
        <v>5</v>
      </c>
      <c r="I48" s="4">
        <v>1833.14</v>
      </c>
      <c r="J48" s="3">
        <v>45667</v>
      </c>
      <c r="K48">
        <f t="shared" si="0"/>
        <v>9165.7000000000007</v>
      </c>
      <c r="L48" t="str">
        <f>INDEX(Raw_Shipments!L48:L2476,MATCH(A48,Raw_Shipments!B48:B2476))</f>
        <v>No</v>
      </c>
    </row>
    <row r="49" spans="1:12" x14ac:dyDescent="0.3">
      <c r="A49" s="5" t="s">
        <v>134</v>
      </c>
      <c r="B49" s="6">
        <v>45664</v>
      </c>
      <c r="C49" s="5" t="s">
        <v>135</v>
      </c>
      <c r="D49" s="5" t="s">
        <v>45</v>
      </c>
      <c r="E49" s="5" t="s">
        <v>53</v>
      </c>
      <c r="F49" s="5" t="s">
        <v>54</v>
      </c>
      <c r="G49" s="5" t="s">
        <v>55</v>
      </c>
      <c r="H49" s="5">
        <v>19</v>
      </c>
      <c r="I49" s="7">
        <v>2055.9</v>
      </c>
      <c r="J49" s="6">
        <v>45670</v>
      </c>
      <c r="K49">
        <f t="shared" si="0"/>
        <v>39062.1</v>
      </c>
      <c r="L49" t="str">
        <f>INDEX(Raw_Shipments!L49:L2477,MATCH(A49,Raw_Shipments!B49:B2477))</f>
        <v>No</v>
      </c>
    </row>
    <row r="50" spans="1:12" x14ac:dyDescent="0.3">
      <c r="A50" s="2" t="s">
        <v>136</v>
      </c>
      <c r="B50" s="3">
        <v>45664</v>
      </c>
      <c r="C50" s="2" t="s">
        <v>79</v>
      </c>
      <c r="D50" s="2" t="s">
        <v>30</v>
      </c>
      <c r="E50" s="2" t="s">
        <v>58</v>
      </c>
      <c r="F50" s="2" t="s">
        <v>59</v>
      </c>
      <c r="G50" s="2" t="s">
        <v>55</v>
      </c>
      <c r="H50" s="2">
        <v>25</v>
      </c>
      <c r="I50" s="4">
        <v>1695.1</v>
      </c>
      <c r="J50" s="3">
        <v>45668</v>
      </c>
      <c r="K50">
        <f t="shared" si="0"/>
        <v>42377.5</v>
      </c>
      <c r="L50" t="str">
        <f>INDEX(Raw_Shipments!L50:L2478,MATCH(A50,Raw_Shipments!B50:B2478))</f>
        <v>No</v>
      </c>
    </row>
    <row r="51" spans="1:12" x14ac:dyDescent="0.3">
      <c r="A51" s="5" t="s">
        <v>137</v>
      </c>
      <c r="B51" s="6">
        <v>45664</v>
      </c>
      <c r="C51" s="5" t="s">
        <v>35</v>
      </c>
      <c r="D51" s="5" t="s">
        <v>14</v>
      </c>
      <c r="E51" s="5" t="s">
        <v>15</v>
      </c>
      <c r="F51" s="5" t="s">
        <v>16</v>
      </c>
      <c r="G51" s="5" t="s">
        <v>17</v>
      </c>
      <c r="H51" s="5">
        <v>13</v>
      </c>
      <c r="I51" s="7">
        <v>183.06</v>
      </c>
      <c r="J51" s="6">
        <v>45673</v>
      </c>
      <c r="K51">
        <f t="shared" si="0"/>
        <v>2379.7800000000002</v>
      </c>
      <c r="L51" t="str">
        <f>INDEX(Raw_Shipments!L51:L2479,MATCH(A51,Raw_Shipments!B51:B2479))</f>
        <v>No</v>
      </c>
    </row>
    <row r="52" spans="1:12" x14ac:dyDescent="0.3">
      <c r="A52" s="2" t="s">
        <v>138</v>
      </c>
      <c r="B52" s="3">
        <v>45664</v>
      </c>
      <c r="C52" s="2" t="s">
        <v>139</v>
      </c>
      <c r="D52" s="2" t="s">
        <v>30</v>
      </c>
      <c r="E52" s="2" t="s">
        <v>119</v>
      </c>
      <c r="F52" s="2" t="s">
        <v>120</v>
      </c>
      <c r="G52" s="2" t="s">
        <v>22</v>
      </c>
      <c r="H52" s="2">
        <v>40</v>
      </c>
      <c r="I52" s="4">
        <v>912.26</v>
      </c>
      <c r="J52" s="3">
        <v>45668</v>
      </c>
      <c r="K52">
        <f t="shared" si="0"/>
        <v>36490.400000000001</v>
      </c>
      <c r="L52" t="str">
        <f>INDEX(Raw_Shipments!L52:L2480,MATCH(A52,Raw_Shipments!B52:B2480))</f>
        <v>No</v>
      </c>
    </row>
    <row r="53" spans="1:12" x14ac:dyDescent="0.3">
      <c r="A53" s="5" t="s">
        <v>140</v>
      </c>
      <c r="B53" s="6">
        <v>45664</v>
      </c>
      <c r="C53" s="5" t="s">
        <v>141</v>
      </c>
      <c r="D53" s="5" t="s">
        <v>14</v>
      </c>
      <c r="E53" s="5" t="s">
        <v>26</v>
      </c>
      <c r="F53" s="5" t="s">
        <v>27</v>
      </c>
      <c r="G53" s="5" t="s">
        <v>22</v>
      </c>
      <c r="H53" s="5">
        <v>8</v>
      </c>
      <c r="I53" s="7">
        <v>1646.8</v>
      </c>
      <c r="J53" s="6">
        <v>45674</v>
      </c>
      <c r="K53">
        <f t="shared" si="0"/>
        <v>13174.4</v>
      </c>
      <c r="L53" t="str">
        <f>INDEX(Raw_Shipments!L53:L2481,MATCH(A53,Raw_Shipments!B53:B2481))</f>
        <v>No</v>
      </c>
    </row>
    <row r="54" spans="1:12" x14ac:dyDescent="0.3">
      <c r="A54" s="2" t="s">
        <v>142</v>
      </c>
      <c r="B54" s="3">
        <v>45664</v>
      </c>
      <c r="C54" s="2" t="s">
        <v>61</v>
      </c>
      <c r="D54" s="2" t="s">
        <v>30</v>
      </c>
      <c r="E54" s="2" t="s">
        <v>36</v>
      </c>
      <c r="F54" s="2" t="s">
        <v>37</v>
      </c>
      <c r="G54" s="2" t="s">
        <v>33</v>
      </c>
      <c r="H54" s="2">
        <v>48</v>
      </c>
      <c r="I54" s="4">
        <v>1064.79</v>
      </c>
      <c r="J54" s="3">
        <v>45672</v>
      </c>
      <c r="K54">
        <f t="shared" si="0"/>
        <v>51109.919999999998</v>
      </c>
      <c r="L54" t="str">
        <f>INDEX(Raw_Shipments!L54:L2482,MATCH(A54,Raw_Shipments!B54:B2482))</f>
        <v>Yes</v>
      </c>
    </row>
    <row r="55" spans="1:12" x14ac:dyDescent="0.3">
      <c r="A55" s="5" t="s">
        <v>143</v>
      </c>
      <c r="B55" s="6">
        <v>45665</v>
      </c>
      <c r="C55" s="5" t="s">
        <v>144</v>
      </c>
      <c r="D55" s="5" t="s">
        <v>25</v>
      </c>
      <c r="E55" s="5" t="s">
        <v>97</v>
      </c>
      <c r="F55" s="5" t="s">
        <v>98</v>
      </c>
      <c r="G55" s="5" t="s">
        <v>17</v>
      </c>
      <c r="H55" s="5">
        <v>35</v>
      </c>
      <c r="I55" s="7">
        <v>1110.6500000000001</v>
      </c>
      <c r="J55" s="6">
        <v>45671</v>
      </c>
      <c r="K55">
        <f t="shared" si="0"/>
        <v>38872.75</v>
      </c>
      <c r="L55" t="str">
        <f>INDEX(Raw_Shipments!L55:L2483,MATCH(A55,Raw_Shipments!B55:B2483))</f>
        <v>Yes</v>
      </c>
    </row>
    <row r="56" spans="1:12" x14ac:dyDescent="0.3">
      <c r="A56" s="2" t="s">
        <v>145</v>
      </c>
      <c r="B56" s="3">
        <v>45665</v>
      </c>
      <c r="C56" s="2" t="s">
        <v>146</v>
      </c>
      <c r="D56" s="2" t="s">
        <v>25</v>
      </c>
      <c r="E56" s="2" t="s">
        <v>26</v>
      </c>
      <c r="F56" s="2" t="s">
        <v>27</v>
      </c>
      <c r="G56" s="2" t="s">
        <v>22</v>
      </c>
      <c r="H56" s="2">
        <v>24</v>
      </c>
      <c r="I56" s="4">
        <v>1646.8</v>
      </c>
      <c r="J56" s="3">
        <v>45672</v>
      </c>
      <c r="K56">
        <f t="shared" si="0"/>
        <v>39523.199999999997</v>
      </c>
      <c r="L56" t="str">
        <f>INDEX(Raw_Shipments!L56:L2484,MATCH(A56,Raw_Shipments!B56:B2484))</f>
        <v>No</v>
      </c>
    </row>
    <row r="57" spans="1:12" x14ac:dyDescent="0.3">
      <c r="A57" s="5" t="s">
        <v>147</v>
      </c>
      <c r="B57" s="6">
        <v>45665</v>
      </c>
      <c r="C57" s="5" t="s">
        <v>113</v>
      </c>
      <c r="D57" s="5" t="s">
        <v>30</v>
      </c>
      <c r="E57" s="5" t="s">
        <v>36</v>
      </c>
      <c r="F57" s="5" t="s">
        <v>37</v>
      </c>
      <c r="G57" s="5" t="s">
        <v>33</v>
      </c>
      <c r="H57" s="5">
        <v>43</v>
      </c>
      <c r="I57" s="7">
        <v>1064.79</v>
      </c>
      <c r="J57" s="6">
        <v>45670</v>
      </c>
      <c r="K57">
        <f t="shared" si="0"/>
        <v>45785.97</v>
      </c>
      <c r="L57" t="str">
        <f>INDEX(Raw_Shipments!L57:L2485,MATCH(A57,Raw_Shipments!B57:B2485))</f>
        <v>No</v>
      </c>
    </row>
    <row r="58" spans="1:12" x14ac:dyDescent="0.3">
      <c r="A58" s="2" t="s">
        <v>148</v>
      </c>
      <c r="B58" s="3">
        <v>45665</v>
      </c>
      <c r="C58" s="2" t="s">
        <v>71</v>
      </c>
      <c r="D58" s="2" t="s">
        <v>14</v>
      </c>
      <c r="E58" s="2" t="s">
        <v>46</v>
      </c>
      <c r="F58" s="2" t="s">
        <v>47</v>
      </c>
      <c r="G58" s="2" t="s">
        <v>42</v>
      </c>
      <c r="H58" s="2">
        <v>4</v>
      </c>
      <c r="I58" s="4">
        <v>1833.14</v>
      </c>
      <c r="J58" s="3">
        <v>45674</v>
      </c>
      <c r="K58">
        <f t="shared" si="0"/>
        <v>7332.56</v>
      </c>
      <c r="L58" t="str">
        <f>INDEX(Raw_Shipments!L58:L2486,MATCH(A58,Raw_Shipments!B58:B2486))</f>
        <v>No</v>
      </c>
    </row>
    <row r="59" spans="1:12" x14ac:dyDescent="0.3">
      <c r="A59" s="5" t="s">
        <v>149</v>
      </c>
      <c r="B59" s="6">
        <v>45666</v>
      </c>
      <c r="C59" s="5" t="s">
        <v>150</v>
      </c>
      <c r="D59" s="5" t="s">
        <v>30</v>
      </c>
      <c r="E59" s="5" t="s">
        <v>53</v>
      </c>
      <c r="F59" s="5" t="s">
        <v>54</v>
      </c>
      <c r="G59" s="5" t="s">
        <v>55</v>
      </c>
      <c r="H59" s="5">
        <v>41</v>
      </c>
      <c r="I59" s="7">
        <v>2055.9</v>
      </c>
      <c r="J59" s="6">
        <v>45669</v>
      </c>
      <c r="K59">
        <f t="shared" si="0"/>
        <v>84291.900000000009</v>
      </c>
      <c r="L59" t="str">
        <f>INDEX(Raw_Shipments!L59:L2487,MATCH(A59,Raw_Shipments!B59:B2487))</f>
        <v>No</v>
      </c>
    </row>
    <row r="60" spans="1:12" x14ac:dyDescent="0.3">
      <c r="A60" s="2" t="s">
        <v>151</v>
      </c>
      <c r="B60" s="3">
        <v>45666</v>
      </c>
      <c r="C60" s="2" t="s">
        <v>152</v>
      </c>
      <c r="D60" s="2" t="s">
        <v>14</v>
      </c>
      <c r="E60" s="2" t="s">
        <v>66</v>
      </c>
      <c r="F60" s="2" t="s">
        <v>67</v>
      </c>
      <c r="G60" s="2" t="s">
        <v>17</v>
      </c>
      <c r="H60" s="2">
        <v>6</v>
      </c>
      <c r="I60" s="4">
        <v>850.8</v>
      </c>
      <c r="J60" s="3">
        <v>45675</v>
      </c>
      <c r="K60">
        <f t="shared" si="0"/>
        <v>5104.7999999999993</v>
      </c>
      <c r="L60" t="str">
        <f>INDEX(Raw_Shipments!L60:L2488,MATCH(A60,Raw_Shipments!B60:B2488))</f>
        <v>Yes</v>
      </c>
    </row>
    <row r="61" spans="1:12" x14ac:dyDescent="0.3">
      <c r="A61" s="5" t="s">
        <v>153</v>
      </c>
      <c r="B61" s="6">
        <v>45666</v>
      </c>
      <c r="C61" s="5" t="s">
        <v>154</v>
      </c>
      <c r="D61" s="5" t="s">
        <v>30</v>
      </c>
      <c r="E61" s="5" t="s">
        <v>15</v>
      </c>
      <c r="F61" s="5" t="s">
        <v>16</v>
      </c>
      <c r="G61" s="5" t="s">
        <v>17</v>
      </c>
      <c r="H61" s="5">
        <v>20</v>
      </c>
      <c r="I61" s="7">
        <v>183.06</v>
      </c>
      <c r="J61" s="6">
        <v>45676</v>
      </c>
      <c r="K61">
        <f t="shared" si="0"/>
        <v>3661.2</v>
      </c>
      <c r="L61" t="str">
        <f>INDEX(Raw_Shipments!L61:L2489,MATCH(A61,Raw_Shipments!B61:B2489))</f>
        <v>Yes</v>
      </c>
    </row>
    <row r="62" spans="1:12" x14ac:dyDescent="0.3">
      <c r="A62" s="2" t="s">
        <v>155</v>
      </c>
      <c r="B62" s="3">
        <v>45666</v>
      </c>
      <c r="C62" s="2" t="s">
        <v>156</v>
      </c>
      <c r="D62" s="2" t="s">
        <v>14</v>
      </c>
      <c r="E62" s="2" t="s">
        <v>20</v>
      </c>
      <c r="F62" s="2" t="s">
        <v>21</v>
      </c>
      <c r="G62" s="2" t="s">
        <v>22</v>
      </c>
      <c r="H62" s="2">
        <v>11</v>
      </c>
      <c r="I62" s="4">
        <v>2108.56</v>
      </c>
      <c r="J62" s="3">
        <v>45671</v>
      </c>
      <c r="K62">
        <f t="shared" si="0"/>
        <v>23194.16</v>
      </c>
      <c r="L62" t="str">
        <f>INDEX(Raw_Shipments!L62:L2490,MATCH(A62,Raw_Shipments!B62:B2490))</f>
        <v>No</v>
      </c>
    </row>
    <row r="63" spans="1:12" x14ac:dyDescent="0.3">
      <c r="A63" s="5" t="s">
        <v>157</v>
      </c>
      <c r="B63" s="6">
        <v>45666</v>
      </c>
      <c r="C63" s="5" t="s">
        <v>158</v>
      </c>
      <c r="D63" s="5" t="s">
        <v>30</v>
      </c>
      <c r="E63" s="5" t="s">
        <v>40</v>
      </c>
      <c r="F63" s="5" t="s">
        <v>41</v>
      </c>
      <c r="G63" s="5" t="s">
        <v>42</v>
      </c>
      <c r="H63" s="5">
        <v>17</v>
      </c>
      <c r="I63" s="7">
        <v>2445.11</v>
      </c>
      <c r="J63" s="6">
        <v>45675</v>
      </c>
      <c r="K63">
        <f t="shared" si="0"/>
        <v>41566.870000000003</v>
      </c>
      <c r="L63" t="str">
        <f>INDEX(Raw_Shipments!L63:L2491,MATCH(A63,Raw_Shipments!B63:B2491))</f>
        <v>No</v>
      </c>
    </row>
    <row r="64" spans="1:12" x14ac:dyDescent="0.3">
      <c r="A64" s="2" t="s">
        <v>159</v>
      </c>
      <c r="B64" s="3">
        <v>45666</v>
      </c>
      <c r="C64" s="2" t="s">
        <v>128</v>
      </c>
      <c r="D64" s="2" t="s">
        <v>25</v>
      </c>
      <c r="E64" s="2" t="s">
        <v>46</v>
      </c>
      <c r="F64" s="2" t="s">
        <v>47</v>
      </c>
      <c r="G64" s="2" t="s">
        <v>42</v>
      </c>
      <c r="H64" s="2">
        <v>6</v>
      </c>
      <c r="I64" s="4">
        <v>1833.14</v>
      </c>
      <c r="J64" s="3">
        <v>45676</v>
      </c>
      <c r="K64">
        <f t="shared" si="0"/>
        <v>10998.84</v>
      </c>
      <c r="L64" t="str">
        <f>INDEX(Raw_Shipments!L64:L2492,MATCH(A64,Raw_Shipments!B64:B2492))</f>
        <v>No</v>
      </c>
    </row>
    <row r="65" spans="1:12" x14ac:dyDescent="0.3">
      <c r="A65" s="5" t="s">
        <v>160</v>
      </c>
      <c r="B65" s="6">
        <v>45667</v>
      </c>
      <c r="C65" s="5" t="s">
        <v>93</v>
      </c>
      <c r="D65" s="5" t="s">
        <v>45</v>
      </c>
      <c r="E65" s="5" t="s">
        <v>53</v>
      </c>
      <c r="F65" s="5" t="s">
        <v>54</v>
      </c>
      <c r="G65" s="5" t="s">
        <v>55</v>
      </c>
      <c r="H65" s="5">
        <v>43</v>
      </c>
      <c r="I65" s="7">
        <v>2055.9</v>
      </c>
      <c r="J65" s="6">
        <v>45676</v>
      </c>
      <c r="K65">
        <f t="shared" si="0"/>
        <v>88403.7</v>
      </c>
      <c r="L65" t="str">
        <f>INDEX(Raw_Shipments!L65:L2493,MATCH(A65,Raw_Shipments!B65:B2493))</f>
        <v>No</v>
      </c>
    </row>
    <row r="66" spans="1:12" x14ac:dyDescent="0.3">
      <c r="A66" s="2" t="s">
        <v>161</v>
      </c>
      <c r="B66" s="3">
        <v>45667</v>
      </c>
      <c r="C66" s="2" t="s">
        <v>139</v>
      </c>
      <c r="D66" s="2" t="s">
        <v>45</v>
      </c>
      <c r="E66" s="2" t="s">
        <v>66</v>
      </c>
      <c r="F66" s="2" t="s">
        <v>67</v>
      </c>
      <c r="G66" s="2" t="s">
        <v>17</v>
      </c>
      <c r="H66" s="2">
        <v>17</v>
      </c>
      <c r="I66" s="4">
        <v>850.8</v>
      </c>
      <c r="J66" s="3">
        <v>45671</v>
      </c>
      <c r="K66">
        <f t="shared" si="0"/>
        <v>14463.599999999999</v>
      </c>
      <c r="L66" t="str">
        <f>INDEX(Raw_Shipments!L66:L2494,MATCH(A66,Raw_Shipments!B66:B2494))</f>
        <v>No</v>
      </c>
    </row>
    <row r="67" spans="1:12" x14ac:dyDescent="0.3">
      <c r="A67" s="5" t="s">
        <v>162</v>
      </c>
      <c r="B67" s="6">
        <v>45667</v>
      </c>
      <c r="C67" s="5" t="s">
        <v>75</v>
      </c>
      <c r="D67" s="5" t="s">
        <v>14</v>
      </c>
      <c r="E67" s="5" t="s">
        <v>20</v>
      </c>
      <c r="F67" s="5" t="s">
        <v>21</v>
      </c>
      <c r="G67" s="5" t="s">
        <v>22</v>
      </c>
      <c r="H67" s="5">
        <v>12</v>
      </c>
      <c r="I67" s="7">
        <v>2108.56</v>
      </c>
      <c r="J67" s="6">
        <v>45670</v>
      </c>
      <c r="K67">
        <f t="shared" ref="K67:K130" si="1">I67*H67</f>
        <v>25302.720000000001</v>
      </c>
      <c r="L67" t="str">
        <f>INDEX(Raw_Shipments!L67:L2495,MATCH(A67,Raw_Shipments!B67:B2495))</f>
        <v>No</v>
      </c>
    </row>
    <row r="68" spans="1:12" x14ac:dyDescent="0.3">
      <c r="A68" s="2" t="s">
        <v>163</v>
      </c>
      <c r="B68" s="3">
        <v>45667</v>
      </c>
      <c r="C68" s="2" t="s">
        <v>156</v>
      </c>
      <c r="D68" s="2" t="s">
        <v>25</v>
      </c>
      <c r="E68" s="2" t="s">
        <v>119</v>
      </c>
      <c r="F68" s="2" t="s">
        <v>120</v>
      </c>
      <c r="G68" s="2" t="s">
        <v>22</v>
      </c>
      <c r="H68" s="2">
        <v>33</v>
      </c>
      <c r="I68" s="4">
        <v>912.26</v>
      </c>
      <c r="J68" s="3">
        <v>45673</v>
      </c>
      <c r="K68">
        <f t="shared" si="1"/>
        <v>30104.579999999998</v>
      </c>
      <c r="L68" t="str">
        <f>INDEX(Raw_Shipments!L68:L2496,MATCH(A68,Raw_Shipments!B68:B2496))</f>
        <v>No</v>
      </c>
    </row>
    <row r="69" spans="1:12" x14ac:dyDescent="0.3">
      <c r="A69" s="5" t="s">
        <v>164</v>
      </c>
      <c r="B69" s="6">
        <v>45667</v>
      </c>
      <c r="C69" s="5" t="s">
        <v>139</v>
      </c>
      <c r="D69" s="5" t="s">
        <v>14</v>
      </c>
      <c r="E69" s="5" t="s">
        <v>31</v>
      </c>
      <c r="F69" s="5" t="s">
        <v>32</v>
      </c>
      <c r="G69" s="5" t="s">
        <v>33</v>
      </c>
      <c r="H69" s="5">
        <v>39</v>
      </c>
      <c r="I69" s="7">
        <v>689</v>
      </c>
      <c r="J69" s="6">
        <v>45671</v>
      </c>
      <c r="K69">
        <f t="shared" si="1"/>
        <v>26871</v>
      </c>
      <c r="L69" t="str">
        <f>INDEX(Raw_Shipments!L69:L2497,MATCH(A69,Raw_Shipments!B69:B2497))</f>
        <v>No</v>
      </c>
    </row>
    <row r="70" spans="1:12" x14ac:dyDescent="0.3">
      <c r="A70" s="2" t="s">
        <v>165</v>
      </c>
      <c r="B70" s="3">
        <v>45667</v>
      </c>
      <c r="C70" s="2" t="s">
        <v>166</v>
      </c>
      <c r="D70" s="2" t="s">
        <v>14</v>
      </c>
      <c r="E70" s="2" t="s">
        <v>86</v>
      </c>
      <c r="F70" s="2" t="s">
        <v>87</v>
      </c>
      <c r="G70" s="2" t="s">
        <v>33</v>
      </c>
      <c r="H70" s="2">
        <v>34</v>
      </c>
      <c r="I70" s="4">
        <v>815.88</v>
      </c>
      <c r="J70" s="3">
        <v>45676</v>
      </c>
      <c r="K70">
        <f t="shared" si="1"/>
        <v>27739.919999999998</v>
      </c>
      <c r="L70" t="str">
        <f>INDEX(Raw_Shipments!L70:L2498,MATCH(A70,Raw_Shipments!B70:B2498))</f>
        <v>Yes</v>
      </c>
    </row>
    <row r="71" spans="1:12" x14ac:dyDescent="0.3">
      <c r="A71" s="5" t="s">
        <v>167</v>
      </c>
      <c r="B71" s="6">
        <v>45667</v>
      </c>
      <c r="C71" s="5" t="s">
        <v>49</v>
      </c>
      <c r="D71" s="5" t="s">
        <v>25</v>
      </c>
      <c r="E71" s="5" t="s">
        <v>40</v>
      </c>
      <c r="F71" s="5" t="s">
        <v>41</v>
      </c>
      <c r="G71" s="5" t="s">
        <v>42</v>
      </c>
      <c r="H71" s="5">
        <v>27</v>
      </c>
      <c r="I71" s="7">
        <v>2445.11</v>
      </c>
      <c r="J71" s="6">
        <v>45673</v>
      </c>
      <c r="K71">
        <f t="shared" si="1"/>
        <v>66017.97</v>
      </c>
      <c r="L71" t="str">
        <f>INDEX(Raw_Shipments!L71:L2499,MATCH(A71,Raw_Shipments!B71:B2499))</f>
        <v>No</v>
      </c>
    </row>
    <row r="72" spans="1:12" x14ac:dyDescent="0.3">
      <c r="A72" s="2" t="s">
        <v>168</v>
      </c>
      <c r="B72" s="3">
        <v>45668</v>
      </c>
      <c r="C72" s="2" t="s">
        <v>152</v>
      </c>
      <c r="D72" s="2" t="s">
        <v>30</v>
      </c>
      <c r="E72" s="2" t="s">
        <v>53</v>
      </c>
      <c r="F72" s="2" t="s">
        <v>54</v>
      </c>
      <c r="G72" s="2" t="s">
        <v>55</v>
      </c>
      <c r="H72" s="2">
        <v>53</v>
      </c>
      <c r="I72" s="4">
        <v>2055.9</v>
      </c>
      <c r="J72" s="3">
        <v>45676</v>
      </c>
      <c r="K72">
        <f t="shared" si="1"/>
        <v>108962.70000000001</v>
      </c>
      <c r="L72" t="str">
        <f>INDEX(Raw_Shipments!L72:L2500,MATCH(A72,Raw_Shipments!B72:B2500))</f>
        <v>No</v>
      </c>
    </row>
    <row r="73" spans="1:12" x14ac:dyDescent="0.3">
      <c r="A73" s="5" t="s">
        <v>169</v>
      </c>
      <c r="B73" s="6">
        <v>45668</v>
      </c>
      <c r="C73" s="5" t="s">
        <v>170</v>
      </c>
      <c r="D73" s="5" t="s">
        <v>30</v>
      </c>
      <c r="E73" s="5" t="s">
        <v>62</v>
      </c>
      <c r="F73" s="5" t="s">
        <v>63</v>
      </c>
      <c r="G73" s="5" t="s">
        <v>55</v>
      </c>
      <c r="H73" s="5">
        <v>33</v>
      </c>
      <c r="I73" s="7">
        <v>2555.2199999999998</v>
      </c>
      <c r="J73" s="6">
        <v>45676</v>
      </c>
      <c r="K73">
        <f t="shared" si="1"/>
        <v>84322.26</v>
      </c>
      <c r="L73" t="str">
        <f>INDEX(Raw_Shipments!L73:L2501,MATCH(A73,Raw_Shipments!B73:B2501))</f>
        <v>No</v>
      </c>
    </row>
    <row r="74" spans="1:12" x14ac:dyDescent="0.3">
      <c r="A74" s="2" t="s">
        <v>171</v>
      </c>
      <c r="B74" s="3">
        <v>45668</v>
      </c>
      <c r="C74" s="2" t="s">
        <v>172</v>
      </c>
      <c r="D74" s="2" t="s">
        <v>14</v>
      </c>
      <c r="E74" s="2" t="s">
        <v>97</v>
      </c>
      <c r="F74" s="2" t="s">
        <v>98</v>
      </c>
      <c r="G74" s="2" t="s">
        <v>17</v>
      </c>
      <c r="H74" s="2">
        <v>40</v>
      </c>
      <c r="I74" s="4">
        <v>1110.6500000000001</v>
      </c>
      <c r="J74" s="3">
        <v>45678</v>
      </c>
      <c r="K74">
        <f t="shared" si="1"/>
        <v>44426</v>
      </c>
      <c r="L74" t="str">
        <f>INDEX(Raw_Shipments!L74:L2502,MATCH(A74,Raw_Shipments!B74:B2502))</f>
        <v>No</v>
      </c>
    </row>
    <row r="75" spans="1:12" x14ac:dyDescent="0.3">
      <c r="A75" s="5" t="s">
        <v>173</v>
      </c>
      <c r="B75" s="6">
        <v>45668</v>
      </c>
      <c r="C75" s="5" t="s">
        <v>85</v>
      </c>
      <c r="D75" s="5" t="s">
        <v>30</v>
      </c>
      <c r="E75" s="5" t="s">
        <v>15</v>
      </c>
      <c r="F75" s="5" t="s">
        <v>16</v>
      </c>
      <c r="G75" s="5" t="s">
        <v>17</v>
      </c>
      <c r="H75" s="5">
        <v>12</v>
      </c>
      <c r="I75" s="7">
        <v>183.06</v>
      </c>
      <c r="J75" s="6">
        <v>45675</v>
      </c>
      <c r="K75">
        <f t="shared" si="1"/>
        <v>2196.7200000000003</v>
      </c>
      <c r="L75" t="str">
        <f>INDEX(Raw_Shipments!L75:L2503,MATCH(A75,Raw_Shipments!B75:B2503))</f>
        <v>Yes</v>
      </c>
    </row>
    <row r="76" spans="1:12" x14ac:dyDescent="0.3">
      <c r="A76" s="2" t="s">
        <v>174</v>
      </c>
      <c r="B76" s="3">
        <v>45668</v>
      </c>
      <c r="C76" s="2" t="s">
        <v>175</v>
      </c>
      <c r="D76" s="2" t="s">
        <v>14</v>
      </c>
      <c r="E76" s="2" t="s">
        <v>31</v>
      </c>
      <c r="F76" s="2" t="s">
        <v>32</v>
      </c>
      <c r="G76" s="2" t="s">
        <v>33</v>
      </c>
      <c r="H76" s="2">
        <v>39</v>
      </c>
      <c r="I76" s="4">
        <v>689</v>
      </c>
      <c r="J76" s="3">
        <v>45675</v>
      </c>
      <c r="K76">
        <f t="shared" si="1"/>
        <v>26871</v>
      </c>
      <c r="L76" t="str">
        <f>INDEX(Raw_Shipments!L76:L2504,MATCH(A76,Raw_Shipments!B76:B2504))</f>
        <v>Yes</v>
      </c>
    </row>
    <row r="77" spans="1:12" x14ac:dyDescent="0.3">
      <c r="A77" s="5" t="s">
        <v>176</v>
      </c>
      <c r="B77" s="6">
        <v>45668</v>
      </c>
      <c r="C77" s="5" t="s">
        <v>128</v>
      </c>
      <c r="D77" s="5" t="s">
        <v>14</v>
      </c>
      <c r="E77" s="5" t="s">
        <v>46</v>
      </c>
      <c r="F77" s="5" t="s">
        <v>47</v>
      </c>
      <c r="G77" s="5" t="s">
        <v>42</v>
      </c>
      <c r="H77" s="5">
        <v>11</v>
      </c>
      <c r="I77" s="7">
        <v>1833.14</v>
      </c>
      <c r="J77" s="6">
        <v>45678</v>
      </c>
      <c r="K77">
        <f t="shared" si="1"/>
        <v>20164.54</v>
      </c>
      <c r="L77" t="str">
        <f>INDEX(Raw_Shipments!L77:L2505,MATCH(A77,Raw_Shipments!B77:B2505))</f>
        <v>No</v>
      </c>
    </row>
    <row r="78" spans="1:12" x14ac:dyDescent="0.3">
      <c r="A78" s="2" t="s">
        <v>177</v>
      </c>
      <c r="B78" s="3">
        <v>45669</v>
      </c>
      <c r="C78" s="2" t="s">
        <v>178</v>
      </c>
      <c r="D78" s="2" t="s">
        <v>45</v>
      </c>
      <c r="E78" s="2" t="s">
        <v>53</v>
      </c>
      <c r="F78" s="2" t="s">
        <v>54</v>
      </c>
      <c r="G78" s="2" t="s">
        <v>55</v>
      </c>
      <c r="H78" s="2">
        <v>33</v>
      </c>
      <c r="I78" s="4">
        <v>2055.9</v>
      </c>
      <c r="J78" s="3">
        <v>45676</v>
      </c>
      <c r="K78">
        <f t="shared" si="1"/>
        <v>67844.7</v>
      </c>
      <c r="L78" t="str">
        <f>INDEX(Raw_Shipments!L78:L2506,MATCH(A78,Raw_Shipments!B78:B2506))</f>
        <v>No</v>
      </c>
    </row>
    <row r="79" spans="1:12" x14ac:dyDescent="0.3">
      <c r="A79" s="5" t="s">
        <v>179</v>
      </c>
      <c r="B79" s="6">
        <v>45669</v>
      </c>
      <c r="C79" s="5" t="s">
        <v>180</v>
      </c>
      <c r="D79" s="5" t="s">
        <v>30</v>
      </c>
      <c r="E79" s="5" t="s">
        <v>62</v>
      </c>
      <c r="F79" s="5" t="s">
        <v>63</v>
      </c>
      <c r="G79" s="5" t="s">
        <v>55</v>
      </c>
      <c r="H79" s="5">
        <v>45</v>
      </c>
      <c r="I79" s="7">
        <v>2555.2199999999998</v>
      </c>
      <c r="J79" s="6">
        <v>45675</v>
      </c>
      <c r="K79">
        <f t="shared" si="1"/>
        <v>114984.9</v>
      </c>
      <c r="L79" t="str">
        <f>INDEX(Raw_Shipments!L79:L2507,MATCH(A79,Raw_Shipments!B79:B2507))</f>
        <v>No</v>
      </c>
    </row>
    <row r="80" spans="1:12" x14ac:dyDescent="0.3">
      <c r="A80" s="2" t="s">
        <v>181</v>
      </c>
      <c r="B80" s="3">
        <v>45669</v>
      </c>
      <c r="C80" s="2" t="s">
        <v>39</v>
      </c>
      <c r="D80" s="2" t="s">
        <v>25</v>
      </c>
      <c r="E80" s="2" t="s">
        <v>31</v>
      </c>
      <c r="F80" s="2" t="s">
        <v>32</v>
      </c>
      <c r="G80" s="2" t="s">
        <v>33</v>
      </c>
      <c r="H80" s="2">
        <v>42</v>
      </c>
      <c r="I80" s="4">
        <v>689</v>
      </c>
      <c r="J80" s="3">
        <v>45676</v>
      </c>
      <c r="K80">
        <f t="shared" si="1"/>
        <v>28938</v>
      </c>
      <c r="L80" t="str">
        <f>INDEX(Raw_Shipments!L80:L2508,MATCH(A80,Raw_Shipments!B80:B2508))</f>
        <v>No</v>
      </c>
    </row>
    <row r="81" spans="1:12" x14ac:dyDescent="0.3">
      <c r="A81" s="5" t="s">
        <v>182</v>
      </c>
      <c r="B81" s="6">
        <v>45669</v>
      </c>
      <c r="C81" s="5" t="s">
        <v>183</v>
      </c>
      <c r="D81" s="5" t="s">
        <v>30</v>
      </c>
      <c r="E81" s="5" t="s">
        <v>40</v>
      </c>
      <c r="F81" s="5" t="s">
        <v>41</v>
      </c>
      <c r="G81" s="5" t="s">
        <v>42</v>
      </c>
      <c r="H81" s="5">
        <v>39</v>
      </c>
      <c r="I81" s="7">
        <v>2445.11</v>
      </c>
      <c r="J81" s="6">
        <v>45677</v>
      </c>
      <c r="K81">
        <f t="shared" si="1"/>
        <v>95359.290000000008</v>
      </c>
      <c r="L81" t="str">
        <f>INDEX(Raw_Shipments!L81:L2509,MATCH(A81,Raw_Shipments!B81:B2509))</f>
        <v>No</v>
      </c>
    </row>
    <row r="82" spans="1:12" x14ac:dyDescent="0.3">
      <c r="A82" s="2" t="s">
        <v>184</v>
      </c>
      <c r="B82" s="3">
        <v>45669</v>
      </c>
      <c r="C82" s="2" t="s">
        <v>185</v>
      </c>
      <c r="D82" s="2" t="s">
        <v>45</v>
      </c>
      <c r="E82" s="2" t="s">
        <v>46</v>
      </c>
      <c r="F82" s="2" t="s">
        <v>47</v>
      </c>
      <c r="G82" s="2" t="s">
        <v>42</v>
      </c>
      <c r="H82" s="2">
        <v>6</v>
      </c>
      <c r="I82" s="4">
        <v>1833.14</v>
      </c>
      <c r="J82" s="3">
        <v>45675</v>
      </c>
      <c r="K82">
        <f t="shared" si="1"/>
        <v>10998.84</v>
      </c>
      <c r="L82" t="str">
        <f>INDEX(Raw_Shipments!L82:L2510,MATCH(A82,Raw_Shipments!B82:B2510))</f>
        <v>No</v>
      </c>
    </row>
    <row r="83" spans="1:12" x14ac:dyDescent="0.3">
      <c r="A83" s="5" t="s">
        <v>186</v>
      </c>
      <c r="B83" s="6">
        <v>45670</v>
      </c>
      <c r="C83" s="5" t="s">
        <v>29</v>
      </c>
      <c r="D83" s="5" t="s">
        <v>25</v>
      </c>
      <c r="E83" s="5" t="s">
        <v>62</v>
      </c>
      <c r="F83" s="5" t="s">
        <v>63</v>
      </c>
      <c r="G83" s="5" t="s">
        <v>55</v>
      </c>
      <c r="H83" s="5">
        <v>41</v>
      </c>
      <c r="I83" s="7">
        <v>2555.2199999999998</v>
      </c>
      <c r="J83" s="6">
        <v>45680</v>
      </c>
      <c r="K83">
        <f t="shared" si="1"/>
        <v>104764.01999999999</v>
      </c>
      <c r="L83" t="str">
        <f>INDEX(Raw_Shipments!L83:L2511,MATCH(A83,Raw_Shipments!B83:B2511))</f>
        <v>No</v>
      </c>
    </row>
    <row r="84" spans="1:12" x14ac:dyDescent="0.3">
      <c r="A84" s="2" t="s">
        <v>187</v>
      </c>
      <c r="B84" s="3">
        <v>45670</v>
      </c>
      <c r="C84" s="2" t="s">
        <v>29</v>
      </c>
      <c r="D84" s="2" t="s">
        <v>45</v>
      </c>
      <c r="E84" s="2" t="s">
        <v>15</v>
      </c>
      <c r="F84" s="2" t="s">
        <v>16</v>
      </c>
      <c r="G84" s="2" t="s">
        <v>17</v>
      </c>
      <c r="H84" s="2">
        <v>11</v>
      </c>
      <c r="I84" s="4">
        <v>183.06</v>
      </c>
      <c r="J84" s="3">
        <v>45675</v>
      </c>
      <c r="K84">
        <f t="shared" si="1"/>
        <v>2013.66</v>
      </c>
      <c r="L84" t="str">
        <f>INDEX(Raw_Shipments!L84:L2512,MATCH(A84,Raw_Shipments!B84:B2512))</f>
        <v>No</v>
      </c>
    </row>
    <row r="85" spans="1:12" x14ac:dyDescent="0.3">
      <c r="A85" s="5" t="s">
        <v>188</v>
      </c>
      <c r="B85" s="6">
        <v>45670</v>
      </c>
      <c r="C85" s="5" t="s">
        <v>49</v>
      </c>
      <c r="D85" s="5" t="s">
        <v>45</v>
      </c>
      <c r="E85" s="5" t="s">
        <v>31</v>
      </c>
      <c r="F85" s="5" t="s">
        <v>32</v>
      </c>
      <c r="G85" s="5" t="s">
        <v>33</v>
      </c>
      <c r="H85" s="5">
        <v>47</v>
      </c>
      <c r="I85" s="7">
        <v>689</v>
      </c>
      <c r="J85" s="6">
        <v>45680</v>
      </c>
      <c r="K85">
        <f t="shared" si="1"/>
        <v>32383</v>
      </c>
      <c r="L85" t="str">
        <f>INDEX(Raw_Shipments!L85:L2513,MATCH(A85,Raw_Shipments!B85:B2513))</f>
        <v>Yes</v>
      </c>
    </row>
    <row r="86" spans="1:12" x14ac:dyDescent="0.3">
      <c r="A86" s="2" t="s">
        <v>189</v>
      </c>
      <c r="B86" s="3">
        <v>45670</v>
      </c>
      <c r="C86" s="2" t="s">
        <v>100</v>
      </c>
      <c r="D86" s="2" t="s">
        <v>45</v>
      </c>
      <c r="E86" s="2" t="s">
        <v>40</v>
      </c>
      <c r="F86" s="2" t="s">
        <v>41</v>
      </c>
      <c r="G86" s="2" t="s">
        <v>42</v>
      </c>
      <c r="H86" s="2">
        <v>27</v>
      </c>
      <c r="I86" s="4">
        <v>2445.11</v>
      </c>
      <c r="J86" s="3">
        <v>45680</v>
      </c>
      <c r="K86">
        <f t="shared" si="1"/>
        <v>66017.97</v>
      </c>
      <c r="L86" t="str">
        <f>INDEX(Raw_Shipments!L86:L2514,MATCH(A86,Raw_Shipments!B86:B2514))</f>
        <v>No</v>
      </c>
    </row>
    <row r="87" spans="1:12" x14ac:dyDescent="0.3">
      <c r="A87" s="5" t="s">
        <v>190</v>
      </c>
      <c r="B87" s="6">
        <v>45670</v>
      </c>
      <c r="C87" s="5" t="s">
        <v>191</v>
      </c>
      <c r="D87" s="5" t="s">
        <v>45</v>
      </c>
      <c r="E87" s="5" t="s">
        <v>46</v>
      </c>
      <c r="F87" s="5" t="s">
        <v>47</v>
      </c>
      <c r="G87" s="5" t="s">
        <v>42</v>
      </c>
      <c r="H87" s="5">
        <v>7</v>
      </c>
      <c r="I87" s="7">
        <v>1833.14</v>
      </c>
      <c r="J87" s="6">
        <v>45674</v>
      </c>
      <c r="K87">
        <f t="shared" si="1"/>
        <v>12831.980000000001</v>
      </c>
      <c r="L87" t="str">
        <f>INDEX(Raw_Shipments!L87:L2515,MATCH(A87,Raw_Shipments!B87:B2515))</f>
        <v>No</v>
      </c>
    </row>
    <row r="88" spans="1:12" x14ac:dyDescent="0.3">
      <c r="A88" s="2" t="s">
        <v>192</v>
      </c>
      <c r="B88" s="3">
        <v>45670</v>
      </c>
      <c r="C88" s="2" t="s">
        <v>35</v>
      </c>
      <c r="D88" s="2" t="s">
        <v>45</v>
      </c>
      <c r="E88" s="2" t="s">
        <v>50</v>
      </c>
      <c r="F88" s="2" t="s">
        <v>51</v>
      </c>
      <c r="G88" s="2" t="s">
        <v>42</v>
      </c>
      <c r="H88" s="2">
        <v>11</v>
      </c>
      <c r="I88" s="4">
        <v>1952.28</v>
      </c>
      <c r="J88" s="3">
        <v>45674</v>
      </c>
      <c r="K88">
        <f t="shared" si="1"/>
        <v>21475.079999999998</v>
      </c>
      <c r="L88" t="str">
        <f>INDEX(Raw_Shipments!L88:L2516,MATCH(A88,Raw_Shipments!B88:B2516))</f>
        <v>No</v>
      </c>
    </row>
    <row r="89" spans="1:12" x14ac:dyDescent="0.3">
      <c r="A89" s="5" t="s">
        <v>193</v>
      </c>
      <c r="B89" s="6">
        <v>45671</v>
      </c>
      <c r="C89" s="5" t="s">
        <v>139</v>
      </c>
      <c r="D89" s="5" t="s">
        <v>30</v>
      </c>
      <c r="E89" s="5" t="s">
        <v>58</v>
      </c>
      <c r="F89" s="5" t="s">
        <v>59</v>
      </c>
      <c r="G89" s="5" t="s">
        <v>55</v>
      </c>
      <c r="H89" s="5">
        <v>4</v>
      </c>
      <c r="I89" s="7">
        <v>1695.1</v>
      </c>
      <c r="J89" s="6">
        <v>45677</v>
      </c>
      <c r="K89">
        <f t="shared" si="1"/>
        <v>6780.4</v>
      </c>
      <c r="L89" t="str">
        <f>INDEX(Raw_Shipments!L89:L2517,MATCH(A89,Raw_Shipments!B89:B2517))</f>
        <v>No</v>
      </c>
    </row>
    <row r="90" spans="1:12" x14ac:dyDescent="0.3">
      <c r="A90" s="2" t="s">
        <v>194</v>
      </c>
      <c r="B90" s="3">
        <v>45671</v>
      </c>
      <c r="C90" s="2" t="s">
        <v>195</v>
      </c>
      <c r="D90" s="2" t="s">
        <v>45</v>
      </c>
      <c r="E90" s="2" t="s">
        <v>66</v>
      </c>
      <c r="F90" s="2" t="s">
        <v>67</v>
      </c>
      <c r="G90" s="2" t="s">
        <v>17</v>
      </c>
      <c r="H90" s="2">
        <v>23</v>
      </c>
      <c r="I90" s="4">
        <v>850.8</v>
      </c>
      <c r="J90" s="3">
        <v>45678</v>
      </c>
      <c r="K90">
        <f t="shared" si="1"/>
        <v>19568.399999999998</v>
      </c>
      <c r="L90" t="str">
        <f>INDEX(Raw_Shipments!L90:L2518,MATCH(A90,Raw_Shipments!B90:B2518))</f>
        <v>No</v>
      </c>
    </row>
    <row r="91" spans="1:12" x14ac:dyDescent="0.3">
      <c r="A91" s="5" t="s">
        <v>196</v>
      </c>
      <c r="B91" s="6">
        <v>45671</v>
      </c>
      <c r="C91" s="5" t="s">
        <v>77</v>
      </c>
      <c r="D91" s="5" t="s">
        <v>45</v>
      </c>
      <c r="E91" s="5" t="s">
        <v>119</v>
      </c>
      <c r="F91" s="5" t="s">
        <v>120</v>
      </c>
      <c r="G91" s="5" t="s">
        <v>22</v>
      </c>
      <c r="H91" s="5">
        <v>7</v>
      </c>
      <c r="I91" s="7">
        <v>912.26</v>
      </c>
      <c r="J91" s="6">
        <v>45677</v>
      </c>
      <c r="K91">
        <f t="shared" si="1"/>
        <v>6385.82</v>
      </c>
      <c r="L91" t="str">
        <f>INDEX(Raw_Shipments!L91:L2519,MATCH(A91,Raw_Shipments!B91:B2519))</f>
        <v>Yes</v>
      </c>
    </row>
    <row r="92" spans="1:12" x14ac:dyDescent="0.3">
      <c r="A92" s="2" t="s">
        <v>197</v>
      </c>
      <c r="B92" s="3">
        <v>45671</v>
      </c>
      <c r="C92" s="2" t="s">
        <v>198</v>
      </c>
      <c r="D92" s="2" t="s">
        <v>30</v>
      </c>
      <c r="E92" s="2" t="s">
        <v>26</v>
      </c>
      <c r="F92" s="2" t="s">
        <v>27</v>
      </c>
      <c r="G92" s="2" t="s">
        <v>22</v>
      </c>
      <c r="H92" s="2">
        <v>20</v>
      </c>
      <c r="I92" s="4">
        <v>1646.8</v>
      </c>
      <c r="J92" s="3">
        <v>45674</v>
      </c>
      <c r="K92">
        <f t="shared" si="1"/>
        <v>32936</v>
      </c>
      <c r="L92" t="str">
        <f>INDEX(Raw_Shipments!L92:L2520,MATCH(A92,Raw_Shipments!B92:B2520))</f>
        <v>No</v>
      </c>
    </row>
    <row r="93" spans="1:12" x14ac:dyDescent="0.3">
      <c r="A93" s="5" t="s">
        <v>199</v>
      </c>
      <c r="B93" s="6">
        <v>45671</v>
      </c>
      <c r="C93" s="5" t="s">
        <v>172</v>
      </c>
      <c r="D93" s="5" t="s">
        <v>25</v>
      </c>
      <c r="E93" s="5" t="s">
        <v>86</v>
      </c>
      <c r="F93" s="5" t="s">
        <v>87</v>
      </c>
      <c r="G93" s="5" t="s">
        <v>33</v>
      </c>
      <c r="H93" s="5">
        <v>29</v>
      </c>
      <c r="I93" s="7">
        <v>815.88</v>
      </c>
      <c r="J93" s="6">
        <v>45678</v>
      </c>
      <c r="K93">
        <f t="shared" si="1"/>
        <v>23660.52</v>
      </c>
      <c r="L93" t="str">
        <f>INDEX(Raw_Shipments!L93:L2521,MATCH(A93,Raw_Shipments!B93:B2521))</f>
        <v>No</v>
      </c>
    </row>
    <row r="94" spans="1:12" x14ac:dyDescent="0.3">
      <c r="A94" s="2" t="s">
        <v>200</v>
      </c>
      <c r="B94" s="3">
        <v>45672</v>
      </c>
      <c r="C94" s="2" t="s">
        <v>135</v>
      </c>
      <c r="D94" s="2" t="s">
        <v>45</v>
      </c>
      <c r="E94" s="2" t="s">
        <v>15</v>
      </c>
      <c r="F94" s="2" t="s">
        <v>16</v>
      </c>
      <c r="G94" s="2" t="s">
        <v>17</v>
      </c>
      <c r="H94" s="2">
        <v>7</v>
      </c>
      <c r="I94" s="4">
        <v>183.06</v>
      </c>
      <c r="J94" s="3">
        <v>45679</v>
      </c>
      <c r="K94">
        <f t="shared" si="1"/>
        <v>1281.42</v>
      </c>
      <c r="L94" t="str">
        <f>INDEX(Raw_Shipments!L94:L2522,MATCH(A94,Raw_Shipments!B94:B2522))</f>
        <v>Yes</v>
      </c>
    </row>
    <row r="95" spans="1:12" x14ac:dyDescent="0.3">
      <c r="A95" s="5" t="s">
        <v>201</v>
      </c>
      <c r="B95" s="6">
        <v>45672</v>
      </c>
      <c r="C95" s="5" t="s">
        <v>122</v>
      </c>
      <c r="D95" s="5" t="s">
        <v>25</v>
      </c>
      <c r="E95" s="5" t="s">
        <v>20</v>
      </c>
      <c r="F95" s="5" t="s">
        <v>21</v>
      </c>
      <c r="G95" s="5" t="s">
        <v>22</v>
      </c>
      <c r="H95" s="5">
        <v>12</v>
      </c>
      <c r="I95" s="7">
        <v>2108.56</v>
      </c>
      <c r="J95" s="6">
        <v>45679</v>
      </c>
      <c r="K95">
        <f t="shared" si="1"/>
        <v>25302.720000000001</v>
      </c>
      <c r="L95" t="str">
        <f>INDEX(Raw_Shipments!L95:L2523,MATCH(A95,Raw_Shipments!B95:B2523))</f>
        <v>No</v>
      </c>
    </row>
    <row r="96" spans="1:12" x14ac:dyDescent="0.3">
      <c r="A96" s="2" t="s">
        <v>202</v>
      </c>
      <c r="B96" s="3">
        <v>45672</v>
      </c>
      <c r="C96" s="2" t="s">
        <v>203</v>
      </c>
      <c r="D96" s="2" t="s">
        <v>30</v>
      </c>
      <c r="E96" s="2" t="s">
        <v>119</v>
      </c>
      <c r="F96" s="2" t="s">
        <v>120</v>
      </c>
      <c r="G96" s="2" t="s">
        <v>22</v>
      </c>
      <c r="H96" s="2">
        <v>28</v>
      </c>
      <c r="I96" s="4">
        <v>912.26</v>
      </c>
      <c r="J96" s="3">
        <v>45681</v>
      </c>
      <c r="K96">
        <f t="shared" si="1"/>
        <v>25543.279999999999</v>
      </c>
      <c r="L96" t="str">
        <f>INDEX(Raw_Shipments!L96:L2524,MATCH(A96,Raw_Shipments!B96:B2524))</f>
        <v>Yes</v>
      </c>
    </row>
    <row r="97" spans="1:12" x14ac:dyDescent="0.3">
      <c r="A97" s="5" t="s">
        <v>204</v>
      </c>
      <c r="B97" s="6">
        <v>45672</v>
      </c>
      <c r="C97" s="5" t="s">
        <v>102</v>
      </c>
      <c r="D97" s="5" t="s">
        <v>25</v>
      </c>
      <c r="E97" s="5" t="s">
        <v>26</v>
      </c>
      <c r="F97" s="5" t="s">
        <v>27</v>
      </c>
      <c r="G97" s="5" t="s">
        <v>22</v>
      </c>
      <c r="H97" s="5">
        <v>20</v>
      </c>
      <c r="I97" s="7">
        <v>1646.8</v>
      </c>
      <c r="J97" s="6">
        <v>45675</v>
      </c>
      <c r="K97">
        <f t="shared" si="1"/>
        <v>32936</v>
      </c>
      <c r="L97" t="str">
        <f>INDEX(Raw_Shipments!L97:L2525,MATCH(A97,Raw_Shipments!B97:B2525))</f>
        <v>No</v>
      </c>
    </row>
    <row r="98" spans="1:12" x14ac:dyDescent="0.3">
      <c r="A98" s="2" t="s">
        <v>205</v>
      </c>
      <c r="B98" s="3">
        <v>45672</v>
      </c>
      <c r="C98" s="2" t="s">
        <v>150</v>
      </c>
      <c r="D98" s="2" t="s">
        <v>25</v>
      </c>
      <c r="E98" s="2" t="s">
        <v>36</v>
      </c>
      <c r="F98" s="2" t="s">
        <v>37</v>
      </c>
      <c r="G98" s="2" t="s">
        <v>33</v>
      </c>
      <c r="H98" s="2">
        <v>41</v>
      </c>
      <c r="I98" s="4">
        <v>1064.79</v>
      </c>
      <c r="J98" s="3">
        <v>45675</v>
      </c>
      <c r="K98">
        <f t="shared" si="1"/>
        <v>43656.39</v>
      </c>
      <c r="L98" t="str">
        <f>INDEX(Raw_Shipments!L98:L2526,MATCH(A98,Raw_Shipments!B98:B2526))</f>
        <v>No</v>
      </c>
    </row>
    <row r="99" spans="1:12" x14ac:dyDescent="0.3">
      <c r="A99" s="5" t="s">
        <v>206</v>
      </c>
      <c r="B99" s="6">
        <v>45672</v>
      </c>
      <c r="C99" s="5" t="s">
        <v>29</v>
      </c>
      <c r="D99" s="5" t="s">
        <v>14</v>
      </c>
      <c r="E99" s="5" t="s">
        <v>46</v>
      </c>
      <c r="F99" s="5" t="s">
        <v>47</v>
      </c>
      <c r="G99" s="5" t="s">
        <v>42</v>
      </c>
      <c r="H99" s="5">
        <v>9</v>
      </c>
      <c r="I99" s="7">
        <v>1833.14</v>
      </c>
      <c r="J99" s="6">
        <v>45682</v>
      </c>
      <c r="K99">
        <f t="shared" si="1"/>
        <v>16498.260000000002</v>
      </c>
      <c r="L99" t="str">
        <f>INDEX(Raw_Shipments!L99:L2527,MATCH(A99,Raw_Shipments!B99:B2527))</f>
        <v>No</v>
      </c>
    </row>
    <row r="100" spans="1:12" x14ac:dyDescent="0.3">
      <c r="A100" s="2" t="s">
        <v>207</v>
      </c>
      <c r="B100" s="3">
        <v>45673</v>
      </c>
      <c r="C100" s="2" t="s">
        <v>208</v>
      </c>
      <c r="D100" s="2" t="s">
        <v>30</v>
      </c>
      <c r="E100" s="2" t="s">
        <v>53</v>
      </c>
      <c r="F100" s="2" t="s">
        <v>54</v>
      </c>
      <c r="G100" s="2" t="s">
        <v>55</v>
      </c>
      <c r="H100" s="2">
        <v>45</v>
      </c>
      <c r="I100" s="4">
        <v>2055.9</v>
      </c>
      <c r="J100" s="3">
        <v>45683</v>
      </c>
      <c r="K100">
        <f t="shared" si="1"/>
        <v>92515.5</v>
      </c>
      <c r="L100" t="str">
        <f>INDEX(Raw_Shipments!L100:L2528,MATCH(A100,Raw_Shipments!B100:B2528))</f>
        <v>No</v>
      </c>
    </row>
    <row r="101" spans="1:12" x14ac:dyDescent="0.3">
      <c r="A101" s="5" t="s">
        <v>209</v>
      </c>
      <c r="B101" s="6">
        <v>45673</v>
      </c>
      <c r="C101" s="5" t="s">
        <v>96</v>
      </c>
      <c r="D101" s="5" t="s">
        <v>25</v>
      </c>
      <c r="E101" s="5" t="s">
        <v>58</v>
      </c>
      <c r="F101" s="5" t="s">
        <v>59</v>
      </c>
      <c r="G101" s="5" t="s">
        <v>55</v>
      </c>
      <c r="H101" s="5">
        <v>3</v>
      </c>
      <c r="I101" s="7">
        <v>1695.1</v>
      </c>
      <c r="J101" s="6">
        <v>45677</v>
      </c>
      <c r="K101">
        <f t="shared" si="1"/>
        <v>5085.2999999999993</v>
      </c>
      <c r="L101" t="str">
        <f>INDEX(Raw_Shipments!L101:L2529,MATCH(A101,Raw_Shipments!B101:B2529))</f>
        <v>No</v>
      </c>
    </row>
    <row r="102" spans="1:12" x14ac:dyDescent="0.3">
      <c r="A102" s="2" t="s">
        <v>210</v>
      </c>
      <c r="B102" s="3">
        <v>45673</v>
      </c>
      <c r="C102" s="2" t="s">
        <v>150</v>
      </c>
      <c r="D102" s="2" t="s">
        <v>45</v>
      </c>
      <c r="E102" s="2" t="s">
        <v>62</v>
      </c>
      <c r="F102" s="2" t="s">
        <v>63</v>
      </c>
      <c r="G102" s="2" t="s">
        <v>55</v>
      </c>
      <c r="H102" s="2">
        <v>17</v>
      </c>
      <c r="I102" s="4">
        <v>2555.2199999999998</v>
      </c>
      <c r="J102" s="3">
        <v>45682</v>
      </c>
      <c r="K102">
        <f t="shared" si="1"/>
        <v>43438.74</v>
      </c>
      <c r="L102" t="str">
        <f>INDEX(Raw_Shipments!L102:L2530,MATCH(A102,Raw_Shipments!B102:B2530))</f>
        <v>Yes</v>
      </c>
    </row>
    <row r="103" spans="1:12" x14ac:dyDescent="0.3">
      <c r="A103" s="5" t="s">
        <v>211</v>
      </c>
      <c r="B103" s="6">
        <v>45673</v>
      </c>
      <c r="C103" s="5" t="s">
        <v>100</v>
      </c>
      <c r="D103" s="5" t="s">
        <v>30</v>
      </c>
      <c r="E103" s="5" t="s">
        <v>97</v>
      </c>
      <c r="F103" s="5" t="s">
        <v>98</v>
      </c>
      <c r="G103" s="5" t="s">
        <v>17</v>
      </c>
      <c r="H103" s="5">
        <v>27</v>
      </c>
      <c r="I103" s="7">
        <v>1110.6500000000001</v>
      </c>
      <c r="J103" s="6">
        <v>45681</v>
      </c>
      <c r="K103">
        <f t="shared" si="1"/>
        <v>29987.550000000003</v>
      </c>
      <c r="L103" t="str">
        <f>INDEX(Raw_Shipments!L103:L2531,MATCH(A103,Raw_Shipments!B103:B2531))</f>
        <v>No</v>
      </c>
    </row>
    <row r="104" spans="1:12" x14ac:dyDescent="0.3">
      <c r="A104" s="2" t="s">
        <v>212</v>
      </c>
      <c r="B104" s="3">
        <v>45673</v>
      </c>
      <c r="C104" s="2" t="s">
        <v>213</v>
      </c>
      <c r="D104" s="2" t="s">
        <v>25</v>
      </c>
      <c r="E104" s="2" t="s">
        <v>119</v>
      </c>
      <c r="F104" s="2" t="s">
        <v>120</v>
      </c>
      <c r="G104" s="2" t="s">
        <v>22</v>
      </c>
      <c r="H104" s="2">
        <v>50</v>
      </c>
      <c r="I104" s="4">
        <v>912.26</v>
      </c>
      <c r="J104" s="3">
        <v>45676</v>
      </c>
      <c r="K104">
        <f t="shared" si="1"/>
        <v>45613</v>
      </c>
      <c r="L104" t="str">
        <f>INDEX(Raw_Shipments!L104:L2532,MATCH(A104,Raw_Shipments!B104:B2532))</f>
        <v>No</v>
      </c>
    </row>
    <row r="105" spans="1:12" x14ac:dyDescent="0.3">
      <c r="A105" s="5" t="s">
        <v>214</v>
      </c>
      <c r="B105" s="6">
        <v>45673</v>
      </c>
      <c r="C105" s="5" t="s">
        <v>131</v>
      </c>
      <c r="D105" s="5" t="s">
        <v>25</v>
      </c>
      <c r="E105" s="5" t="s">
        <v>36</v>
      </c>
      <c r="F105" s="5" t="s">
        <v>37</v>
      </c>
      <c r="G105" s="5" t="s">
        <v>33</v>
      </c>
      <c r="H105" s="5">
        <v>27</v>
      </c>
      <c r="I105" s="7">
        <v>1064.79</v>
      </c>
      <c r="J105" s="6">
        <v>45676</v>
      </c>
      <c r="K105">
        <f t="shared" si="1"/>
        <v>28749.329999999998</v>
      </c>
      <c r="L105" t="str">
        <f>INDEX(Raw_Shipments!L105:L2533,MATCH(A105,Raw_Shipments!B105:B2533))</f>
        <v>No</v>
      </c>
    </row>
    <row r="106" spans="1:12" x14ac:dyDescent="0.3">
      <c r="A106" s="2" t="s">
        <v>215</v>
      </c>
      <c r="B106" s="3">
        <v>45673</v>
      </c>
      <c r="C106" s="2" t="s">
        <v>172</v>
      </c>
      <c r="D106" s="2" t="s">
        <v>14</v>
      </c>
      <c r="E106" s="2" t="s">
        <v>46</v>
      </c>
      <c r="F106" s="2" t="s">
        <v>47</v>
      </c>
      <c r="G106" s="2" t="s">
        <v>42</v>
      </c>
      <c r="H106" s="2">
        <v>6</v>
      </c>
      <c r="I106" s="4">
        <v>1833.14</v>
      </c>
      <c r="J106" s="3">
        <v>45679</v>
      </c>
      <c r="K106">
        <f t="shared" si="1"/>
        <v>10998.84</v>
      </c>
      <c r="L106" t="str">
        <f>INDEX(Raw_Shipments!L106:L2534,MATCH(A106,Raw_Shipments!B106:B2534))</f>
        <v>No</v>
      </c>
    </row>
    <row r="107" spans="1:12" x14ac:dyDescent="0.3">
      <c r="A107" s="5" t="s">
        <v>216</v>
      </c>
      <c r="B107" s="6">
        <v>45673</v>
      </c>
      <c r="C107" s="5" t="s">
        <v>217</v>
      </c>
      <c r="D107" s="5" t="s">
        <v>30</v>
      </c>
      <c r="E107" s="5" t="s">
        <v>50</v>
      </c>
      <c r="F107" s="5" t="s">
        <v>51</v>
      </c>
      <c r="G107" s="5" t="s">
        <v>42</v>
      </c>
      <c r="H107" s="5">
        <v>7</v>
      </c>
      <c r="I107" s="7">
        <v>1952.28</v>
      </c>
      <c r="J107" s="6">
        <v>45676</v>
      </c>
      <c r="K107">
        <f t="shared" si="1"/>
        <v>13665.96</v>
      </c>
      <c r="L107" t="str">
        <f>INDEX(Raw_Shipments!L107:L2535,MATCH(A107,Raw_Shipments!B107:B2535))</f>
        <v>No</v>
      </c>
    </row>
    <row r="108" spans="1:12" x14ac:dyDescent="0.3">
      <c r="A108" s="2" t="s">
        <v>218</v>
      </c>
      <c r="B108" s="3">
        <v>45674</v>
      </c>
      <c r="C108" s="2" t="s">
        <v>13</v>
      </c>
      <c r="D108" s="2" t="s">
        <v>14</v>
      </c>
      <c r="E108" s="2" t="s">
        <v>53</v>
      </c>
      <c r="F108" s="2" t="s">
        <v>54</v>
      </c>
      <c r="G108" s="2" t="s">
        <v>55</v>
      </c>
      <c r="H108" s="2">
        <v>59</v>
      </c>
      <c r="I108" s="4">
        <v>2055.9</v>
      </c>
      <c r="J108" s="3">
        <v>45684</v>
      </c>
      <c r="K108">
        <f t="shared" si="1"/>
        <v>121298.1</v>
      </c>
      <c r="L108" t="str">
        <f>INDEX(Raw_Shipments!L108:L2536,MATCH(A108,Raw_Shipments!B108:B2536))</f>
        <v>No</v>
      </c>
    </row>
    <row r="109" spans="1:12" x14ac:dyDescent="0.3">
      <c r="A109" s="5" t="s">
        <v>219</v>
      </c>
      <c r="B109" s="6">
        <v>45674</v>
      </c>
      <c r="C109" s="5" t="s">
        <v>220</v>
      </c>
      <c r="D109" s="5" t="s">
        <v>14</v>
      </c>
      <c r="E109" s="5" t="s">
        <v>97</v>
      </c>
      <c r="F109" s="5" t="s">
        <v>98</v>
      </c>
      <c r="G109" s="5" t="s">
        <v>17</v>
      </c>
      <c r="H109" s="5">
        <v>26</v>
      </c>
      <c r="I109" s="7">
        <v>1110.6500000000001</v>
      </c>
      <c r="J109" s="6">
        <v>45684</v>
      </c>
      <c r="K109">
        <f t="shared" si="1"/>
        <v>28876.9</v>
      </c>
      <c r="L109" t="str">
        <f>INDEX(Raw_Shipments!L109:L2537,MATCH(A109,Raw_Shipments!B109:B2537))</f>
        <v>No</v>
      </c>
    </row>
    <row r="110" spans="1:12" x14ac:dyDescent="0.3">
      <c r="A110" s="2" t="s">
        <v>221</v>
      </c>
      <c r="B110" s="3">
        <v>45674</v>
      </c>
      <c r="C110" s="2" t="s">
        <v>222</v>
      </c>
      <c r="D110" s="2" t="s">
        <v>25</v>
      </c>
      <c r="E110" s="2" t="s">
        <v>20</v>
      </c>
      <c r="F110" s="2" t="s">
        <v>21</v>
      </c>
      <c r="G110" s="2" t="s">
        <v>22</v>
      </c>
      <c r="H110" s="2">
        <v>16</v>
      </c>
      <c r="I110" s="4">
        <v>2108.56</v>
      </c>
      <c r="J110" s="3">
        <v>45679</v>
      </c>
      <c r="K110">
        <f t="shared" si="1"/>
        <v>33736.959999999999</v>
      </c>
      <c r="L110" t="str">
        <f>INDEX(Raw_Shipments!L110:L2538,MATCH(A110,Raw_Shipments!B110:B2538))</f>
        <v>No</v>
      </c>
    </row>
    <row r="111" spans="1:12" x14ac:dyDescent="0.3">
      <c r="A111" s="5" t="s">
        <v>223</v>
      </c>
      <c r="B111" s="6">
        <v>45674</v>
      </c>
      <c r="C111" s="5" t="s">
        <v>125</v>
      </c>
      <c r="D111" s="5" t="s">
        <v>25</v>
      </c>
      <c r="E111" s="5" t="s">
        <v>31</v>
      </c>
      <c r="F111" s="5" t="s">
        <v>32</v>
      </c>
      <c r="G111" s="5" t="s">
        <v>33</v>
      </c>
      <c r="H111" s="5">
        <v>55</v>
      </c>
      <c r="I111" s="7">
        <v>689</v>
      </c>
      <c r="J111" s="6">
        <v>45681</v>
      </c>
      <c r="K111">
        <f t="shared" si="1"/>
        <v>37895</v>
      </c>
      <c r="L111" t="str">
        <f>INDEX(Raw_Shipments!L111:L2539,MATCH(A111,Raw_Shipments!B111:B2539))</f>
        <v>Yes</v>
      </c>
    </row>
    <row r="112" spans="1:12" x14ac:dyDescent="0.3">
      <c r="A112" s="2" t="s">
        <v>224</v>
      </c>
      <c r="B112" s="3">
        <v>45675</v>
      </c>
      <c r="C112" s="2" t="s">
        <v>79</v>
      </c>
      <c r="D112" s="2" t="s">
        <v>25</v>
      </c>
      <c r="E112" s="2" t="s">
        <v>53</v>
      </c>
      <c r="F112" s="2" t="s">
        <v>54</v>
      </c>
      <c r="G112" s="2" t="s">
        <v>55</v>
      </c>
      <c r="H112" s="2">
        <v>23</v>
      </c>
      <c r="I112" s="4">
        <v>2055.9</v>
      </c>
      <c r="J112" s="3">
        <v>45684</v>
      </c>
      <c r="K112">
        <f t="shared" si="1"/>
        <v>47285.700000000004</v>
      </c>
      <c r="L112" t="str">
        <f>INDEX(Raw_Shipments!L112:L2540,MATCH(A112,Raw_Shipments!B112:B2540))</f>
        <v>Yes</v>
      </c>
    </row>
    <row r="113" spans="1:12" x14ac:dyDescent="0.3">
      <c r="A113" s="5" t="s">
        <v>225</v>
      </c>
      <c r="B113" s="6">
        <v>45675</v>
      </c>
      <c r="C113" s="5" t="s">
        <v>113</v>
      </c>
      <c r="D113" s="5" t="s">
        <v>30</v>
      </c>
      <c r="E113" s="5" t="s">
        <v>66</v>
      </c>
      <c r="F113" s="5" t="s">
        <v>67</v>
      </c>
      <c r="G113" s="5" t="s">
        <v>17</v>
      </c>
      <c r="H113" s="5">
        <v>14</v>
      </c>
      <c r="I113" s="7">
        <v>850.8</v>
      </c>
      <c r="J113" s="6">
        <v>45684</v>
      </c>
      <c r="K113">
        <f t="shared" si="1"/>
        <v>11911.199999999999</v>
      </c>
      <c r="L113" t="str">
        <f>INDEX(Raw_Shipments!L113:L2541,MATCH(A113,Raw_Shipments!B113:B2541))</f>
        <v>No</v>
      </c>
    </row>
    <row r="114" spans="1:12" x14ac:dyDescent="0.3">
      <c r="A114" s="2" t="s">
        <v>226</v>
      </c>
      <c r="B114" s="3">
        <v>45675</v>
      </c>
      <c r="C114" s="2" t="s">
        <v>227</v>
      </c>
      <c r="D114" s="2" t="s">
        <v>14</v>
      </c>
      <c r="E114" s="2" t="s">
        <v>97</v>
      </c>
      <c r="F114" s="2" t="s">
        <v>98</v>
      </c>
      <c r="G114" s="2" t="s">
        <v>17</v>
      </c>
      <c r="H114" s="2">
        <v>27</v>
      </c>
      <c r="I114" s="4">
        <v>1110.6500000000001</v>
      </c>
      <c r="J114" s="3">
        <v>45684</v>
      </c>
      <c r="K114">
        <f t="shared" si="1"/>
        <v>29987.550000000003</v>
      </c>
      <c r="L114" t="str">
        <f>INDEX(Raw_Shipments!L114:L2542,MATCH(A114,Raw_Shipments!B114:B2542))</f>
        <v>Yes</v>
      </c>
    </row>
    <row r="115" spans="1:12" x14ac:dyDescent="0.3">
      <c r="A115" s="5" t="s">
        <v>228</v>
      </c>
      <c r="B115" s="6">
        <v>45675</v>
      </c>
      <c r="C115" s="5" t="s">
        <v>229</v>
      </c>
      <c r="D115" s="5" t="s">
        <v>30</v>
      </c>
      <c r="E115" s="5" t="s">
        <v>20</v>
      </c>
      <c r="F115" s="5" t="s">
        <v>21</v>
      </c>
      <c r="G115" s="5" t="s">
        <v>22</v>
      </c>
      <c r="H115" s="5">
        <v>6</v>
      </c>
      <c r="I115" s="7">
        <v>2108.56</v>
      </c>
      <c r="J115" s="6">
        <v>45683</v>
      </c>
      <c r="K115">
        <f t="shared" si="1"/>
        <v>12651.36</v>
      </c>
      <c r="L115" t="str">
        <f>INDEX(Raw_Shipments!L115:L2543,MATCH(A115,Raw_Shipments!B115:B2543))</f>
        <v>Yes</v>
      </c>
    </row>
    <row r="116" spans="1:12" x14ac:dyDescent="0.3">
      <c r="A116" s="2" t="s">
        <v>230</v>
      </c>
      <c r="B116" s="3">
        <v>45675</v>
      </c>
      <c r="C116" s="2" t="s">
        <v>198</v>
      </c>
      <c r="D116" s="2" t="s">
        <v>14</v>
      </c>
      <c r="E116" s="2" t="s">
        <v>119</v>
      </c>
      <c r="F116" s="2" t="s">
        <v>120</v>
      </c>
      <c r="G116" s="2" t="s">
        <v>22</v>
      </c>
      <c r="H116" s="2">
        <v>42</v>
      </c>
      <c r="I116" s="4">
        <v>912.26</v>
      </c>
      <c r="J116" s="3">
        <v>45680</v>
      </c>
      <c r="K116">
        <f t="shared" si="1"/>
        <v>38314.92</v>
      </c>
      <c r="L116" t="str">
        <f>INDEX(Raw_Shipments!L116:L2544,MATCH(A116,Raw_Shipments!B116:B2544))</f>
        <v>No</v>
      </c>
    </row>
    <row r="117" spans="1:12" x14ac:dyDescent="0.3">
      <c r="A117" s="5" t="s">
        <v>231</v>
      </c>
      <c r="B117" s="6">
        <v>45675</v>
      </c>
      <c r="C117" s="5" t="s">
        <v>232</v>
      </c>
      <c r="D117" s="5" t="s">
        <v>30</v>
      </c>
      <c r="E117" s="5" t="s">
        <v>26</v>
      </c>
      <c r="F117" s="5" t="s">
        <v>27</v>
      </c>
      <c r="G117" s="5" t="s">
        <v>22</v>
      </c>
      <c r="H117" s="5">
        <v>19</v>
      </c>
      <c r="I117" s="7">
        <v>1646.8</v>
      </c>
      <c r="J117" s="6">
        <v>45682</v>
      </c>
      <c r="K117">
        <f t="shared" si="1"/>
        <v>31289.200000000001</v>
      </c>
      <c r="L117" t="str">
        <f>INDEX(Raw_Shipments!L117:L2545,MATCH(A117,Raw_Shipments!B117:B2545))</f>
        <v>Yes</v>
      </c>
    </row>
    <row r="118" spans="1:12" x14ac:dyDescent="0.3">
      <c r="A118" s="2" t="s">
        <v>233</v>
      </c>
      <c r="B118" s="3">
        <v>45675</v>
      </c>
      <c r="C118" s="2" t="s">
        <v>234</v>
      </c>
      <c r="D118" s="2" t="s">
        <v>45</v>
      </c>
      <c r="E118" s="2" t="s">
        <v>46</v>
      </c>
      <c r="F118" s="2" t="s">
        <v>47</v>
      </c>
      <c r="G118" s="2" t="s">
        <v>42</v>
      </c>
      <c r="H118" s="2">
        <v>5</v>
      </c>
      <c r="I118" s="4">
        <v>1833.14</v>
      </c>
      <c r="J118" s="3">
        <v>45685</v>
      </c>
      <c r="K118">
        <f t="shared" si="1"/>
        <v>9165.7000000000007</v>
      </c>
      <c r="L118" t="str">
        <f>INDEX(Raw_Shipments!L118:L2546,MATCH(A118,Raw_Shipments!B118:B2546))</f>
        <v>No</v>
      </c>
    </row>
    <row r="119" spans="1:12" x14ac:dyDescent="0.3">
      <c r="A119" s="5" t="s">
        <v>235</v>
      </c>
      <c r="B119" s="6">
        <v>45676</v>
      </c>
      <c r="C119" s="5" t="s">
        <v>113</v>
      </c>
      <c r="D119" s="5" t="s">
        <v>45</v>
      </c>
      <c r="E119" s="5" t="s">
        <v>53</v>
      </c>
      <c r="F119" s="5" t="s">
        <v>54</v>
      </c>
      <c r="G119" s="5" t="s">
        <v>55</v>
      </c>
      <c r="H119" s="5">
        <v>50</v>
      </c>
      <c r="I119" s="7">
        <v>2055.9</v>
      </c>
      <c r="J119" s="6">
        <v>45683</v>
      </c>
      <c r="K119">
        <f t="shared" si="1"/>
        <v>102795</v>
      </c>
      <c r="L119" t="str">
        <f>INDEX(Raw_Shipments!L119:L2547,MATCH(A119,Raw_Shipments!B119:B2547))</f>
        <v>No</v>
      </c>
    </row>
    <row r="120" spans="1:12" x14ac:dyDescent="0.3">
      <c r="A120" s="2" t="s">
        <v>236</v>
      </c>
      <c r="B120" s="3">
        <v>45676</v>
      </c>
      <c r="C120" s="2" t="s">
        <v>57</v>
      </c>
      <c r="D120" s="2" t="s">
        <v>14</v>
      </c>
      <c r="E120" s="2" t="s">
        <v>58</v>
      </c>
      <c r="F120" s="2" t="s">
        <v>59</v>
      </c>
      <c r="G120" s="2" t="s">
        <v>55</v>
      </c>
      <c r="H120" s="2">
        <v>24</v>
      </c>
      <c r="I120" s="4">
        <v>1695.1</v>
      </c>
      <c r="J120" s="3">
        <v>45680</v>
      </c>
      <c r="K120">
        <f t="shared" si="1"/>
        <v>40682.399999999994</v>
      </c>
      <c r="L120" t="str">
        <f>INDEX(Raw_Shipments!L120:L2548,MATCH(A120,Raw_Shipments!B120:B2548))</f>
        <v>No</v>
      </c>
    </row>
    <row r="121" spans="1:12" x14ac:dyDescent="0.3">
      <c r="A121" s="5" t="s">
        <v>237</v>
      </c>
      <c r="B121" s="6">
        <v>45676</v>
      </c>
      <c r="C121" s="5" t="s">
        <v>238</v>
      </c>
      <c r="D121" s="5" t="s">
        <v>25</v>
      </c>
      <c r="E121" s="5" t="s">
        <v>97</v>
      </c>
      <c r="F121" s="5" t="s">
        <v>98</v>
      </c>
      <c r="G121" s="5" t="s">
        <v>17</v>
      </c>
      <c r="H121" s="5">
        <v>35</v>
      </c>
      <c r="I121" s="7">
        <v>1110.6500000000001</v>
      </c>
      <c r="J121" s="6">
        <v>45679</v>
      </c>
      <c r="K121">
        <f t="shared" si="1"/>
        <v>38872.75</v>
      </c>
      <c r="L121" t="str">
        <f>INDEX(Raw_Shipments!L121:L2549,MATCH(A121,Raw_Shipments!B121:B2549))</f>
        <v>No</v>
      </c>
    </row>
    <row r="122" spans="1:12" x14ac:dyDescent="0.3">
      <c r="A122" s="2" t="s">
        <v>239</v>
      </c>
      <c r="B122" s="3">
        <v>45676</v>
      </c>
      <c r="C122" s="2" t="s">
        <v>240</v>
      </c>
      <c r="D122" s="2" t="s">
        <v>14</v>
      </c>
      <c r="E122" s="2" t="s">
        <v>15</v>
      </c>
      <c r="F122" s="2" t="s">
        <v>16</v>
      </c>
      <c r="G122" s="2" t="s">
        <v>17</v>
      </c>
      <c r="H122" s="2">
        <v>17</v>
      </c>
      <c r="I122" s="4">
        <v>183.06</v>
      </c>
      <c r="J122" s="3">
        <v>45681</v>
      </c>
      <c r="K122">
        <f t="shared" si="1"/>
        <v>3112.02</v>
      </c>
      <c r="L122" t="str">
        <f>INDEX(Raw_Shipments!L122:L2550,MATCH(A122,Raw_Shipments!B122:B2550))</f>
        <v>No</v>
      </c>
    </row>
    <row r="123" spans="1:12" x14ac:dyDescent="0.3">
      <c r="A123" s="5" t="s">
        <v>241</v>
      </c>
      <c r="B123" s="6">
        <v>45676</v>
      </c>
      <c r="C123" s="5" t="s">
        <v>75</v>
      </c>
      <c r="D123" s="5" t="s">
        <v>14</v>
      </c>
      <c r="E123" s="5" t="s">
        <v>20</v>
      </c>
      <c r="F123" s="5" t="s">
        <v>21</v>
      </c>
      <c r="G123" s="5" t="s">
        <v>22</v>
      </c>
      <c r="H123" s="5">
        <v>18</v>
      </c>
      <c r="I123" s="7">
        <v>2108.56</v>
      </c>
      <c r="J123" s="6">
        <v>45685</v>
      </c>
      <c r="K123">
        <f t="shared" si="1"/>
        <v>37954.080000000002</v>
      </c>
      <c r="L123" t="str">
        <f>INDEX(Raw_Shipments!L123:L2551,MATCH(A123,Raw_Shipments!B123:B2551))</f>
        <v>Yes</v>
      </c>
    </row>
    <row r="124" spans="1:12" x14ac:dyDescent="0.3">
      <c r="A124" s="2" t="s">
        <v>242</v>
      </c>
      <c r="B124" s="3">
        <v>45676</v>
      </c>
      <c r="C124" s="2" t="s">
        <v>156</v>
      </c>
      <c r="D124" s="2" t="s">
        <v>25</v>
      </c>
      <c r="E124" s="2" t="s">
        <v>31</v>
      </c>
      <c r="F124" s="2" t="s">
        <v>32</v>
      </c>
      <c r="G124" s="2" t="s">
        <v>33</v>
      </c>
      <c r="H124" s="2">
        <v>28</v>
      </c>
      <c r="I124" s="4">
        <v>689</v>
      </c>
      <c r="J124" s="3">
        <v>45679</v>
      </c>
      <c r="K124">
        <f t="shared" si="1"/>
        <v>19292</v>
      </c>
      <c r="L124" t="str">
        <f>INDEX(Raw_Shipments!L124:L2552,MATCH(A124,Raw_Shipments!B124:B2552))</f>
        <v>No</v>
      </c>
    </row>
    <row r="125" spans="1:12" x14ac:dyDescent="0.3">
      <c r="A125" s="5" t="s">
        <v>243</v>
      </c>
      <c r="B125" s="6">
        <v>45676</v>
      </c>
      <c r="C125" s="5" t="s">
        <v>208</v>
      </c>
      <c r="D125" s="5" t="s">
        <v>25</v>
      </c>
      <c r="E125" s="5" t="s">
        <v>86</v>
      </c>
      <c r="F125" s="5" t="s">
        <v>87</v>
      </c>
      <c r="G125" s="5" t="s">
        <v>33</v>
      </c>
      <c r="H125" s="5">
        <v>18</v>
      </c>
      <c r="I125" s="7">
        <v>815.88</v>
      </c>
      <c r="J125" s="6">
        <v>45686</v>
      </c>
      <c r="K125">
        <f t="shared" si="1"/>
        <v>14685.84</v>
      </c>
      <c r="L125" t="str">
        <f>INDEX(Raw_Shipments!L125:L2553,MATCH(A125,Raw_Shipments!B125:B2553))</f>
        <v>Yes</v>
      </c>
    </row>
    <row r="126" spans="1:12" x14ac:dyDescent="0.3">
      <c r="A126" s="2" t="s">
        <v>244</v>
      </c>
      <c r="B126" s="3">
        <v>45676</v>
      </c>
      <c r="C126" s="2" t="s">
        <v>227</v>
      </c>
      <c r="D126" s="2" t="s">
        <v>30</v>
      </c>
      <c r="E126" s="2" t="s">
        <v>46</v>
      </c>
      <c r="F126" s="2" t="s">
        <v>47</v>
      </c>
      <c r="G126" s="2" t="s">
        <v>42</v>
      </c>
      <c r="H126" s="2">
        <v>6</v>
      </c>
      <c r="I126" s="4">
        <v>1833.14</v>
      </c>
      <c r="J126" s="3">
        <v>45682</v>
      </c>
      <c r="K126">
        <f t="shared" si="1"/>
        <v>10998.84</v>
      </c>
      <c r="L126" t="str">
        <f>INDEX(Raw_Shipments!L126:L2554,MATCH(A126,Raw_Shipments!B126:B2554))</f>
        <v>No</v>
      </c>
    </row>
    <row r="127" spans="1:12" x14ac:dyDescent="0.3">
      <c r="A127" s="5" t="s">
        <v>245</v>
      </c>
      <c r="B127" s="6">
        <v>45676</v>
      </c>
      <c r="C127" s="5" t="s">
        <v>191</v>
      </c>
      <c r="D127" s="5" t="s">
        <v>25</v>
      </c>
      <c r="E127" s="5" t="s">
        <v>50</v>
      </c>
      <c r="F127" s="5" t="s">
        <v>51</v>
      </c>
      <c r="G127" s="5" t="s">
        <v>42</v>
      </c>
      <c r="H127" s="5">
        <v>14</v>
      </c>
      <c r="I127" s="7">
        <v>1952.28</v>
      </c>
      <c r="J127" s="6">
        <v>45685</v>
      </c>
      <c r="K127">
        <f t="shared" si="1"/>
        <v>27331.919999999998</v>
      </c>
      <c r="L127" t="str">
        <f>INDEX(Raw_Shipments!L127:L2555,MATCH(A127,Raw_Shipments!B127:B2555))</f>
        <v>No</v>
      </c>
    </row>
    <row r="128" spans="1:12" x14ac:dyDescent="0.3">
      <c r="A128" s="2" t="s">
        <v>246</v>
      </c>
      <c r="B128" s="3">
        <v>45677</v>
      </c>
      <c r="C128" s="2" t="s">
        <v>170</v>
      </c>
      <c r="D128" s="2" t="s">
        <v>45</v>
      </c>
      <c r="E128" s="2" t="s">
        <v>62</v>
      </c>
      <c r="F128" s="2" t="s">
        <v>63</v>
      </c>
      <c r="G128" s="2" t="s">
        <v>55</v>
      </c>
      <c r="H128" s="2">
        <v>53</v>
      </c>
      <c r="I128" s="4">
        <v>2555.2199999999998</v>
      </c>
      <c r="J128" s="3">
        <v>45684</v>
      </c>
      <c r="K128">
        <f t="shared" si="1"/>
        <v>135426.66</v>
      </c>
      <c r="L128" t="str">
        <f>INDEX(Raw_Shipments!L128:L2556,MATCH(A128,Raw_Shipments!B128:B2556))</f>
        <v>Yes</v>
      </c>
    </row>
    <row r="129" spans="1:12" x14ac:dyDescent="0.3">
      <c r="A129" s="5" t="s">
        <v>247</v>
      </c>
      <c r="B129" s="6">
        <v>45677</v>
      </c>
      <c r="C129" s="5" t="s">
        <v>248</v>
      </c>
      <c r="D129" s="5" t="s">
        <v>14</v>
      </c>
      <c r="E129" s="5" t="s">
        <v>26</v>
      </c>
      <c r="F129" s="5" t="s">
        <v>27</v>
      </c>
      <c r="G129" s="5" t="s">
        <v>22</v>
      </c>
      <c r="H129" s="5">
        <v>18</v>
      </c>
      <c r="I129" s="7">
        <v>1646.8</v>
      </c>
      <c r="J129" s="6">
        <v>45685</v>
      </c>
      <c r="K129">
        <f t="shared" si="1"/>
        <v>29642.399999999998</v>
      </c>
      <c r="L129" t="str">
        <f>INDEX(Raw_Shipments!L129:L2557,MATCH(A129,Raw_Shipments!B129:B2557))</f>
        <v>No</v>
      </c>
    </row>
    <row r="130" spans="1:12" x14ac:dyDescent="0.3">
      <c r="A130" s="2" t="s">
        <v>249</v>
      </c>
      <c r="B130" s="3">
        <v>45678</v>
      </c>
      <c r="C130" s="2" t="s">
        <v>250</v>
      </c>
      <c r="D130" s="2" t="s">
        <v>25</v>
      </c>
      <c r="E130" s="2" t="s">
        <v>62</v>
      </c>
      <c r="F130" s="2" t="s">
        <v>63</v>
      </c>
      <c r="G130" s="2" t="s">
        <v>55</v>
      </c>
      <c r="H130" s="2">
        <v>20</v>
      </c>
      <c r="I130" s="4">
        <v>2555.2199999999998</v>
      </c>
      <c r="J130" s="3">
        <v>45683</v>
      </c>
      <c r="K130">
        <f t="shared" si="1"/>
        <v>51104.399999999994</v>
      </c>
      <c r="L130" t="str">
        <f>INDEX(Raw_Shipments!L130:L2558,MATCH(A130,Raw_Shipments!B130:B2558))</f>
        <v>No</v>
      </c>
    </row>
    <row r="131" spans="1:12" x14ac:dyDescent="0.3">
      <c r="A131" s="5" t="s">
        <v>251</v>
      </c>
      <c r="B131" s="6">
        <v>45678</v>
      </c>
      <c r="C131" s="5" t="s">
        <v>107</v>
      </c>
      <c r="D131" s="5" t="s">
        <v>14</v>
      </c>
      <c r="E131" s="5" t="s">
        <v>66</v>
      </c>
      <c r="F131" s="5" t="s">
        <v>67</v>
      </c>
      <c r="G131" s="5" t="s">
        <v>17</v>
      </c>
      <c r="H131" s="5">
        <v>16</v>
      </c>
      <c r="I131" s="7">
        <v>850.8</v>
      </c>
      <c r="J131" s="6">
        <v>45687</v>
      </c>
      <c r="K131">
        <f t="shared" ref="K131:K194" si="2">I131*H131</f>
        <v>13612.8</v>
      </c>
      <c r="L131" t="str">
        <f>INDEX(Raw_Shipments!L131:L2559,MATCH(A131,Raw_Shipments!B131:B2559))</f>
        <v>Yes</v>
      </c>
    </row>
    <row r="132" spans="1:12" x14ac:dyDescent="0.3">
      <c r="A132" s="2" t="s">
        <v>252</v>
      </c>
      <c r="B132" s="3">
        <v>45678</v>
      </c>
      <c r="C132" s="2" t="s">
        <v>240</v>
      </c>
      <c r="D132" s="2" t="s">
        <v>25</v>
      </c>
      <c r="E132" s="2" t="s">
        <v>97</v>
      </c>
      <c r="F132" s="2" t="s">
        <v>98</v>
      </c>
      <c r="G132" s="2" t="s">
        <v>17</v>
      </c>
      <c r="H132" s="2">
        <v>3</v>
      </c>
      <c r="I132" s="4">
        <v>1110.6500000000001</v>
      </c>
      <c r="J132" s="3">
        <v>45685</v>
      </c>
      <c r="K132">
        <f t="shared" si="2"/>
        <v>3331.9500000000003</v>
      </c>
      <c r="L132" t="str">
        <f>INDEX(Raw_Shipments!L132:L2560,MATCH(A132,Raw_Shipments!B132:B2560))</f>
        <v>No</v>
      </c>
    </row>
    <row r="133" spans="1:12" x14ac:dyDescent="0.3">
      <c r="A133" s="5" t="s">
        <v>253</v>
      </c>
      <c r="B133" s="6">
        <v>45678</v>
      </c>
      <c r="C133" s="5" t="s">
        <v>100</v>
      </c>
      <c r="D133" s="5" t="s">
        <v>30</v>
      </c>
      <c r="E133" s="5" t="s">
        <v>26</v>
      </c>
      <c r="F133" s="5" t="s">
        <v>27</v>
      </c>
      <c r="G133" s="5" t="s">
        <v>22</v>
      </c>
      <c r="H133" s="5">
        <v>15</v>
      </c>
      <c r="I133" s="7">
        <v>1646.8</v>
      </c>
      <c r="J133" s="6">
        <v>45686</v>
      </c>
      <c r="K133">
        <f t="shared" si="2"/>
        <v>24702</v>
      </c>
      <c r="L133" t="str">
        <f>INDEX(Raw_Shipments!L133:L2561,MATCH(A133,Raw_Shipments!B133:B2561))</f>
        <v>Yes</v>
      </c>
    </row>
    <row r="134" spans="1:12" x14ac:dyDescent="0.3">
      <c r="A134" s="2" t="s">
        <v>254</v>
      </c>
      <c r="B134" s="3">
        <v>45678</v>
      </c>
      <c r="C134" s="2" t="s">
        <v>178</v>
      </c>
      <c r="D134" s="2" t="s">
        <v>25</v>
      </c>
      <c r="E134" s="2" t="s">
        <v>36</v>
      </c>
      <c r="F134" s="2" t="s">
        <v>37</v>
      </c>
      <c r="G134" s="2" t="s">
        <v>33</v>
      </c>
      <c r="H134" s="2">
        <v>64</v>
      </c>
      <c r="I134" s="4">
        <v>1064.79</v>
      </c>
      <c r="J134" s="3">
        <v>45687</v>
      </c>
      <c r="K134">
        <f t="shared" si="2"/>
        <v>68146.559999999998</v>
      </c>
      <c r="L134" t="str">
        <f>INDEX(Raw_Shipments!L134:L2562,MATCH(A134,Raw_Shipments!B134:B2562))</f>
        <v>Yes</v>
      </c>
    </row>
    <row r="135" spans="1:12" x14ac:dyDescent="0.3">
      <c r="A135" s="5" t="s">
        <v>255</v>
      </c>
      <c r="B135" s="6">
        <v>45678</v>
      </c>
      <c r="C135" s="5" t="s">
        <v>170</v>
      </c>
      <c r="D135" s="5" t="s">
        <v>25</v>
      </c>
      <c r="E135" s="5" t="s">
        <v>86</v>
      </c>
      <c r="F135" s="5" t="s">
        <v>87</v>
      </c>
      <c r="G135" s="5" t="s">
        <v>33</v>
      </c>
      <c r="H135" s="5">
        <v>22</v>
      </c>
      <c r="I135" s="7">
        <v>815.88</v>
      </c>
      <c r="J135" s="6">
        <v>45687</v>
      </c>
      <c r="K135">
        <f t="shared" si="2"/>
        <v>17949.36</v>
      </c>
      <c r="L135" t="str">
        <f>INDEX(Raw_Shipments!L135:L2563,MATCH(A135,Raw_Shipments!B135:B2563))</f>
        <v>Yes</v>
      </c>
    </row>
    <row r="136" spans="1:12" x14ac:dyDescent="0.3">
      <c r="A136" s="2" t="s">
        <v>256</v>
      </c>
      <c r="B136" s="3">
        <v>45679</v>
      </c>
      <c r="C136" s="2" t="s">
        <v>85</v>
      </c>
      <c r="D136" s="2" t="s">
        <v>14</v>
      </c>
      <c r="E136" s="2" t="s">
        <v>97</v>
      </c>
      <c r="F136" s="2" t="s">
        <v>98</v>
      </c>
      <c r="G136" s="2" t="s">
        <v>17</v>
      </c>
      <c r="H136" s="2">
        <v>27</v>
      </c>
      <c r="I136" s="4">
        <v>1110.6500000000001</v>
      </c>
      <c r="J136" s="3">
        <v>45687</v>
      </c>
      <c r="K136">
        <f t="shared" si="2"/>
        <v>29987.550000000003</v>
      </c>
      <c r="L136" t="str">
        <f>INDEX(Raw_Shipments!L136:L2564,MATCH(A136,Raw_Shipments!B136:B2564))</f>
        <v>No</v>
      </c>
    </row>
    <row r="137" spans="1:12" x14ac:dyDescent="0.3">
      <c r="A137" s="5" t="s">
        <v>257</v>
      </c>
      <c r="B137" s="6">
        <v>45679</v>
      </c>
      <c r="C137" s="5" t="s">
        <v>24</v>
      </c>
      <c r="D137" s="5" t="s">
        <v>25</v>
      </c>
      <c r="E137" s="5" t="s">
        <v>36</v>
      </c>
      <c r="F137" s="5" t="s">
        <v>37</v>
      </c>
      <c r="G137" s="5" t="s">
        <v>33</v>
      </c>
      <c r="H137" s="5">
        <v>41</v>
      </c>
      <c r="I137" s="7">
        <v>1064.79</v>
      </c>
      <c r="J137" s="6">
        <v>45682</v>
      </c>
      <c r="K137">
        <f t="shared" si="2"/>
        <v>43656.39</v>
      </c>
      <c r="L137" t="str">
        <f>INDEX(Raw_Shipments!L137:L2565,MATCH(A137,Raw_Shipments!B137:B2565))</f>
        <v>No</v>
      </c>
    </row>
    <row r="138" spans="1:12" x14ac:dyDescent="0.3">
      <c r="A138" s="2" t="s">
        <v>258</v>
      </c>
      <c r="B138" s="3">
        <v>45679</v>
      </c>
      <c r="C138" s="2" t="s">
        <v>79</v>
      </c>
      <c r="D138" s="2" t="s">
        <v>25</v>
      </c>
      <c r="E138" s="2" t="s">
        <v>40</v>
      </c>
      <c r="F138" s="2" t="s">
        <v>41</v>
      </c>
      <c r="G138" s="2" t="s">
        <v>42</v>
      </c>
      <c r="H138" s="2">
        <v>27</v>
      </c>
      <c r="I138" s="4">
        <v>2445.11</v>
      </c>
      <c r="J138" s="3">
        <v>45688</v>
      </c>
      <c r="K138">
        <f t="shared" si="2"/>
        <v>66017.97</v>
      </c>
      <c r="L138" t="str">
        <f>INDEX(Raw_Shipments!L138:L2566,MATCH(A138,Raw_Shipments!B138:B2566))</f>
        <v>No</v>
      </c>
    </row>
    <row r="139" spans="1:12" x14ac:dyDescent="0.3">
      <c r="A139" s="5" t="s">
        <v>259</v>
      </c>
      <c r="B139" s="6">
        <v>45680</v>
      </c>
      <c r="C139" s="5" t="s">
        <v>260</v>
      </c>
      <c r="D139" s="5" t="s">
        <v>45</v>
      </c>
      <c r="E139" s="5" t="s">
        <v>58</v>
      </c>
      <c r="F139" s="5" t="s">
        <v>59</v>
      </c>
      <c r="G139" s="5" t="s">
        <v>55</v>
      </c>
      <c r="H139" s="5">
        <v>24</v>
      </c>
      <c r="I139" s="7">
        <v>1695.1</v>
      </c>
      <c r="J139" s="6">
        <v>45685</v>
      </c>
      <c r="K139">
        <f t="shared" si="2"/>
        <v>40682.399999999994</v>
      </c>
      <c r="L139" t="str">
        <f>INDEX(Raw_Shipments!L139:L2567,MATCH(A139,Raw_Shipments!B139:B2567))</f>
        <v>No</v>
      </c>
    </row>
    <row r="140" spans="1:12" x14ac:dyDescent="0.3">
      <c r="A140" s="2" t="s">
        <v>261</v>
      </c>
      <c r="B140" s="3">
        <v>45680</v>
      </c>
      <c r="C140" s="2" t="s">
        <v>262</v>
      </c>
      <c r="D140" s="2" t="s">
        <v>25</v>
      </c>
      <c r="E140" s="2" t="s">
        <v>15</v>
      </c>
      <c r="F140" s="2" t="s">
        <v>16</v>
      </c>
      <c r="G140" s="2" t="s">
        <v>17</v>
      </c>
      <c r="H140" s="2">
        <v>12</v>
      </c>
      <c r="I140" s="4">
        <v>183.06</v>
      </c>
      <c r="J140" s="3">
        <v>45690</v>
      </c>
      <c r="K140">
        <f t="shared" si="2"/>
        <v>2196.7200000000003</v>
      </c>
      <c r="L140" t="str">
        <f>INDEX(Raw_Shipments!L140:L2568,MATCH(A140,Raw_Shipments!B140:B2568))</f>
        <v>Yes</v>
      </c>
    </row>
    <row r="141" spans="1:12" x14ac:dyDescent="0.3">
      <c r="A141" s="5" t="s">
        <v>263</v>
      </c>
      <c r="B141" s="6">
        <v>45680</v>
      </c>
      <c r="C141" s="5" t="s">
        <v>234</v>
      </c>
      <c r="D141" s="5" t="s">
        <v>25</v>
      </c>
      <c r="E141" s="5" t="s">
        <v>20</v>
      </c>
      <c r="F141" s="5" t="s">
        <v>21</v>
      </c>
      <c r="G141" s="5" t="s">
        <v>22</v>
      </c>
      <c r="H141" s="5">
        <v>10</v>
      </c>
      <c r="I141" s="7">
        <v>2108.56</v>
      </c>
      <c r="J141" s="6">
        <v>45688</v>
      </c>
      <c r="K141">
        <f t="shared" si="2"/>
        <v>21085.599999999999</v>
      </c>
      <c r="L141" t="str">
        <f>INDEX(Raw_Shipments!L141:L2569,MATCH(A141,Raw_Shipments!B141:B2569))</f>
        <v>No</v>
      </c>
    </row>
    <row r="142" spans="1:12" x14ac:dyDescent="0.3">
      <c r="A142" s="2" t="s">
        <v>264</v>
      </c>
      <c r="B142" s="3">
        <v>45680</v>
      </c>
      <c r="C142" s="2" t="s">
        <v>250</v>
      </c>
      <c r="D142" s="2" t="s">
        <v>14</v>
      </c>
      <c r="E142" s="2" t="s">
        <v>119</v>
      </c>
      <c r="F142" s="2" t="s">
        <v>120</v>
      </c>
      <c r="G142" s="2" t="s">
        <v>22</v>
      </c>
      <c r="H142" s="2">
        <v>34</v>
      </c>
      <c r="I142" s="4">
        <v>912.26</v>
      </c>
      <c r="J142" s="3">
        <v>45690</v>
      </c>
      <c r="K142">
        <f t="shared" si="2"/>
        <v>31016.84</v>
      </c>
      <c r="L142" t="str">
        <f>INDEX(Raw_Shipments!L142:L2570,MATCH(A142,Raw_Shipments!B142:B2570))</f>
        <v>Yes</v>
      </c>
    </row>
    <row r="143" spans="1:12" x14ac:dyDescent="0.3">
      <c r="A143" s="5" t="s">
        <v>265</v>
      </c>
      <c r="B143" s="6">
        <v>45680</v>
      </c>
      <c r="C143" s="5" t="s">
        <v>35</v>
      </c>
      <c r="D143" s="5" t="s">
        <v>14</v>
      </c>
      <c r="E143" s="5" t="s">
        <v>36</v>
      </c>
      <c r="F143" s="5" t="s">
        <v>37</v>
      </c>
      <c r="G143" s="5" t="s">
        <v>33</v>
      </c>
      <c r="H143" s="5">
        <v>73</v>
      </c>
      <c r="I143" s="7">
        <v>1064.79</v>
      </c>
      <c r="J143" s="6">
        <v>45688</v>
      </c>
      <c r="K143">
        <f t="shared" si="2"/>
        <v>77729.67</v>
      </c>
      <c r="L143" t="str">
        <f>INDEX(Raw_Shipments!L143:L2571,MATCH(A143,Raw_Shipments!B143:B2571))</f>
        <v>Yes</v>
      </c>
    </row>
    <row r="144" spans="1:12" x14ac:dyDescent="0.3">
      <c r="A144" s="2" t="s">
        <v>266</v>
      </c>
      <c r="B144" s="3">
        <v>45680</v>
      </c>
      <c r="C144" s="2" t="s">
        <v>113</v>
      </c>
      <c r="D144" s="2" t="s">
        <v>25</v>
      </c>
      <c r="E144" s="2" t="s">
        <v>40</v>
      </c>
      <c r="F144" s="2" t="s">
        <v>41</v>
      </c>
      <c r="G144" s="2" t="s">
        <v>42</v>
      </c>
      <c r="H144" s="2">
        <v>31</v>
      </c>
      <c r="I144" s="4">
        <v>2445.11</v>
      </c>
      <c r="J144" s="3">
        <v>45686</v>
      </c>
      <c r="K144">
        <f t="shared" si="2"/>
        <v>75798.41</v>
      </c>
      <c r="L144" t="str">
        <f>INDEX(Raw_Shipments!L144:L2572,MATCH(A144,Raw_Shipments!B144:B2572))</f>
        <v>No</v>
      </c>
    </row>
    <row r="145" spans="1:12" x14ac:dyDescent="0.3">
      <c r="A145" s="5" t="s">
        <v>267</v>
      </c>
      <c r="B145" s="6">
        <v>45681</v>
      </c>
      <c r="C145" s="5" t="s">
        <v>268</v>
      </c>
      <c r="D145" s="5" t="s">
        <v>25</v>
      </c>
      <c r="E145" s="5" t="s">
        <v>58</v>
      </c>
      <c r="F145" s="5" t="s">
        <v>59</v>
      </c>
      <c r="G145" s="5" t="s">
        <v>55</v>
      </c>
      <c r="H145" s="5">
        <v>10</v>
      </c>
      <c r="I145" s="7">
        <v>1695.1</v>
      </c>
      <c r="J145" s="6">
        <v>45686</v>
      </c>
      <c r="K145">
        <f t="shared" si="2"/>
        <v>16951</v>
      </c>
      <c r="L145" t="str">
        <f>INDEX(Raw_Shipments!L145:L2573,MATCH(A145,Raw_Shipments!B145:B2573))</f>
        <v>No</v>
      </c>
    </row>
    <row r="146" spans="1:12" x14ac:dyDescent="0.3">
      <c r="A146" s="2" t="s">
        <v>269</v>
      </c>
      <c r="B146" s="3">
        <v>45681</v>
      </c>
      <c r="C146" s="2" t="s">
        <v>262</v>
      </c>
      <c r="D146" s="2" t="s">
        <v>25</v>
      </c>
      <c r="E146" s="2" t="s">
        <v>66</v>
      </c>
      <c r="F146" s="2" t="s">
        <v>67</v>
      </c>
      <c r="G146" s="2" t="s">
        <v>17</v>
      </c>
      <c r="H146" s="2">
        <v>15</v>
      </c>
      <c r="I146" s="4">
        <v>850.8</v>
      </c>
      <c r="J146" s="3">
        <v>45689</v>
      </c>
      <c r="K146">
        <f t="shared" si="2"/>
        <v>12762</v>
      </c>
      <c r="L146" t="str">
        <f>INDEX(Raw_Shipments!L146:L2574,MATCH(A146,Raw_Shipments!B146:B2574))</f>
        <v>No</v>
      </c>
    </row>
    <row r="147" spans="1:12" x14ac:dyDescent="0.3">
      <c r="A147" s="5" t="s">
        <v>270</v>
      </c>
      <c r="B147" s="6">
        <v>45681</v>
      </c>
      <c r="C147" s="5" t="s">
        <v>141</v>
      </c>
      <c r="D147" s="5" t="s">
        <v>14</v>
      </c>
      <c r="E147" s="5" t="s">
        <v>97</v>
      </c>
      <c r="F147" s="5" t="s">
        <v>98</v>
      </c>
      <c r="G147" s="5" t="s">
        <v>17</v>
      </c>
      <c r="H147" s="5">
        <v>23</v>
      </c>
      <c r="I147" s="7">
        <v>1110.6500000000001</v>
      </c>
      <c r="J147" s="6">
        <v>45688</v>
      </c>
      <c r="K147">
        <f t="shared" si="2"/>
        <v>25544.95</v>
      </c>
      <c r="L147" t="str">
        <f>INDEX(Raw_Shipments!L147:L2575,MATCH(A147,Raw_Shipments!B147:B2575))</f>
        <v>Yes</v>
      </c>
    </row>
    <row r="148" spans="1:12" x14ac:dyDescent="0.3">
      <c r="A148" s="2" t="s">
        <v>271</v>
      </c>
      <c r="B148" s="3">
        <v>45681</v>
      </c>
      <c r="C148" s="2" t="s">
        <v>272</v>
      </c>
      <c r="D148" s="2" t="s">
        <v>25</v>
      </c>
      <c r="E148" s="2" t="s">
        <v>86</v>
      </c>
      <c r="F148" s="2" t="s">
        <v>87</v>
      </c>
      <c r="G148" s="2" t="s">
        <v>33</v>
      </c>
      <c r="H148" s="2">
        <v>4</v>
      </c>
      <c r="I148" s="4">
        <v>815.88</v>
      </c>
      <c r="J148" s="3">
        <v>45684</v>
      </c>
      <c r="K148">
        <f t="shared" si="2"/>
        <v>3263.52</v>
      </c>
      <c r="L148" t="str">
        <f>INDEX(Raw_Shipments!L148:L2576,MATCH(A148,Raw_Shipments!B148:B2576))</f>
        <v>No</v>
      </c>
    </row>
    <row r="149" spans="1:12" x14ac:dyDescent="0.3">
      <c r="A149" s="5" t="s">
        <v>273</v>
      </c>
      <c r="B149" s="6">
        <v>45681</v>
      </c>
      <c r="C149" s="5" t="s">
        <v>115</v>
      </c>
      <c r="D149" s="5" t="s">
        <v>30</v>
      </c>
      <c r="E149" s="5" t="s">
        <v>50</v>
      </c>
      <c r="F149" s="5" t="s">
        <v>51</v>
      </c>
      <c r="G149" s="5" t="s">
        <v>42</v>
      </c>
      <c r="H149" s="5">
        <v>8</v>
      </c>
      <c r="I149" s="7">
        <v>1952.28</v>
      </c>
      <c r="J149" s="6">
        <v>45691</v>
      </c>
      <c r="K149">
        <f t="shared" si="2"/>
        <v>15618.24</v>
      </c>
      <c r="L149" t="str">
        <f>INDEX(Raw_Shipments!L149:L2577,MATCH(A149,Raw_Shipments!B149:B2577))</f>
        <v>No</v>
      </c>
    </row>
    <row r="150" spans="1:12" x14ac:dyDescent="0.3">
      <c r="A150" s="2" t="s">
        <v>274</v>
      </c>
      <c r="B150" s="3">
        <v>45682</v>
      </c>
      <c r="C150" s="2" t="s">
        <v>268</v>
      </c>
      <c r="D150" s="2" t="s">
        <v>25</v>
      </c>
      <c r="E150" s="2" t="s">
        <v>66</v>
      </c>
      <c r="F150" s="2" t="s">
        <v>67</v>
      </c>
      <c r="G150" s="2" t="s">
        <v>17</v>
      </c>
      <c r="H150" s="2">
        <v>19</v>
      </c>
      <c r="I150" s="4">
        <v>850.8</v>
      </c>
      <c r="J150" s="3">
        <v>45686</v>
      </c>
      <c r="K150">
        <f t="shared" si="2"/>
        <v>16165.199999999999</v>
      </c>
      <c r="L150" t="str">
        <f>INDEX(Raw_Shipments!L150:L2578,MATCH(A150,Raw_Shipments!B150:B2578))</f>
        <v>No</v>
      </c>
    </row>
    <row r="151" spans="1:12" x14ac:dyDescent="0.3">
      <c r="A151" s="5" t="s">
        <v>275</v>
      </c>
      <c r="B151" s="6">
        <v>45682</v>
      </c>
      <c r="C151" s="5" t="s">
        <v>79</v>
      </c>
      <c r="D151" s="5" t="s">
        <v>30</v>
      </c>
      <c r="E151" s="5" t="s">
        <v>119</v>
      </c>
      <c r="F151" s="5" t="s">
        <v>120</v>
      </c>
      <c r="G151" s="5" t="s">
        <v>22</v>
      </c>
      <c r="H151" s="5">
        <v>49</v>
      </c>
      <c r="I151" s="7">
        <v>912.26</v>
      </c>
      <c r="J151" s="6">
        <v>45689</v>
      </c>
      <c r="K151">
        <f t="shared" si="2"/>
        <v>44700.74</v>
      </c>
      <c r="L151" t="str">
        <f>INDEX(Raw_Shipments!L151:L2579,MATCH(A151,Raw_Shipments!B151:B2579))</f>
        <v>No</v>
      </c>
    </row>
    <row r="152" spans="1:12" x14ac:dyDescent="0.3">
      <c r="A152" s="2" t="s">
        <v>276</v>
      </c>
      <c r="B152" s="3">
        <v>45682</v>
      </c>
      <c r="C152" s="2" t="s">
        <v>102</v>
      </c>
      <c r="D152" s="2" t="s">
        <v>30</v>
      </c>
      <c r="E152" s="2" t="s">
        <v>26</v>
      </c>
      <c r="F152" s="2" t="s">
        <v>27</v>
      </c>
      <c r="G152" s="2" t="s">
        <v>22</v>
      </c>
      <c r="H152" s="2">
        <v>15</v>
      </c>
      <c r="I152" s="4">
        <v>1646.8</v>
      </c>
      <c r="J152" s="3">
        <v>45688</v>
      </c>
      <c r="K152">
        <f t="shared" si="2"/>
        <v>24702</v>
      </c>
      <c r="L152" t="str">
        <f>INDEX(Raw_Shipments!L152:L2580,MATCH(A152,Raw_Shipments!B152:B2580))</f>
        <v>Yes</v>
      </c>
    </row>
    <row r="153" spans="1:12" x14ac:dyDescent="0.3">
      <c r="A153" s="5" t="s">
        <v>277</v>
      </c>
      <c r="B153" s="6">
        <v>45682</v>
      </c>
      <c r="C153" s="5" t="s">
        <v>115</v>
      </c>
      <c r="D153" s="5" t="s">
        <v>30</v>
      </c>
      <c r="E153" s="5" t="s">
        <v>36</v>
      </c>
      <c r="F153" s="5" t="s">
        <v>37</v>
      </c>
      <c r="G153" s="5" t="s">
        <v>33</v>
      </c>
      <c r="H153" s="5">
        <v>13</v>
      </c>
      <c r="I153" s="7">
        <v>1064.79</v>
      </c>
      <c r="J153" s="6">
        <v>45692</v>
      </c>
      <c r="K153">
        <f t="shared" si="2"/>
        <v>13842.27</v>
      </c>
      <c r="L153" t="str">
        <f>INDEX(Raw_Shipments!L153:L2581,MATCH(A153,Raw_Shipments!B153:B2581))</f>
        <v>Yes</v>
      </c>
    </row>
    <row r="154" spans="1:12" x14ac:dyDescent="0.3">
      <c r="A154" s="2" t="s">
        <v>278</v>
      </c>
      <c r="B154" s="3">
        <v>45682</v>
      </c>
      <c r="C154" s="2" t="s">
        <v>279</v>
      </c>
      <c r="D154" s="2" t="s">
        <v>30</v>
      </c>
      <c r="E154" s="2" t="s">
        <v>40</v>
      </c>
      <c r="F154" s="2" t="s">
        <v>41</v>
      </c>
      <c r="G154" s="2" t="s">
        <v>42</v>
      </c>
      <c r="H154" s="2">
        <v>23</v>
      </c>
      <c r="I154" s="4">
        <v>2445.11</v>
      </c>
      <c r="J154" s="3">
        <v>45687</v>
      </c>
      <c r="K154">
        <f t="shared" si="2"/>
        <v>56237.530000000006</v>
      </c>
      <c r="L154" t="str">
        <f>INDEX(Raw_Shipments!L154:L2582,MATCH(A154,Raw_Shipments!B154:B2582))</f>
        <v>No</v>
      </c>
    </row>
    <row r="155" spans="1:12" x14ac:dyDescent="0.3">
      <c r="A155" s="5" t="s">
        <v>280</v>
      </c>
      <c r="B155" s="6">
        <v>45682</v>
      </c>
      <c r="C155" s="5" t="s">
        <v>250</v>
      </c>
      <c r="D155" s="5" t="s">
        <v>30</v>
      </c>
      <c r="E155" s="5" t="s">
        <v>46</v>
      </c>
      <c r="F155" s="5" t="s">
        <v>47</v>
      </c>
      <c r="G155" s="5" t="s">
        <v>42</v>
      </c>
      <c r="H155" s="5">
        <v>8</v>
      </c>
      <c r="I155" s="7">
        <v>1833.14</v>
      </c>
      <c r="J155" s="6">
        <v>45686</v>
      </c>
      <c r="K155">
        <f t="shared" si="2"/>
        <v>14665.12</v>
      </c>
      <c r="L155" t="str">
        <f>INDEX(Raw_Shipments!L155:L2583,MATCH(A155,Raw_Shipments!B155:B2583))</f>
        <v>No</v>
      </c>
    </row>
    <row r="156" spans="1:12" x14ac:dyDescent="0.3">
      <c r="A156" s="2" t="s">
        <v>281</v>
      </c>
      <c r="B156" s="3">
        <v>45682</v>
      </c>
      <c r="C156" s="2" t="s">
        <v>282</v>
      </c>
      <c r="D156" s="2" t="s">
        <v>25</v>
      </c>
      <c r="E156" s="2" t="s">
        <v>50</v>
      </c>
      <c r="F156" s="2" t="s">
        <v>51</v>
      </c>
      <c r="G156" s="2" t="s">
        <v>42</v>
      </c>
      <c r="H156" s="2">
        <v>8</v>
      </c>
      <c r="I156" s="4">
        <v>1952.28</v>
      </c>
      <c r="J156" s="3">
        <v>45685</v>
      </c>
      <c r="K156">
        <f t="shared" si="2"/>
        <v>15618.24</v>
      </c>
      <c r="L156" t="str">
        <f>INDEX(Raw_Shipments!L156:L2584,MATCH(A156,Raw_Shipments!B156:B2584))</f>
        <v>No</v>
      </c>
    </row>
    <row r="157" spans="1:12" x14ac:dyDescent="0.3">
      <c r="A157" s="5" t="s">
        <v>283</v>
      </c>
      <c r="B157" s="6">
        <v>45683</v>
      </c>
      <c r="C157" s="5" t="s">
        <v>180</v>
      </c>
      <c r="D157" s="5" t="s">
        <v>45</v>
      </c>
      <c r="E157" s="5" t="s">
        <v>58</v>
      </c>
      <c r="F157" s="5" t="s">
        <v>59</v>
      </c>
      <c r="G157" s="5" t="s">
        <v>55</v>
      </c>
      <c r="H157" s="5">
        <v>6</v>
      </c>
      <c r="I157" s="7">
        <v>1695.1</v>
      </c>
      <c r="J157" s="6">
        <v>45692</v>
      </c>
      <c r="K157">
        <f t="shared" si="2"/>
        <v>10170.599999999999</v>
      </c>
      <c r="L157" t="str">
        <f>INDEX(Raw_Shipments!L157:L2585,MATCH(A157,Raw_Shipments!B157:B2585))</f>
        <v>No</v>
      </c>
    </row>
    <row r="158" spans="1:12" x14ac:dyDescent="0.3">
      <c r="A158" s="2" t="s">
        <v>284</v>
      </c>
      <c r="B158" s="3">
        <v>45683</v>
      </c>
      <c r="C158" s="2" t="s">
        <v>248</v>
      </c>
      <c r="D158" s="2" t="s">
        <v>45</v>
      </c>
      <c r="E158" s="2" t="s">
        <v>97</v>
      </c>
      <c r="F158" s="2" t="s">
        <v>98</v>
      </c>
      <c r="G158" s="2" t="s">
        <v>17</v>
      </c>
      <c r="H158" s="2">
        <v>21</v>
      </c>
      <c r="I158" s="4">
        <v>1110.6500000000001</v>
      </c>
      <c r="J158" s="3">
        <v>45693</v>
      </c>
      <c r="K158">
        <f t="shared" si="2"/>
        <v>23323.65</v>
      </c>
      <c r="L158" t="str">
        <f>INDEX(Raw_Shipments!L158:L2586,MATCH(A158,Raw_Shipments!B158:B2586))</f>
        <v>No</v>
      </c>
    </row>
    <row r="159" spans="1:12" x14ac:dyDescent="0.3">
      <c r="A159" s="5" t="s">
        <v>285</v>
      </c>
      <c r="B159" s="6">
        <v>45683</v>
      </c>
      <c r="C159" s="5" t="s">
        <v>100</v>
      </c>
      <c r="D159" s="5" t="s">
        <v>25</v>
      </c>
      <c r="E159" s="5" t="s">
        <v>15</v>
      </c>
      <c r="F159" s="5" t="s">
        <v>16</v>
      </c>
      <c r="G159" s="5" t="s">
        <v>17</v>
      </c>
      <c r="H159" s="5">
        <v>12</v>
      </c>
      <c r="I159" s="7">
        <v>183.06</v>
      </c>
      <c r="J159" s="6">
        <v>45691</v>
      </c>
      <c r="K159">
        <f t="shared" si="2"/>
        <v>2196.7200000000003</v>
      </c>
      <c r="L159" t="str">
        <f>INDEX(Raw_Shipments!L159:L2587,MATCH(A159,Raw_Shipments!B159:B2587))</f>
        <v>No</v>
      </c>
    </row>
    <row r="160" spans="1:12" x14ac:dyDescent="0.3">
      <c r="A160" s="2" t="s">
        <v>286</v>
      </c>
      <c r="B160" s="3">
        <v>45683</v>
      </c>
      <c r="C160" s="2" t="s">
        <v>154</v>
      </c>
      <c r="D160" s="2" t="s">
        <v>14</v>
      </c>
      <c r="E160" s="2" t="s">
        <v>46</v>
      </c>
      <c r="F160" s="2" t="s">
        <v>47</v>
      </c>
      <c r="G160" s="2" t="s">
        <v>42</v>
      </c>
      <c r="H160" s="2">
        <v>10</v>
      </c>
      <c r="I160" s="4">
        <v>1833.14</v>
      </c>
      <c r="J160" s="3">
        <v>45690</v>
      </c>
      <c r="K160">
        <f t="shared" si="2"/>
        <v>18331.400000000001</v>
      </c>
      <c r="L160" t="str">
        <f>INDEX(Raw_Shipments!L160:L2588,MATCH(A160,Raw_Shipments!B160:B2588))</f>
        <v>No</v>
      </c>
    </row>
    <row r="161" spans="1:12" x14ac:dyDescent="0.3">
      <c r="A161" s="5" t="s">
        <v>287</v>
      </c>
      <c r="B161" s="6">
        <v>45683</v>
      </c>
      <c r="C161" s="5" t="s">
        <v>232</v>
      </c>
      <c r="D161" s="5" t="s">
        <v>25</v>
      </c>
      <c r="E161" s="5" t="s">
        <v>50</v>
      </c>
      <c r="F161" s="5" t="s">
        <v>51</v>
      </c>
      <c r="G161" s="5" t="s">
        <v>42</v>
      </c>
      <c r="H161" s="5">
        <v>6</v>
      </c>
      <c r="I161" s="7">
        <v>1952.28</v>
      </c>
      <c r="J161" s="6">
        <v>45690</v>
      </c>
      <c r="K161">
        <f t="shared" si="2"/>
        <v>11713.68</v>
      </c>
      <c r="L161" t="str">
        <f>INDEX(Raw_Shipments!L161:L2589,MATCH(A161,Raw_Shipments!B161:B2589))</f>
        <v>No</v>
      </c>
    </row>
    <row r="162" spans="1:12" x14ac:dyDescent="0.3">
      <c r="A162" s="2" t="s">
        <v>288</v>
      </c>
      <c r="B162" s="3">
        <v>45684</v>
      </c>
      <c r="C162" s="2" t="s">
        <v>222</v>
      </c>
      <c r="D162" s="2" t="s">
        <v>14</v>
      </c>
      <c r="E162" s="2" t="s">
        <v>53</v>
      </c>
      <c r="F162" s="2" t="s">
        <v>54</v>
      </c>
      <c r="G162" s="2" t="s">
        <v>55</v>
      </c>
      <c r="H162" s="2">
        <v>43</v>
      </c>
      <c r="I162" s="4">
        <v>2055.9</v>
      </c>
      <c r="J162" s="3">
        <v>45693</v>
      </c>
      <c r="K162">
        <f t="shared" si="2"/>
        <v>88403.7</v>
      </c>
      <c r="L162" t="str">
        <f>INDEX(Raw_Shipments!L162:L2590,MATCH(A162,Raw_Shipments!B162:B2590))</f>
        <v>Yes</v>
      </c>
    </row>
    <row r="163" spans="1:12" x14ac:dyDescent="0.3">
      <c r="A163" s="5" t="s">
        <v>289</v>
      </c>
      <c r="B163" s="6">
        <v>45684</v>
      </c>
      <c r="C163" s="5" t="s">
        <v>111</v>
      </c>
      <c r="D163" s="5" t="s">
        <v>30</v>
      </c>
      <c r="E163" s="5" t="s">
        <v>66</v>
      </c>
      <c r="F163" s="5" t="s">
        <v>67</v>
      </c>
      <c r="G163" s="5" t="s">
        <v>17</v>
      </c>
      <c r="H163" s="5">
        <v>9</v>
      </c>
      <c r="I163" s="7">
        <v>850.8</v>
      </c>
      <c r="J163" s="6">
        <v>45690</v>
      </c>
      <c r="K163">
        <f t="shared" si="2"/>
        <v>7657.2</v>
      </c>
      <c r="L163" t="str">
        <f>INDEX(Raw_Shipments!L163:L2591,MATCH(A163,Raw_Shipments!B163:B2591))</f>
        <v>No</v>
      </c>
    </row>
    <row r="164" spans="1:12" x14ac:dyDescent="0.3">
      <c r="A164" s="2" t="s">
        <v>290</v>
      </c>
      <c r="B164" s="3">
        <v>45684</v>
      </c>
      <c r="C164" s="2" t="s">
        <v>141</v>
      </c>
      <c r="D164" s="2" t="s">
        <v>14</v>
      </c>
      <c r="E164" s="2" t="s">
        <v>15</v>
      </c>
      <c r="F164" s="2" t="s">
        <v>16</v>
      </c>
      <c r="G164" s="2" t="s">
        <v>17</v>
      </c>
      <c r="H164" s="2">
        <v>12</v>
      </c>
      <c r="I164" s="4">
        <v>183.06</v>
      </c>
      <c r="J164" s="3">
        <v>45688</v>
      </c>
      <c r="K164">
        <f t="shared" si="2"/>
        <v>2196.7200000000003</v>
      </c>
      <c r="L164" t="str">
        <f>INDEX(Raw_Shipments!L164:L2592,MATCH(A164,Raw_Shipments!B164:B2592))</f>
        <v>No</v>
      </c>
    </row>
    <row r="165" spans="1:12" x14ac:dyDescent="0.3">
      <c r="A165" s="5" t="s">
        <v>291</v>
      </c>
      <c r="B165" s="6">
        <v>45684</v>
      </c>
      <c r="C165" s="5" t="s">
        <v>44</v>
      </c>
      <c r="D165" s="5" t="s">
        <v>45</v>
      </c>
      <c r="E165" s="5" t="s">
        <v>20</v>
      </c>
      <c r="F165" s="5" t="s">
        <v>21</v>
      </c>
      <c r="G165" s="5" t="s">
        <v>22</v>
      </c>
      <c r="H165" s="5">
        <v>17</v>
      </c>
      <c r="I165" s="7">
        <v>2108.56</v>
      </c>
      <c r="J165" s="6">
        <v>45687</v>
      </c>
      <c r="K165">
        <f t="shared" si="2"/>
        <v>35845.519999999997</v>
      </c>
      <c r="L165" t="str">
        <f>INDEX(Raw_Shipments!L165:L2593,MATCH(A165,Raw_Shipments!B165:B2593))</f>
        <v>No</v>
      </c>
    </row>
    <row r="166" spans="1:12" x14ac:dyDescent="0.3">
      <c r="A166" s="2" t="s">
        <v>292</v>
      </c>
      <c r="B166" s="3">
        <v>45684</v>
      </c>
      <c r="C166" s="2" t="s">
        <v>260</v>
      </c>
      <c r="D166" s="2" t="s">
        <v>25</v>
      </c>
      <c r="E166" s="2" t="s">
        <v>119</v>
      </c>
      <c r="F166" s="2" t="s">
        <v>120</v>
      </c>
      <c r="G166" s="2" t="s">
        <v>22</v>
      </c>
      <c r="H166" s="2">
        <v>31</v>
      </c>
      <c r="I166" s="4">
        <v>912.26</v>
      </c>
      <c r="J166" s="3">
        <v>45694</v>
      </c>
      <c r="K166">
        <f t="shared" si="2"/>
        <v>28280.06</v>
      </c>
      <c r="L166" t="str">
        <f>INDEX(Raw_Shipments!L166:L2594,MATCH(A166,Raw_Shipments!B166:B2594))</f>
        <v>No</v>
      </c>
    </row>
    <row r="167" spans="1:12" x14ac:dyDescent="0.3">
      <c r="A167" s="5" t="s">
        <v>293</v>
      </c>
      <c r="B167" s="6">
        <v>45684</v>
      </c>
      <c r="C167" s="5" t="s">
        <v>208</v>
      </c>
      <c r="D167" s="5" t="s">
        <v>30</v>
      </c>
      <c r="E167" s="5" t="s">
        <v>26</v>
      </c>
      <c r="F167" s="5" t="s">
        <v>27</v>
      </c>
      <c r="G167" s="5" t="s">
        <v>22</v>
      </c>
      <c r="H167" s="5">
        <v>13</v>
      </c>
      <c r="I167" s="7">
        <v>1646.8</v>
      </c>
      <c r="J167" s="6">
        <v>45688</v>
      </c>
      <c r="K167">
        <f t="shared" si="2"/>
        <v>21408.399999999998</v>
      </c>
      <c r="L167" t="str">
        <f>INDEX(Raw_Shipments!L167:L2595,MATCH(A167,Raw_Shipments!B167:B2595))</f>
        <v>Yes</v>
      </c>
    </row>
    <row r="168" spans="1:12" x14ac:dyDescent="0.3">
      <c r="A168" s="2" t="s">
        <v>294</v>
      </c>
      <c r="B168" s="3">
        <v>45684</v>
      </c>
      <c r="C168" s="2" t="s">
        <v>104</v>
      </c>
      <c r="D168" s="2" t="s">
        <v>14</v>
      </c>
      <c r="E168" s="2" t="s">
        <v>31</v>
      </c>
      <c r="F168" s="2" t="s">
        <v>32</v>
      </c>
      <c r="G168" s="2" t="s">
        <v>33</v>
      </c>
      <c r="H168" s="2">
        <v>30</v>
      </c>
      <c r="I168" s="4">
        <v>689</v>
      </c>
      <c r="J168" s="3">
        <v>45691</v>
      </c>
      <c r="K168">
        <f t="shared" si="2"/>
        <v>20670</v>
      </c>
      <c r="L168" t="str">
        <f>INDEX(Raw_Shipments!L168:L2596,MATCH(A168,Raw_Shipments!B168:B2596))</f>
        <v>Yes</v>
      </c>
    </row>
    <row r="169" spans="1:12" x14ac:dyDescent="0.3">
      <c r="A169" s="5" t="s">
        <v>295</v>
      </c>
      <c r="B169" s="6">
        <v>45684</v>
      </c>
      <c r="C169" s="5" t="s">
        <v>125</v>
      </c>
      <c r="D169" s="5" t="s">
        <v>14</v>
      </c>
      <c r="E169" s="5" t="s">
        <v>36</v>
      </c>
      <c r="F169" s="5" t="s">
        <v>37</v>
      </c>
      <c r="G169" s="5" t="s">
        <v>33</v>
      </c>
      <c r="H169" s="5">
        <v>22</v>
      </c>
      <c r="I169" s="7">
        <v>1064.79</v>
      </c>
      <c r="J169" s="6">
        <v>45687</v>
      </c>
      <c r="K169">
        <f t="shared" si="2"/>
        <v>23425.379999999997</v>
      </c>
      <c r="L169" t="str">
        <f>INDEX(Raw_Shipments!L169:L2597,MATCH(A169,Raw_Shipments!B169:B2597))</f>
        <v>No</v>
      </c>
    </row>
    <row r="170" spans="1:12" x14ac:dyDescent="0.3">
      <c r="A170" s="2" t="s">
        <v>296</v>
      </c>
      <c r="B170" s="3">
        <v>45684</v>
      </c>
      <c r="C170" s="2" t="s">
        <v>238</v>
      </c>
      <c r="D170" s="2" t="s">
        <v>25</v>
      </c>
      <c r="E170" s="2" t="s">
        <v>86</v>
      </c>
      <c r="F170" s="2" t="s">
        <v>87</v>
      </c>
      <c r="G170" s="2" t="s">
        <v>33</v>
      </c>
      <c r="H170" s="2">
        <v>27</v>
      </c>
      <c r="I170" s="4">
        <v>815.88</v>
      </c>
      <c r="J170" s="3">
        <v>45691</v>
      </c>
      <c r="K170">
        <f t="shared" si="2"/>
        <v>22028.76</v>
      </c>
      <c r="L170" t="str">
        <f>INDEX(Raw_Shipments!L170:L2598,MATCH(A170,Raw_Shipments!B170:B2598))</f>
        <v>No</v>
      </c>
    </row>
    <row r="171" spans="1:12" x14ac:dyDescent="0.3">
      <c r="A171" s="5" t="s">
        <v>297</v>
      </c>
      <c r="B171" s="6">
        <v>45684</v>
      </c>
      <c r="C171" s="5" t="s">
        <v>89</v>
      </c>
      <c r="D171" s="5" t="s">
        <v>30</v>
      </c>
      <c r="E171" s="5" t="s">
        <v>40</v>
      </c>
      <c r="F171" s="5" t="s">
        <v>41</v>
      </c>
      <c r="G171" s="5" t="s">
        <v>42</v>
      </c>
      <c r="H171" s="5">
        <v>30</v>
      </c>
      <c r="I171" s="7">
        <v>2445.11</v>
      </c>
      <c r="J171" s="6">
        <v>45694</v>
      </c>
      <c r="K171">
        <f t="shared" si="2"/>
        <v>73353.3</v>
      </c>
      <c r="L171" t="str">
        <f>INDEX(Raw_Shipments!L171:L2599,MATCH(A171,Raw_Shipments!B171:B2599))</f>
        <v>No</v>
      </c>
    </row>
    <row r="172" spans="1:12" x14ac:dyDescent="0.3">
      <c r="A172" s="2" t="s">
        <v>298</v>
      </c>
      <c r="B172" s="3">
        <v>45684</v>
      </c>
      <c r="C172" s="2" t="s">
        <v>81</v>
      </c>
      <c r="D172" s="2" t="s">
        <v>30</v>
      </c>
      <c r="E172" s="2" t="s">
        <v>46</v>
      </c>
      <c r="F172" s="2" t="s">
        <v>47</v>
      </c>
      <c r="G172" s="2" t="s">
        <v>42</v>
      </c>
      <c r="H172" s="2">
        <v>4</v>
      </c>
      <c r="I172" s="4">
        <v>1833.14</v>
      </c>
      <c r="J172" s="3">
        <v>45692</v>
      </c>
      <c r="K172">
        <f t="shared" si="2"/>
        <v>7332.56</v>
      </c>
      <c r="L172" t="str">
        <f>INDEX(Raw_Shipments!L172:L2600,MATCH(A172,Raw_Shipments!B172:B2600))</f>
        <v>No</v>
      </c>
    </row>
    <row r="173" spans="1:12" x14ac:dyDescent="0.3">
      <c r="A173" s="5" t="s">
        <v>299</v>
      </c>
      <c r="B173" s="6">
        <v>45685</v>
      </c>
      <c r="C173" s="5" t="s">
        <v>79</v>
      </c>
      <c r="D173" s="5" t="s">
        <v>45</v>
      </c>
      <c r="E173" s="5" t="s">
        <v>53</v>
      </c>
      <c r="F173" s="5" t="s">
        <v>54</v>
      </c>
      <c r="G173" s="5" t="s">
        <v>55</v>
      </c>
      <c r="H173" s="5">
        <v>45</v>
      </c>
      <c r="I173" s="7">
        <v>2055.9</v>
      </c>
      <c r="J173" s="6">
        <v>45688</v>
      </c>
      <c r="K173">
        <f t="shared" si="2"/>
        <v>92515.5</v>
      </c>
      <c r="L173" t="str">
        <f>INDEX(Raw_Shipments!L173:L2601,MATCH(A173,Raw_Shipments!B173:B2601))</f>
        <v>No</v>
      </c>
    </row>
    <row r="174" spans="1:12" x14ac:dyDescent="0.3">
      <c r="A174" s="2" t="s">
        <v>300</v>
      </c>
      <c r="B174" s="3">
        <v>45685</v>
      </c>
      <c r="C174" s="2" t="s">
        <v>240</v>
      </c>
      <c r="D174" s="2" t="s">
        <v>30</v>
      </c>
      <c r="E174" s="2" t="s">
        <v>15</v>
      </c>
      <c r="F174" s="2" t="s">
        <v>16</v>
      </c>
      <c r="G174" s="2" t="s">
        <v>17</v>
      </c>
      <c r="H174" s="2">
        <v>14</v>
      </c>
      <c r="I174" s="4">
        <v>183.06</v>
      </c>
      <c r="J174" s="3">
        <v>45693</v>
      </c>
      <c r="K174">
        <f t="shared" si="2"/>
        <v>2562.84</v>
      </c>
      <c r="L174" t="str">
        <f>INDEX(Raw_Shipments!L174:L2602,MATCH(A174,Raw_Shipments!B174:B2602))</f>
        <v>Yes</v>
      </c>
    </row>
    <row r="175" spans="1:12" x14ac:dyDescent="0.3">
      <c r="A175" s="5" t="s">
        <v>301</v>
      </c>
      <c r="B175" s="6">
        <v>45685</v>
      </c>
      <c r="C175" s="5" t="s">
        <v>35</v>
      </c>
      <c r="D175" s="5" t="s">
        <v>30</v>
      </c>
      <c r="E175" s="5" t="s">
        <v>26</v>
      </c>
      <c r="F175" s="5" t="s">
        <v>27</v>
      </c>
      <c r="G175" s="5" t="s">
        <v>22</v>
      </c>
      <c r="H175" s="5">
        <v>20</v>
      </c>
      <c r="I175" s="7">
        <v>1646.8</v>
      </c>
      <c r="J175" s="6">
        <v>45689</v>
      </c>
      <c r="K175">
        <f t="shared" si="2"/>
        <v>32936</v>
      </c>
      <c r="L175" t="str">
        <f>INDEX(Raw_Shipments!L175:L2603,MATCH(A175,Raw_Shipments!B175:B2603))</f>
        <v>No</v>
      </c>
    </row>
    <row r="176" spans="1:12" x14ac:dyDescent="0.3">
      <c r="A176" s="2" t="s">
        <v>302</v>
      </c>
      <c r="B176" s="3">
        <v>45685</v>
      </c>
      <c r="C176" s="2" t="s">
        <v>139</v>
      </c>
      <c r="D176" s="2" t="s">
        <v>14</v>
      </c>
      <c r="E176" s="2" t="s">
        <v>86</v>
      </c>
      <c r="F176" s="2" t="s">
        <v>87</v>
      </c>
      <c r="G176" s="2" t="s">
        <v>33</v>
      </c>
      <c r="H176" s="2">
        <v>23</v>
      </c>
      <c r="I176" s="4">
        <v>815.88</v>
      </c>
      <c r="J176" s="3">
        <v>45693</v>
      </c>
      <c r="K176">
        <f t="shared" si="2"/>
        <v>18765.240000000002</v>
      </c>
      <c r="L176" t="str">
        <f>INDEX(Raw_Shipments!L176:L2604,MATCH(A176,Raw_Shipments!B176:B2604))</f>
        <v>No</v>
      </c>
    </row>
    <row r="177" spans="1:12" x14ac:dyDescent="0.3">
      <c r="A177" s="5" t="s">
        <v>303</v>
      </c>
      <c r="B177" s="6">
        <v>45685</v>
      </c>
      <c r="C177" s="5" t="s">
        <v>304</v>
      </c>
      <c r="D177" s="5" t="s">
        <v>14</v>
      </c>
      <c r="E177" s="5" t="s">
        <v>40</v>
      </c>
      <c r="F177" s="5" t="s">
        <v>41</v>
      </c>
      <c r="G177" s="5" t="s">
        <v>42</v>
      </c>
      <c r="H177" s="5">
        <v>33</v>
      </c>
      <c r="I177" s="7">
        <v>2445.11</v>
      </c>
      <c r="J177" s="6">
        <v>45689</v>
      </c>
      <c r="K177">
        <f t="shared" si="2"/>
        <v>80688.63</v>
      </c>
      <c r="L177" t="str">
        <f>INDEX(Raw_Shipments!L177:L2605,MATCH(A177,Raw_Shipments!B177:B2605))</f>
        <v>No</v>
      </c>
    </row>
    <row r="178" spans="1:12" x14ac:dyDescent="0.3">
      <c r="A178" s="2" t="s">
        <v>305</v>
      </c>
      <c r="B178" s="3">
        <v>45685</v>
      </c>
      <c r="C178" s="2" t="s">
        <v>262</v>
      </c>
      <c r="D178" s="2" t="s">
        <v>45</v>
      </c>
      <c r="E178" s="2" t="s">
        <v>50</v>
      </c>
      <c r="F178" s="2" t="s">
        <v>51</v>
      </c>
      <c r="G178" s="2" t="s">
        <v>42</v>
      </c>
      <c r="H178" s="2">
        <v>8</v>
      </c>
      <c r="I178" s="4">
        <v>1952.28</v>
      </c>
      <c r="J178" s="3">
        <v>45690</v>
      </c>
      <c r="K178">
        <f t="shared" si="2"/>
        <v>15618.24</v>
      </c>
      <c r="L178" t="str">
        <f>INDEX(Raw_Shipments!L178:L2606,MATCH(A178,Raw_Shipments!B178:B2606))</f>
        <v>No</v>
      </c>
    </row>
    <row r="179" spans="1:12" x14ac:dyDescent="0.3">
      <c r="A179" s="5" t="s">
        <v>306</v>
      </c>
      <c r="B179" s="6">
        <v>45686</v>
      </c>
      <c r="C179" s="5" t="s">
        <v>107</v>
      </c>
      <c r="D179" s="5" t="s">
        <v>14</v>
      </c>
      <c r="E179" s="5" t="s">
        <v>53</v>
      </c>
      <c r="F179" s="5" t="s">
        <v>54</v>
      </c>
      <c r="G179" s="5" t="s">
        <v>55</v>
      </c>
      <c r="H179" s="5">
        <v>12</v>
      </c>
      <c r="I179" s="7">
        <v>2055.9</v>
      </c>
      <c r="J179" s="6">
        <v>45692</v>
      </c>
      <c r="K179">
        <f t="shared" si="2"/>
        <v>24670.800000000003</v>
      </c>
      <c r="L179" t="str">
        <f>INDEX(Raw_Shipments!L179:L2607,MATCH(A179,Raw_Shipments!B179:B2607))</f>
        <v>No</v>
      </c>
    </row>
    <row r="180" spans="1:12" x14ac:dyDescent="0.3">
      <c r="A180" s="2" t="s">
        <v>307</v>
      </c>
      <c r="B180" s="3">
        <v>45686</v>
      </c>
      <c r="C180" s="2" t="s">
        <v>279</v>
      </c>
      <c r="D180" s="2" t="s">
        <v>25</v>
      </c>
      <c r="E180" s="2" t="s">
        <v>66</v>
      </c>
      <c r="F180" s="2" t="s">
        <v>67</v>
      </c>
      <c r="G180" s="2" t="s">
        <v>17</v>
      </c>
      <c r="H180" s="2">
        <v>14</v>
      </c>
      <c r="I180" s="4">
        <v>850.8</v>
      </c>
      <c r="J180" s="3">
        <v>45696</v>
      </c>
      <c r="K180">
        <f t="shared" si="2"/>
        <v>11911.199999999999</v>
      </c>
      <c r="L180" t="str">
        <f>INDEX(Raw_Shipments!L180:L2608,MATCH(A180,Raw_Shipments!B180:B2608))</f>
        <v>No</v>
      </c>
    </row>
    <row r="181" spans="1:12" x14ac:dyDescent="0.3">
      <c r="A181" s="5" t="s">
        <v>308</v>
      </c>
      <c r="B181" s="6">
        <v>45686</v>
      </c>
      <c r="C181" s="5" t="s">
        <v>220</v>
      </c>
      <c r="D181" s="5" t="s">
        <v>30</v>
      </c>
      <c r="E181" s="5" t="s">
        <v>20</v>
      </c>
      <c r="F181" s="5" t="s">
        <v>21</v>
      </c>
      <c r="G181" s="5" t="s">
        <v>22</v>
      </c>
      <c r="H181" s="5">
        <v>8</v>
      </c>
      <c r="I181" s="7">
        <v>2108.56</v>
      </c>
      <c r="J181" s="6">
        <v>45690</v>
      </c>
      <c r="K181">
        <f t="shared" si="2"/>
        <v>16868.48</v>
      </c>
      <c r="L181" t="str">
        <f>INDEX(Raw_Shipments!L181:L2609,MATCH(A181,Raw_Shipments!B181:B2609))</f>
        <v>No</v>
      </c>
    </row>
    <row r="182" spans="1:12" x14ac:dyDescent="0.3">
      <c r="A182" s="2" t="s">
        <v>309</v>
      </c>
      <c r="B182" s="3">
        <v>45686</v>
      </c>
      <c r="C182" s="2" t="s">
        <v>71</v>
      </c>
      <c r="D182" s="2" t="s">
        <v>25</v>
      </c>
      <c r="E182" s="2" t="s">
        <v>36</v>
      </c>
      <c r="F182" s="2" t="s">
        <v>37</v>
      </c>
      <c r="G182" s="2" t="s">
        <v>33</v>
      </c>
      <c r="H182" s="2">
        <v>52</v>
      </c>
      <c r="I182" s="4">
        <v>1064.79</v>
      </c>
      <c r="J182" s="3">
        <v>45689</v>
      </c>
      <c r="K182">
        <f t="shared" si="2"/>
        <v>55369.08</v>
      </c>
      <c r="L182" t="str">
        <f>INDEX(Raw_Shipments!L182:L2610,MATCH(A182,Raw_Shipments!B182:B2610))</f>
        <v>No</v>
      </c>
    </row>
    <row r="183" spans="1:12" x14ac:dyDescent="0.3">
      <c r="A183" s="5" t="s">
        <v>310</v>
      </c>
      <c r="B183" s="6">
        <v>45686</v>
      </c>
      <c r="C183" s="5" t="s">
        <v>85</v>
      </c>
      <c r="D183" s="5" t="s">
        <v>30</v>
      </c>
      <c r="E183" s="5" t="s">
        <v>40</v>
      </c>
      <c r="F183" s="5" t="s">
        <v>41</v>
      </c>
      <c r="G183" s="5" t="s">
        <v>42</v>
      </c>
      <c r="H183" s="5">
        <v>30</v>
      </c>
      <c r="I183" s="7">
        <v>2445.11</v>
      </c>
      <c r="J183" s="6">
        <v>45690</v>
      </c>
      <c r="K183">
        <f t="shared" si="2"/>
        <v>73353.3</v>
      </c>
      <c r="L183" t="str">
        <f>INDEX(Raw_Shipments!L183:L2611,MATCH(A183,Raw_Shipments!B183:B2611))</f>
        <v>No</v>
      </c>
    </row>
    <row r="184" spans="1:12" x14ac:dyDescent="0.3">
      <c r="A184" s="2" t="s">
        <v>311</v>
      </c>
      <c r="B184" s="3">
        <v>45687</v>
      </c>
      <c r="C184" s="2" t="s">
        <v>312</v>
      </c>
      <c r="D184" s="2" t="s">
        <v>30</v>
      </c>
      <c r="E184" s="2" t="s">
        <v>62</v>
      </c>
      <c r="F184" s="2" t="s">
        <v>63</v>
      </c>
      <c r="G184" s="2" t="s">
        <v>55</v>
      </c>
      <c r="H184" s="2">
        <v>42</v>
      </c>
      <c r="I184" s="4">
        <v>2555.2199999999998</v>
      </c>
      <c r="J184" s="3">
        <v>45695</v>
      </c>
      <c r="K184">
        <f t="shared" si="2"/>
        <v>107319.23999999999</v>
      </c>
      <c r="L184" t="str">
        <f>INDEX(Raw_Shipments!L184:L2612,MATCH(A184,Raw_Shipments!B184:B2612))</f>
        <v>No</v>
      </c>
    </row>
    <row r="185" spans="1:12" x14ac:dyDescent="0.3">
      <c r="A185" s="5" t="s">
        <v>313</v>
      </c>
      <c r="B185" s="6">
        <v>45687</v>
      </c>
      <c r="C185" s="5" t="s">
        <v>104</v>
      </c>
      <c r="D185" s="5" t="s">
        <v>14</v>
      </c>
      <c r="E185" s="5" t="s">
        <v>31</v>
      </c>
      <c r="F185" s="5" t="s">
        <v>32</v>
      </c>
      <c r="G185" s="5" t="s">
        <v>33</v>
      </c>
      <c r="H185" s="5">
        <v>20</v>
      </c>
      <c r="I185" s="7">
        <v>689</v>
      </c>
      <c r="J185" s="6">
        <v>45692</v>
      </c>
      <c r="K185">
        <f t="shared" si="2"/>
        <v>13780</v>
      </c>
      <c r="L185" t="str">
        <f>INDEX(Raw_Shipments!L185:L2613,MATCH(A185,Raw_Shipments!B185:B2613))</f>
        <v>No</v>
      </c>
    </row>
    <row r="186" spans="1:12" x14ac:dyDescent="0.3">
      <c r="A186" s="2" t="s">
        <v>314</v>
      </c>
      <c r="B186" s="3">
        <v>45687</v>
      </c>
      <c r="C186" s="2" t="s">
        <v>44</v>
      </c>
      <c r="D186" s="2" t="s">
        <v>45</v>
      </c>
      <c r="E186" s="2" t="s">
        <v>50</v>
      </c>
      <c r="F186" s="2" t="s">
        <v>51</v>
      </c>
      <c r="G186" s="2" t="s">
        <v>42</v>
      </c>
      <c r="H186" s="2">
        <v>11</v>
      </c>
      <c r="I186" s="4">
        <v>1952.28</v>
      </c>
      <c r="J186" s="3">
        <v>45695</v>
      </c>
      <c r="K186">
        <f t="shared" si="2"/>
        <v>21475.079999999998</v>
      </c>
      <c r="L186" t="str">
        <f>INDEX(Raw_Shipments!L186:L2614,MATCH(A186,Raw_Shipments!B186:B2614))</f>
        <v>No</v>
      </c>
    </row>
    <row r="187" spans="1:12" x14ac:dyDescent="0.3">
      <c r="A187" s="5" t="s">
        <v>315</v>
      </c>
      <c r="B187" s="6">
        <v>45688</v>
      </c>
      <c r="C187" s="5" t="s">
        <v>178</v>
      </c>
      <c r="D187" s="5" t="s">
        <v>30</v>
      </c>
      <c r="E187" s="5" t="s">
        <v>62</v>
      </c>
      <c r="F187" s="5" t="s">
        <v>63</v>
      </c>
      <c r="G187" s="5" t="s">
        <v>55</v>
      </c>
      <c r="H187" s="5">
        <v>29</v>
      </c>
      <c r="I187" s="7">
        <v>2555.2199999999998</v>
      </c>
      <c r="J187" s="6">
        <v>45692</v>
      </c>
      <c r="K187">
        <f t="shared" si="2"/>
        <v>74101.37999999999</v>
      </c>
      <c r="L187" t="str">
        <f>INDEX(Raw_Shipments!L187:L2615,MATCH(A187,Raw_Shipments!B187:B2615))</f>
        <v>No</v>
      </c>
    </row>
    <row r="188" spans="1:12" x14ac:dyDescent="0.3">
      <c r="A188" s="2" t="s">
        <v>316</v>
      </c>
      <c r="B188" s="3">
        <v>45688</v>
      </c>
      <c r="C188" s="2" t="s">
        <v>146</v>
      </c>
      <c r="D188" s="2" t="s">
        <v>45</v>
      </c>
      <c r="E188" s="2" t="s">
        <v>66</v>
      </c>
      <c r="F188" s="2" t="s">
        <v>67</v>
      </c>
      <c r="G188" s="2" t="s">
        <v>17</v>
      </c>
      <c r="H188" s="2">
        <v>12</v>
      </c>
      <c r="I188" s="4">
        <v>850.8</v>
      </c>
      <c r="J188" s="3">
        <v>45693</v>
      </c>
      <c r="K188">
        <f t="shared" si="2"/>
        <v>10209.599999999999</v>
      </c>
      <c r="L188" t="str">
        <f>INDEX(Raw_Shipments!L188:L2616,MATCH(A188,Raw_Shipments!B188:B2616))</f>
        <v>No</v>
      </c>
    </row>
    <row r="189" spans="1:12" x14ac:dyDescent="0.3">
      <c r="A189" s="5" t="s">
        <v>317</v>
      </c>
      <c r="B189" s="6">
        <v>45688</v>
      </c>
      <c r="C189" s="5" t="s">
        <v>318</v>
      </c>
      <c r="D189" s="5" t="s">
        <v>30</v>
      </c>
      <c r="E189" s="5" t="s">
        <v>15</v>
      </c>
      <c r="F189" s="5" t="s">
        <v>16</v>
      </c>
      <c r="G189" s="5" t="s">
        <v>17</v>
      </c>
      <c r="H189" s="5">
        <v>7</v>
      </c>
      <c r="I189" s="7">
        <v>183.06</v>
      </c>
      <c r="J189" s="6">
        <v>45696</v>
      </c>
      <c r="K189">
        <f t="shared" si="2"/>
        <v>1281.42</v>
      </c>
      <c r="L189" t="str">
        <f>INDEX(Raw_Shipments!L189:L2617,MATCH(A189,Raw_Shipments!B189:B2617))</f>
        <v>Yes</v>
      </c>
    </row>
    <row r="190" spans="1:12" x14ac:dyDescent="0.3">
      <c r="A190" s="2" t="s">
        <v>319</v>
      </c>
      <c r="B190" s="3">
        <v>45688</v>
      </c>
      <c r="C190" s="2" t="s">
        <v>117</v>
      </c>
      <c r="D190" s="2" t="s">
        <v>25</v>
      </c>
      <c r="E190" s="2" t="s">
        <v>20</v>
      </c>
      <c r="F190" s="2" t="s">
        <v>21</v>
      </c>
      <c r="G190" s="2" t="s">
        <v>22</v>
      </c>
      <c r="H190" s="2">
        <v>13</v>
      </c>
      <c r="I190" s="4">
        <v>2108.56</v>
      </c>
      <c r="J190" s="3">
        <v>45697</v>
      </c>
      <c r="K190">
        <f t="shared" si="2"/>
        <v>27411.279999999999</v>
      </c>
      <c r="L190" t="str">
        <f>INDEX(Raw_Shipments!L190:L2618,MATCH(A190,Raw_Shipments!B190:B2618))</f>
        <v>No</v>
      </c>
    </row>
    <row r="191" spans="1:12" x14ac:dyDescent="0.3">
      <c r="A191" s="5" t="s">
        <v>320</v>
      </c>
      <c r="B191" s="6">
        <v>45688</v>
      </c>
      <c r="C191" s="5" t="s">
        <v>19</v>
      </c>
      <c r="D191" s="5" t="s">
        <v>25</v>
      </c>
      <c r="E191" s="5" t="s">
        <v>50</v>
      </c>
      <c r="F191" s="5" t="s">
        <v>51</v>
      </c>
      <c r="G191" s="5" t="s">
        <v>42</v>
      </c>
      <c r="H191" s="5">
        <v>7</v>
      </c>
      <c r="I191" s="7">
        <v>1952.28</v>
      </c>
      <c r="J191" s="6">
        <v>45696</v>
      </c>
      <c r="K191">
        <f t="shared" si="2"/>
        <v>13665.96</v>
      </c>
      <c r="L191" t="str">
        <f>INDEX(Raw_Shipments!L191:L2619,MATCH(A191,Raw_Shipments!B191:B2619))</f>
        <v>No</v>
      </c>
    </row>
    <row r="192" spans="1:12" x14ac:dyDescent="0.3">
      <c r="A192" s="2" t="s">
        <v>321</v>
      </c>
      <c r="B192" s="3">
        <v>45689</v>
      </c>
      <c r="C192" s="2" t="s">
        <v>213</v>
      </c>
      <c r="D192" s="2" t="s">
        <v>14</v>
      </c>
      <c r="E192" s="2" t="s">
        <v>53</v>
      </c>
      <c r="F192" s="2" t="s">
        <v>54</v>
      </c>
      <c r="G192" s="2" t="s">
        <v>55</v>
      </c>
      <c r="H192" s="2">
        <v>43</v>
      </c>
      <c r="I192" s="4">
        <v>2055.9</v>
      </c>
      <c r="J192" s="3">
        <v>45699</v>
      </c>
      <c r="K192">
        <f t="shared" si="2"/>
        <v>88403.7</v>
      </c>
      <c r="L192" t="str">
        <f>INDEX(Raw_Shipments!L192:L2620,MATCH(A192,Raw_Shipments!B192:B2620))</f>
        <v>No</v>
      </c>
    </row>
    <row r="193" spans="1:12" x14ac:dyDescent="0.3">
      <c r="A193" s="5" t="s">
        <v>322</v>
      </c>
      <c r="B193" s="6">
        <v>45689</v>
      </c>
      <c r="C193" s="5" t="s">
        <v>229</v>
      </c>
      <c r="D193" s="5" t="s">
        <v>45</v>
      </c>
      <c r="E193" s="5" t="s">
        <v>62</v>
      </c>
      <c r="F193" s="5" t="s">
        <v>63</v>
      </c>
      <c r="G193" s="5" t="s">
        <v>55</v>
      </c>
      <c r="H193" s="5">
        <v>32</v>
      </c>
      <c r="I193" s="7">
        <v>2555.2199999999998</v>
      </c>
      <c r="J193" s="6">
        <v>45696</v>
      </c>
      <c r="K193">
        <f t="shared" si="2"/>
        <v>81767.039999999994</v>
      </c>
      <c r="L193" t="str">
        <f>INDEX(Raw_Shipments!L193:L2621,MATCH(A193,Raw_Shipments!B193:B2621))</f>
        <v>No</v>
      </c>
    </row>
    <row r="194" spans="1:12" x14ac:dyDescent="0.3">
      <c r="A194" s="2" t="s">
        <v>323</v>
      </c>
      <c r="B194" s="3">
        <v>45689</v>
      </c>
      <c r="C194" s="2" t="s">
        <v>180</v>
      </c>
      <c r="D194" s="2" t="s">
        <v>30</v>
      </c>
      <c r="E194" s="2" t="s">
        <v>119</v>
      </c>
      <c r="F194" s="2" t="s">
        <v>120</v>
      </c>
      <c r="G194" s="2" t="s">
        <v>22</v>
      </c>
      <c r="H194" s="2">
        <v>49</v>
      </c>
      <c r="I194" s="4">
        <v>912.26</v>
      </c>
      <c r="J194" s="3">
        <v>45694</v>
      </c>
      <c r="K194">
        <f t="shared" si="2"/>
        <v>44700.74</v>
      </c>
      <c r="L194" t="str">
        <f>INDEX(Raw_Shipments!L194:L2622,MATCH(A194,Raw_Shipments!B194:B2622))</f>
        <v>No</v>
      </c>
    </row>
    <row r="195" spans="1:12" x14ac:dyDescent="0.3">
      <c r="A195" s="5" t="s">
        <v>324</v>
      </c>
      <c r="B195" s="6">
        <v>45689</v>
      </c>
      <c r="C195" s="5" t="s">
        <v>44</v>
      </c>
      <c r="D195" s="5" t="s">
        <v>14</v>
      </c>
      <c r="E195" s="5" t="s">
        <v>26</v>
      </c>
      <c r="F195" s="5" t="s">
        <v>27</v>
      </c>
      <c r="G195" s="5" t="s">
        <v>22</v>
      </c>
      <c r="H195" s="5">
        <v>29</v>
      </c>
      <c r="I195" s="7">
        <v>1646.8</v>
      </c>
      <c r="J195" s="6">
        <v>45697</v>
      </c>
      <c r="K195">
        <f t="shared" ref="K195:K258" si="3">I195*H195</f>
        <v>47757.2</v>
      </c>
      <c r="L195" t="str">
        <f>INDEX(Raw_Shipments!L195:L2623,MATCH(A195,Raw_Shipments!B195:B2623))</f>
        <v>No</v>
      </c>
    </row>
    <row r="196" spans="1:12" x14ac:dyDescent="0.3">
      <c r="A196" s="2" t="s">
        <v>325</v>
      </c>
      <c r="B196" s="3">
        <v>45689</v>
      </c>
      <c r="C196" s="2" t="s">
        <v>213</v>
      </c>
      <c r="D196" s="2" t="s">
        <v>25</v>
      </c>
      <c r="E196" s="2" t="s">
        <v>46</v>
      </c>
      <c r="F196" s="2" t="s">
        <v>47</v>
      </c>
      <c r="G196" s="2" t="s">
        <v>42</v>
      </c>
      <c r="H196" s="2">
        <v>6</v>
      </c>
      <c r="I196" s="4">
        <v>1833.14</v>
      </c>
      <c r="J196" s="3">
        <v>45699</v>
      </c>
      <c r="K196">
        <f t="shared" si="3"/>
        <v>10998.84</v>
      </c>
      <c r="L196" t="str">
        <f>INDEX(Raw_Shipments!L196:L2624,MATCH(A196,Raw_Shipments!B196:B2624))</f>
        <v>No</v>
      </c>
    </row>
    <row r="197" spans="1:12" x14ac:dyDescent="0.3">
      <c r="A197" s="5" t="s">
        <v>326</v>
      </c>
      <c r="B197" s="6">
        <v>45690</v>
      </c>
      <c r="C197" s="5" t="s">
        <v>139</v>
      </c>
      <c r="D197" s="5" t="s">
        <v>30</v>
      </c>
      <c r="E197" s="5" t="s">
        <v>58</v>
      </c>
      <c r="F197" s="5" t="s">
        <v>59</v>
      </c>
      <c r="G197" s="5" t="s">
        <v>55</v>
      </c>
      <c r="H197" s="5">
        <v>32</v>
      </c>
      <c r="I197" s="7">
        <v>1695.1</v>
      </c>
      <c r="J197" s="6">
        <v>45697</v>
      </c>
      <c r="K197">
        <f t="shared" si="3"/>
        <v>54243.199999999997</v>
      </c>
      <c r="L197" t="str">
        <f>INDEX(Raw_Shipments!L197:L2625,MATCH(A197,Raw_Shipments!B197:B2625))</f>
        <v>No</v>
      </c>
    </row>
    <row r="198" spans="1:12" x14ac:dyDescent="0.3">
      <c r="A198" s="2" t="s">
        <v>327</v>
      </c>
      <c r="B198" s="3">
        <v>45690</v>
      </c>
      <c r="C198" s="2" t="s">
        <v>93</v>
      </c>
      <c r="D198" s="2" t="s">
        <v>45</v>
      </c>
      <c r="E198" s="2" t="s">
        <v>66</v>
      </c>
      <c r="F198" s="2" t="s">
        <v>67</v>
      </c>
      <c r="G198" s="2" t="s">
        <v>17</v>
      </c>
      <c r="H198" s="2">
        <v>15</v>
      </c>
      <c r="I198" s="4">
        <v>850.8</v>
      </c>
      <c r="J198" s="3">
        <v>45695</v>
      </c>
      <c r="K198">
        <f t="shared" si="3"/>
        <v>12762</v>
      </c>
      <c r="L198" t="str">
        <f>INDEX(Raw_Shipments!L198:L2626,MATCH(A198,Raw_Shipments!B198:B2626))</f>
        <v>No</v>
      </c>
    </row>
    <row r="199" spans="1:12" x14ac:dyDescent="0.3">
      <c r="A199" s="5" t="s">
        <v>328</v>
      </c>
      <c r="B199" s="6">
        <v>45690</v>
      </c>
      <c r="C199" s="5" t="s">
        <v>69</v>
      </c>
      <c r="D199" s="5" t="s">
        <v>45</v>
      </c>
      <c r="E199" s="5" t="s">
        <v>119</v>
      </c>
      <c r="F199" s="5" t="s">
        <v>120</v>
      </c>
      <c r="G199" s="5" t="s">
        <v>22</v>
      </c>
      <c r="H199" s="5">
        <v>48</v>
      </c>
      <c r="I199" s="7">
        <v>912.26</v>
      </c>
      <c r="J199" s="6">
        <v>45694</v>
      </c>
      <c r="K199">
        <f t="shared" si="3"/>
        <v>43788.479999999996</v>
      </c>
      <c r="L199" t="str">
        <f>INDEX(Raw_Shipments!L199:L2627,MATCH(A199,Raw_Shipments!B199:B2627))</f>
        <v>No</v>
      </c>
    </row>
    <row r="200" spans="1:12" x14ac:dyDescent="0.3">
      <c r="A200" s="2" t="s">
        <v>329</v>
      </c>
      <c r="B200" s="3">
        <v>45690</v>
      </c>
      <c r="C200" s="2" t="s">
        <v>250</v>
      </c>
      <c r="D200" s="2" t="s">
        <v>14</v>
      </c>
      <c r="E200" s="2" t="s">
        <v>31</v>
      </c>
      <c r="F200" s="2" t="s">
        <v>32</v>
      </c>
      <c r="G200" s="2" t="s">
        <v>33</v>
      </c>
      <c r="H200" s="2">
        <v>44</v>
      </c>
      <c r="I200" s="4">
        <v>689</v>
      </c>
      <c r="J200" s="3">
        <v>45699</v>
      </c>
      <c r="K200">
        <f t="shared" si="3"/>
        <v>30316</v>
      </c>
      <c r="L200" t="str">
        <f>INDEX(Raw_Shipments!L200:L2628,MATCH(A200,Raw_Shipments!B200:B2628))</f>
        <v>No</v>
      </c>
    </row>
    <row r="201" spans="1:12" x14ac:dyDescent="0.3">
      <c r="A201" s="5" t="s">
        <v>330</v>
      </c>
      <c r="B201" s="6">
        <v>45690</v>
      </c>
      <c r="C201" s="5" t="s">
        <v>331</v>
      </c>
      <c r="D201" s="5" t="s">
        <v>25</v>
      </c>
      <c r="E201" s="5" t="s">
        <v>46</v>
      </c>
      <c r="F201" s="5" t="s">
        <v>47</v>
      </c>
      <c r="G201" s="5" t="s">
        <v>42</v>
      </c>
      <c r="H201" s="5">
        <v>5</v>
      </c>
      <c r="I201" s="7">
        <v>1833.14</v>
      </c>
      <c r="J201" s="6">
        <v>45699</v>
      </c>
      <c r="K201">
        <f t="shared" si="3"/>
        <v>9165.7000000000007</v>
      </c>
      <c r="L201" t="str">
        <f>INDEX(Raw_Shipments!L201:L2629,MATCH(A201,Raw_Shipments!B201:B2629))</f>
        <v>No</v>
      </c>
    </row>
    <row r="202" spans="1:12" x14ac:dyDescent="0.3">
      <c r="A202" s="2" t="s">
        <v>332</v>
      </c>
      <c r="B202" s="3">
        <v>45690</v>
      </c>
      <c r="C202" s="2" t="s">
        <v>185</v>
      </c>
      <c r="D202" s="2" t="s">
        <v>45</v>
      </c>
      <c r="E202" s="2" t="s">
        <v>50</v>
      </c>
      <c r="F202" s="2" t="s">
        <v>51</v>
      </c>
      <c r="G202" s="2" t="s">
        <v>42</v>
      </c>
      <c r="H202" s="2">
        <v>12</v>
      </c>
      <c r="I202" s="4">
        <v>1952.28</v>
      </c>
      <c r="J202" s="3">
        <v>45693</v>
      </c>
      <c r="K202">
        <f t="shared" si="3"/>
        <v>23427.360000000001</v>
      </c>
      <c r="L202" t="str">
        <f>INDEX(Raw_Shipments!L202:L2630,MATCH(A202,Raw_Shipments!B202:B2630))</f>
        <v>No</v>
      </c>
    </row>
    <row r="203" spans="1:12" x14ac:dyDescent="0.3">
      <c r="A203" s="5" t="s">
        <v>333</v>
      </c>
      <c r="B203" s="6">
        <v>45691</v>
      </c>
      <c r="C203" s="5" t="s">
        <v>220</v>
      </c>
      <c r="D203" s="5" t="s">
        <v>14</v>
      </c>
      <c r="E203" s="5" t="s">
        <v>66</v>
      </c>
      <c r="F203" s="5" t="s">
        <v>67</v>
      </c>
      <c r="G203" s="5" t="s">
        <v>17</v>
      </c>
      <c r="H203" s="5">
        <v>13</v>
      </c>
      <c r="I203" s="7">
        <v>850.8</v>
      </c>
      <c r="J203" s="6">
        <v>45698</v>
      </c>
      <c r="K203">
        <f t="shared" si="3"/>
        <v>11060.4</v>
      </c>
      <c r="L203" t="str">
        <f>INDEX(Raw_Shipments!L203:L2631,MATCH(A203,Raw_Shipments!B203:B2631))</f>
        <v>No</v>
      </c>
    </row>
    <row r="204" spans="1:12" x14ac:dyDescent="0.3">
      <c r="A204" s="2" t="s">
        <v>334</v>
      </c>
      <c r="B204" s="3">
        <v>45691</v>
      </c>
      <c r="C204" s="2" t="s">
        <v>100</v>
      </c>
      <c r="D204" s="2" t="s">
        <v>25</v>
      </c>
      <c r="E204" s="2" t="s">
        <v>26</v>
      </c>
      <c r="F204" s="2" t="s">
        <v>27</v>
      </c>
      <c r="G204" s="2" t="s">
        <v>22</v>
      </c>
      <c r="H204" s="2">
        <v>20</v>
      </c>
      <c r="I204" s="4">
        <v>1646.8</v>
      </c>
      <c r="J204" s="3">
        <v>45700</v>
      </c>
      <c r="K204">
        <f t="shared" si="3"/>
        <v>32936</v>
      </c>
      <c r="L204" t="str">
        <f>INDEX(Raw_Shipments!L204:L2632,MATCH(A204,Raw_Shipments!B204:B2632))</f>
        <v>Yes</v>
      </c>
    </row>
    <row r="205" spans="1:12" x14ac:dyDescent="0.3">
      <c r="A205" s="5" t="s">
        <v>335</v>
      </c>
      <c r="B205" s="6">
        <v>45691</v>
      </c>
      <c r="C205" s="5" t="s">
        <v>141</v>
      </c>
      <c r="D205" s="5" t="s">
        <v>14</v>
      </c>
      <c r="E205" s="5" t="s">
        <v>31</v>
      </c>
      <c r="F205" s="5" t="s">
        <v>32</v>
      </c>
      <c r="G205" s="5" t="s">
        <v>33</v>
      </c>
      <c r="H205" s="5">
        <v>45</v>
      </c>
      <c r="I205" s="7">
        <v>689</v>
      </c>
      <c r="J205" s="6">
        <v>45695</v>
      </c>
      <c r="K205">
        <f t="shared" si="3"/>
        <v>31005</v>
      </c>
      <c r="L205" t="str">
        <f>INDEX(Raw_Shipments!L205:L2633,MATCH(A205,Raw_Shipments!B205:B2633))</f>
        <v>No</v>
      </c>
    </row>
    <row r="206" spans="1:12" x14ac:dyDescent="0.3">
      <c r="A206" s="2" t="s">
        <v>336</v>
      </c>
      <c r="B206" s="3">
        <v>45691</v>
      </c>
      <c r="C206" s="2" t="s">
        <v>337</v>
      </c>
      <c r="D206" s="2" t="s">
        <v>45</v>
      </c>
      <c r="E206" s="2" t="s">
        <v>36</v>
      </c>
      <c r="F206" s="2" t="s">
        <v>37</v>
      </c>
      <c r="G206" s="2" t="s">
        <v>33</v>
      </c>
      <c r="H206" s="2">
        <v>42</v>
      </c>
      <c r="I206" s="4">
        <v>1064.79</v>
      </c>
      <c r="J206" s="3">
        <v>45695</v>
      </c>
      <c r="K206">
        <f t="shared" si="3"/>
        <v>44721.18</v>
      </c>
      <c r="L206" t="str">
        <f>INDEX(Raw_Shipments!L206:L2634,MATCH(A206,Raw_Shipments!B206:B2634))</f>
        <v>No</v>
      </c>
    </row>
    <row r="207" spans="1:12" x14ac:dyDescent="0.3">
      <c r="A207" s="5" t="s">
        <v>338</v>
      </c>
      <c r="B207" s="6">
        <v>45691</v>
      </c>
      <c r="C207" s="5" t="s">
        <v>85</v>
      </c>
      <c r="D207" s="5" t="s">
        <v>25</v>
      </c>
      <c r="E207" s="5" t="s">
        <v>50</v>
      </c>
      <c r="F207" s="5" t="s">
        <v>51</v>
      </c>
      <c r="G207" s="5" t="s">
        <v>42</v>
      </c>
      <c r="H207" s="5">
        <v>5</v>
      </c>
      <c r="I207" s="7">
        <v>1952.28</v>
      </c>
      <c r="J207" s="6">
        <v>45694</v>
      </c>
      <c r="K207">
        <f t="shared" si="3"/>
        <v>9761.4</v>
      </c>
      <c r="L207" t="str">
        <f>INDEX(Raw_Shipments!L207:L2635,MATCH(A207,Raw_Shipments!B207:B2635))</f>
        <v>No</v>
      </c>
    </row>
    <row r="208" spans="1:12" x14ac:dyDescent="0.3">
      <c r="A208" s="2" t="s">
        <v>339</v>
      </c>
      <c r="B208" s="3">
        <v>45692</v>
      </c>
      <c r="C208" s="2" t="s">
        <v>304</v>
      </c>
      <c r="D208" s="2" t="s">
        <v>25</v>
      </c>
      <c r="E208" s="2" t="s">
        <v>53</v>
      </c>
      <c r="F208" s="2" t="s">
        <v>54</v>
      </c>
      <c r="G208" s="2" t="s">
        <v>55</v>
      </c>
      <c r="H208" s="2">
        <v>18</v>
      </c>
      <c r="I208" s="4">
        <v>2055.9</v>
      </c>
      <c r="J208" s="3">
        <v>45696</v>
      </c>
      <c r="K208">
        <f t="shared" si="3"/>
        <v>37006.200000000004</v>
      </c>
      <c r="L208" t="str">
        <f>INDEX(Raw_Shipments!L208:L2636,MATCH(A208,Raw_Shipments!B208:B2636))</f>
        <v>No</v>
      </c>
    </row>
    <row r="209" spans="1:12" x14ac:dyDescent="0.3">
      <c r="A209" s="5" t="s">
        <v>340</v>
      </c>
      <c r="B209" s="6">
        <v>45692</v>
      </c>
      <c r="C209" s="5" t="s">
        <v>227</v>
      </c>
      <c r="D209" s="5" t="s">
        <v>30</v>
      </c>
      <c r="E209" s="5" t="s">
        <v>58</v>
      </c>
      <c r="F209" s="5" t="s">
        <v>59</v>
      </c>
      <c r="G209" s="5" t="s">
        <v>55</v>
      </c>
      <c r="H209" s="5">
        <v>21</v>
      </c>
      <c r="I209" s="7">
        <v>1695.1</v>
      </c>
      <c r="J209" s="6">
        <v>45695</v>
      </c>
      <c r="K209">
        <f t="shared" si="3"/>
        <v>35597.1</v>
      </c>
      <c r="L209" t="str">
        <f>INDEX(Raw_Shipments!L209:L2637,MATCH(A209,Raw_Shipments!B209:B2637))</f>
        <v>No</v>
      </c>
    </row>
    <row r="210" spans="1:12" x14ac:dyDescent="0.3">
      <c r="A210" s="2" t="s">
        <v>341</v>
      </c>
      <c r="B210" s="3">
        <v>45692</v>
      </c>
      <c r="C210" s="2" t="s">
        <v>183</v>
      </c>
      <c r="D210" s="2" t="s">
        <v>45</v>
      </c>
      <c r="E210" s="2" t="s">
        <v>62</v>
      </c>
      <c r="F210" s="2" t="s">
        <v>63</v>
      </c>
      <c r="G210" s="2" t="s">
        <v>55</v>
      </c>
      <c r="H210" s="2">
        <v>26</v>
      </c>
      <c r="I210" s="4">
        <v>2555.2199999999998</v>
      </c>
      <c r="J210" s="3">
        <v>45695</v>
      </c>
      <c r="K210">
        <f t="shared" si="3"/>
        <v>66435.72</v>
      </c>
      <c r="L210" t="str">
        <f>INDEX(Raw_Shipments!L210:L2638,MATCH(A210,Raw_Shipments!B210:B2638))</f>
        <v>No</v>
      </c>
    </row>
    <row r="211" spans="1:12" x14ac:dyDescent="0.3">
      <c r="A211" s="5" t="s">
        <v>342</v>
      </c>
      <c r="B211" s="6">
        <v>45692</v>
      </c>
      <c r="C211" s="5" t="s">
        <v>343</v>
      </c>
      <c r="D211" s="5" t="s">
        <v>25</v>
      </c>
      <c r="E211" s="5" t="s">
        <v>66</v>
      </c>
      <c r="F211" s="5" t="s">
        <v>67</v>
      </c>
      <c r="G211" s="5" t="s">
        <v>17</v>
      </c>
      <c r="H211" s="5">
        <v>17</v>
      </c>
      <c r="I211" s="7">
        <v>850.8</v>
      </c>
      <c r="J211" s="6">
        <v>45696</v>
      </c>
      <c r="K211">
        <f t="shared" si="3"/>
        <v>14463.599999999999</v>
      </c>
      <c r="L211" t="str">
        <f>INDEX(Raw_Shipments!L211:L2639,MATCH(A211,Raw_Shipments!B211:B2639))</f>
        <v>No</v>
      </c>
    </row>
    <row r="212" spans="1:12" x14ac:dyDescent="0.3">
      <c r="A212" s="2" t="s">
        <v>344</v>
      </c>
      <c r="B212" s="3">
        <v>45692</v>
      </c>
      <c r="C212" s="2" t="s">
        <v>139</v>
      </c>
      <c r="D212" s="2" t="s">
        <v>30</v>
      </c>
      <c r="E212" s="2" t="s">
        <v>97</v>
      </c>
      <c r="F212" s="2" t="s">
        <v>98</v>
      </c>
      <c r="G212" s="2" t="s">
        <v>17</v>
      </c>
      <c r="H212" s="2">
        <v>22</v>
      </c>
      <c r="I212" s="4">
        <v>1110.6500000000001</v>
      </c>
      <c r="J212" s="3">
        <v>45697</v>
      </c>
      <c r="K212">
        <f t="shared" si="3"/>
        <v>24434.300000000003</v>
      </c>
      <c r="L212" t="str">
        <f>INDEX(Raw_Shipments!L212:L2640,MATCH(A212,Raw_Shipments!B212:B2640))</f>
        <v>No</v>
      </c>
    </row>
    <row r="213" spans="1:12" x14ac:dyDescent="0.3">
      <c r="A213" s="5" t="s">
        <v>345</v>
      </c>
      <c r="B213" s="6">
        <v>45692</v>
      </c>
      <c r="C213" s="5" t="s">
        <v>222</v>
      </c>
      <c r="D213" s="5" t="s">
        <v>30</v>
      </c>
      <c r="E213" s="5" t="s">
        <v>119</v>
      </c>
      <c r="F213" s="5" t="s">
        <v>120</v>
      </c>
      <c r="G213" s="5" t="s">
        <v>22</v>
      </c>
      <c r="H213" s="5">
        <v>50</v>
      </c>
      <c r="I213" s="7">
        <v>912.26</v>
      </c>
      <c r="J213" s="6">
        <v>45697</v>
      </c>
      <c r="K213">
        <f t="shared" si="3"/>
        <v>45613</v>
      </c>
      <c r="L213" t="str">
        <f>INDEX(Raw_Shipments!L213:L2641,MATCH(A213,Raw_Shipments!B213:B2641))</f>
        <v>No</v>
      </c>
    </row>
    <row r="214" spans="1:12" x14ac:dyDescent="0.3">
      <c r="A214" s="2" t="s">
        <v>346</v>
      </c>
      <c r="B214" s="3">
        <v>45692</v>
      </c>
      <c r="C214" s="2" t="s">
        <v>185</v>
      </c>
      <c r="D214" s="2" t="s">
        <v>25</v>
      </c>
      <c r="E214" s="2" t="s">
        <v>26</v>
      </c>
      <c r="F214" s="2" t="s">
        <v>27</v>
      </c>
      <c r="G214" s="2" t="s">
        <v>22</v>
      </c>
      <c r="H214" s="2">
        <v>23</v>
      </c>
      <c r="I214" s="4">
        <v>1646.8</v>
      </c>
      <c r="J214" s="3">
        <v>45695</v>
      </c>
      <c r="K214">
        <f t="shared" si="3"/>
        <v>37876.400000000001</v>
      </c>
      <c r="L214" t="str">
        <f>INDEX(Raw_Shipments!L214:L2642,MATCH(A214,Raw_Shipments!B214:B2642))</f>
        <v>No</v>
      </c>
    </row>
    <row r="215" spans="1:12" x14ac:dyDescent="0.3">
      <c r="A215" s="5" t="s">
        <v>347</v>
      </c>
      <c r="B215" s="6">
        <v>45692</v>
      </c>
      <c r="C215" s="5" t="s">
        <v>69</v>
      </c>
      <c r="D215" s="5" t="s">
        <v>25</v>
      </c>
      <c r="E215" s="5" t="s">
        <v>40</v>
      </c>
      <c r="F215" s="5" t="s">
        <v>41</v>
      </c>
      <c r="G215" s="5" t="s">
        <v>42</v>
      </c>
      <c r="H215" s="5">
        <v>41</v>
      </c>
      <c r="I215" s="7">
        <v>2445.11</v>
      </c>
      <c r="J215" s="6">
        <v>45698</v>
      </c>
      <c r="K215">
        <f t="shared" si="3"/>
        <v>100249.51000000001</v>
      </c>
      <c r="L215" t="str">
        <f>INDEX(Raw_Shipments!L215:L2643,MATCH(A215,Raw_Shipments!B215:B2643))</f>
        <v>No</v>
      </c>
    </row>
    <row r="216" spans="1:12" x14ac:dyDescent="0.3">
      <c r="A216" s="2" t="s">
        <v>348</v>
      </c>
      <c r="B216" s="3">
        <v>45692</v>
      </c>
      <c r="C216" s="2" t="s">
        <v>102</v>
      </c>
      <c r="D216" s="2" t="s">
        <v>30</v>
      </c>
      <c r="E216" s="2" t="s">
        <v>50</v>
      </c>
      <c r="F216" s="2" t="s">
        <v>51</v>
      </c>
      <c r="G216" s="2" t="s">
        <v>42</v>
      </c>
      <c r="H216" s="2">
        <v>7</v>
      </c>
      <c r="I216" s="4">
        <v>1952.28</v>
      </c>
      <c r="J216" s="3">
        <v>45700</v>
      </c>
      <c r="K216">
        <f t="shared" si="3"/>
        <v>13665.96</v>
      </c>
      <c r="L216" t="str">
        <f>INDEX(Raw_Shipments!L216:L2644,MATCH(A216,Raw_Shipments!B216:B2644))</f>
        <v>No</v>
      </c>
    </row>
    <row r="217" spans="1:12" x14ac:dyDescent="0.3">
      <c r="A217" s="5" t="s">
        <v>349</v>
      </c>
      <c r="B217" s="6">
        <v>45693</v>
      </c>
      <c r="C217" s="5" t="s">
        <v>337</v>
      </c>
      <c r="D217" s="5" t="s">
        <v>30</v>
      </c>
      <c r="E217" s="5" t="s">
        <v>62</v>
      </c>
      <c r="F217" s="5" t="s">
        <v>63</v>
      </c>
      <c r="G217" s="5" t="s">
        <v>55</v>
      </c>
      <c r="H217" s="5">
        <v>27</v>
      </c>
      <c r="I217" s="7">
        <v>2555.2199999999998</v>
      </c>
      <c r="J217" s="6">
        <v>45698</v>
      </c>
      <c r="K217">
        <f t="shared" si="3"/>
        <v>68990.939999999988</v>
      </c>
      <c r="L217" t="str">
        <f>INDEX(Raw_Shipments!L217:L2645,MATCH(A217,Raw_Shipments!B217:B2645))</f>
        <v>No</v>
      </c>
    </row>
    <row r="218" spans="1:12" x14ac:dyDescent="0.3">
      <c r="A218" s="2" t="s">
        <v>350</v>
      </c>
      <c r="B218" s="3">
        <v>45693</v>
      </c>
      <c r="C218" s="2" t="s">
        <v>272</v>
      </c>
      <c r="D218" s="2" t="s">
        <v>30</v>
      </c>
      <c r="E218" s="2" t="s">
        <v>66</v>
      </c>
      <c r="F218" s="2" t="s">
        <v>67</v>
      </c>
      <c r="G218" s="2" t="s">
        <v>17</v>
      </c>
      <c r="H218" s="2">
        <v>15</v>
      </c>
      <c r="I218" s="4">
        <v>850.8</v>
      </c>
      <c r="J218" s="3">
        <v>45697</v>
      </c>
      <c r="K218">
        <f t="shared" si="3"/>
        <v>12762</v>
      </c>
      <c r="L218" t="str">
        <f>INDEX(Raw_Shipments!L218:L2646,MATCH(A218,Raw_Shipments!B218:B2646))</f>
        <v>No</v>
      </c>
    </row>
    <row r="219" spans="1:12" x14ac:dyDescent="0.3">
      <c r="A219" s="5" t="s">
        <v>351</v>
      </c>
      <c r="B219" s="6">
        <v>45693</v>
      </c>
      <c r="C219" s="5" t="s">
        <v>234</v>
      </c>
      <c r="D219" s="5" t="s">
        <v>25</v>
      </c>
      <c r="E219" s="5" t="s">
        <v>97</v>
      </c>
      <c r="F219" s="5" t="s">
        <v>98</v>
      </c>
      <c r="G219" s="5" t="s">
        <v>17</v>
      </c>
      <c r="H219" s="5">
        <v>20</v>
      </c>
      <c r="I219" s="7">
        <v>1110.6500000000001</v>
      </c>
      <c r="J219" s="6">
        <v>45698</v>
      </c>
      <c r="K219">
        <f t="shared" si="3"/>
        <v>22213</v>
      </c>
      <c r="L219" t="str">
        <f>INDEX(Raw_Shipments!L219:L2647,MATCH(A219,Raw_Shipments!B219:B2647))</f>
        <v>No</v>
      </c>
    </row>
    <row r="220" spans="1:12" x14ac:dyDescent="0.3">
      <c r="A220" s="2" t="s">
        <v>352</v>
      </c>
      <c r="B220" s="3">
        <v>45693</v>
      </c>
      <c r="C220" s="2" t="s">
        <v>175</v>
      </c>
      <c r="D220" s="2" t="s">
        <v>30</v>
      </c>
      <c r="E220" s="2" t="s">
        <v>15</v>
      </c>
      <c r="F220" s="2" t="s">
        <v>16</v>
      </c>
      <c r="G220" s="2" t="s">
        <v>17</v>
      </c>
      <c r="H220" s="2">
        <v>20</v>
      </c>
      <c r="I220" s="4">
        <v>183.06</v>
      </c>
      <c r="J220" s="3">
        <v>45700</v>
      </c>
      <c r="K220">
        <f t="shared" si="3"/>
        <v>3661.2</v>
      </c>
      <c r="L220" t="str">
        <f>INDEX(Raw_Shipments!L220:L2648,MATCH(A220,Raw_Shipments!B220:B2648))</f>
        <v>No</v>
      </c>
    </row>
    <row r="221" spans="1:12" x14ac:dyDescent="0.3">
      <c r="A221" s="5" t="s">
        <v>353</v>
      </c>
      <c r="B221" s="6">
        <v>45693</v>
      </c>
      <c r="C221" s="5" t="s">
        <v>208</v>
      </c>
      <c r="D221" s="5" t="s">
        <v>30</v>
      </c>
      <c r="E221" s="5" t="s">
        <v>20</v>
      </c>
      <c r="F221" s="5" t="s">
        <v>21</v>
      </c>
      <c r="G221" s="5" t="s">
        <v>22</v>
      </c>
      <c r="H221" s="5">
        <v>17</v>
      </c>
      <c r="I221" s="7">
        <v>2108.56</v>
      </c>
      <c r="J221" s="6">
        <v>45703</v>
      </c>
      <c r="K221">
        <f t="shared" si="3"/>
        <v>35845.519999999997</v>
      </c>
      <c r="L221" t="str">
        <f>INDEX(Raw_Shipments!L221:L2649,MATCH(A221,Raw_Shipments!B221:B2649))</f>
        <v>Yes</v>
      </c>
    </row>
    <row r="222" spans="1:12" x14ac:dyDescent="0.3">
      <c r="A222" s="2" t="s">
        <v>354</v>
      </c>
      <c r="B222" s="3">
        <v>45693</v>
      </c>
      <c r="C222" s="2" t="s">
        <v>29</v>
      </c>
      <c r="D222" s="2" t="s">
        <v>45</v>
      </c>
      <c r="E222" s="2" t="s">
        <v>119</v>
      </c>
      <c r="F222" s="2" t="s">
        <v>120</v>
      </c>
      <c r="G222" s="2" t="s">
        <v>22</v>
      </c>
      <c r="H222" s="2">
        <v>49</v>
      </c>
      <c r="I222" s="4">
        <v>912.26</v>
      </c>
      <c r="J222" s="3">
        <v>45702</v>
      </c>
      <c r="K222">
        <f t="shared" si="3"/>
        <v>44700.74</v>
      </c>
      <c r="L222" t="str">
        <f>INDEX(Raw_Shipments!L222:L2650,MATCH(A222,Raw_Shipments!B222:B2650))</f>
        <v>No</v>
      </c>
    </row>
    <row r="223" spans="1:12" x14ac:dyDescent="0.3">
      <c r="A223" s="5" t="s">
        <v>355</v>
      </c>
      <c r="B223" s="6">
        <v>45693</v>
      </c>
      <c r="C223" s="5" t="s">
        <v>356</v>
      </c>
      <c r="D223" s="5" t="s">
        <v>14</v>
      </c>
      <c r="E223" s="5" t="s">
        <v>26</v>
      </c>
      <c r="F223" s="5" t="s">
        <v>27</v>
      </c>
      <c r="G223" s="5" t="s">
        <v>22</v>
      </c>
      <c r="H223" s="5">
        <v>15</v>
      </c>
      <c r="I223" s="7">
        <v>1646.8</v>
      </c>
      <c r="J223" s="6">
        <v>45702</v>
      </c>
      <c r="K223">
        <f t="shared" si="3"/>
        <v>24702</v>
      </c>
      <c r="L223" t="str">
        <f>INDEX(Raw_Shipments!L223:L2651,MATCH(A223,Raw_Shipments!B223:B2651))</f>
        <v>Yes</v>
      </c>
    </row>
    <row r="224" spans="1:12" x14ac:dyDescent="0.3">
      <c r="A224" s="2" t="s">
        <v>357</v>
      </c>
      <c r="B224" s="3">
        <v>45693</v>
      </c>
      <c r="C224" s="2" t="s">
        <v>268</v>
      </c>
      <c r="D224" s="2" t="s">
        <v>45</v>
      </c>
      <c r="E224" s="2" t="s">
        <v>36</v>
      </c>
      <c r="F224" s="2" t="s">
        <v>37</v>
      </c>
      <c r="G224" s="2" t="s">
        <v>33</v>
      </c>
      <c r="H224" s="2">
        <v>20</v>
      </c>
      <c r="I224" s="4">
        <v>1064.79</v>
      </c>
      <c r="J224" s="3">
        <v>45696</v>
      </c>
      <c r="K224">
        <f t="shared" si="3"/>
        <v>21295.8</v>
      </c>
      <c r="L224" t="str">
        <f>INDEX(Raw_Shipments!L224:L2652,MATCH(A224,Raw_Shipments!B224:B2652))</f>
        <v>No</v>
      </c>
    </row>
    <row r="225" spans="1:12" x14ac:dyDescent="0.3">
      <c r="A225" s="5" t="s">
        <v>358</v>
      </c>
      <c r="B225" s="6">
        <v>45693</v>
      </c>
      <c r="C225" s="5" t="s">
        <v>356</v>
      </c>
      <c r="D225" s="5" t="s">
        <v>30</v>
      </c>
      <c r="E225" s="5" t="s">
        <v>86</v>
      </c>
      <c r="F225" s="5" t="s">
        <v>87</v>
      </c>
      <c r="G225" s="5" t="s">
        <v>33</v>
      </c>
      <c r="H225" s="5">
        <v>16</v>
      </c>
      <c r="I225" s="7">
        <v>815.88</v>
      </c>
      <c r="J225" s="6">
        <v>45701</v>
      </c>
      <c r="K225">
        <f t="shared" si="3"/>
        <v>13054.08</v>
      </c>
      <c r="L225" t="str">
        <f>INDEX(Raw_Shipments!L225:L2653,MATCH(A225,Raw_Shipments!B225:B2653))</f>
        <v>Yes</v>
      </c>
    </row>
    <row r="226" spans="1:12" x14ac:dyDescent="0.3">
      <c r="A226" s="2" t="s">
        <v>359</v>
      </c>
      <c r="B226" s="3">
        <v>45693</v>
      </c>
      <c r="C226" s="2" t="s">
        <v>83</v>
      </c>
      <c r="D226" s="2" t="s">
        <v>30</v>
      </c>
      <c r="E226" s="2" t="s">
        <v>46</v>
      </c>
      <c r="F226" s="2" t="s">
        <v>47</v>
      </c>
      <c r="G226" s="2" t="s">
        <v>42</v>
      </c>
      <c r="H226" s="2">
        <v>7</v>
      </c>
      <c r="I226" s="4">
        <v>1833.14</v>
      </c>
      <c r="J226" s="3">
        <v>45701</v>
      </c>
      <c r="K226">
        <f t="shared" si="3"/>
        <v>12831.980000000001</v>
      </c>
      <c r="L226" t="str">
        <f>INDEX(Raw_Shipments!L226:L2654,MATCH(A226,Raw_Shipments!B226:B2654))</f>
        <v>No</v>
      </c>
    </row>
    <row r="227" spans="1:12" x14ac:dyDescent="0.3">
      <c r="A227" s="5" t="s">
        <v>360</v>
      </c>
      <c r="B227" s="6">
        <v>45694</v>
      </c>
      <c r="C227" s="5" t="s">
        <v>35</v>
      </c>
      <c r="D227" s="5" t="s">
        <v>45</v>
      </c>
      <c r="E227" s="5" t="s">
        <v>62</v>
      </c>
      <c r="F227" s="5" t="s">
        <v>63</v>
      </c>
      <c r="G227" s="5" t="s">
        <v>55</v>
      </c>
      <c r="H227" s="5">
        <v>46</v>
      </c>
      <c r="I227" s="7">
        <v>2555.2199999999998</v>
      </c>
      <c r="J227" s="6">
        <v>45701</v>
      </c>
      <c r="K227">
        <f t="shared" si="3"/>
        <v>117540.12</v>
      </c>
      <c r="L227" t="str">
        <f>INDEX(Raw_Shipments!L227:L2655,MATCH(A227,Raw_Shipments!B227:B2655))</f>
        <v>No</v>
      </c>
    </row>
    <row r="228" spans="1:12" x14ac:dyDescent="0.3">
      <c r="A228" s="2" t="s">
        <v>361</v>
      </c>
      <c r="B228" s="3">
        <v>45694</v>
      </c>
      <c r="C228" s="2" t="s">
        <v>77</v>
      </c>
      <c r="D228" s="2" t="s">
        <v>25</v>
      </c>
      <c r="E228" s="2" t="s">
        <v>66</v>
      </c>
      <c r="F228" s="2" t="s">
        <v>67</v>
      </c>
      <c r="G228" s="2" t="s">
        <v>17</v>
      </c>
      <c r="H228" s="2">
        <v>16</v>
      </c>
      <c r="I228" s="4">
        <v>850.8</v>
      </c>
      <c r="J228" s="3">
        <v>45698</v>
      </c>
      <c r="K228">
        <f t="shared" si="3"/>
        <v>13612.8</v>
      </c>
      <c r="L228" t="str">
        <f>INDEX(Raw_Shipments!L228:L2656,MATCH(A228,Raw_Shipments!B228:B2656))</f>
        <v>No</v>
      </c>
    </row>
    <row r="229" spans="1:12" x14ac:dyDescent="0.3">
      <c r="A229" s="5" t="s">
        <v>362</v>
      </c>
      <c r="B229" s="6">
        <v>45694</v>
      </c>
      <c r="C229" s="5" t="s">
        <v>363</v>
      </c>
      <c r="D229" s="5" t="s">
        <v>30</v>
      </c>
      <c r="E229" s="5" t="s">
        <v>15</v>
      </c>
      <c r="F229" s="5" t="s">
        <v>16</v>
      </c>
      <c r="G229" s="5" t="s">
        <v>17</v>
      </c>
      <c r="H229" s="5">
        <v>19</v>
      </c>
      <c r="I229" s="7">
        <v>183.06</v>
      </c>
      <c r="J229" s="6">
        <v>45701</v>
      </c>
      <c r="K229">
        <f t="shared" si="3"/>
        <v>3478.14</v>
      </c>
      <c r="L229" t="str">
        <f>INDEX(Raw_Shipments!L229:L2657,MATCH(A229,Raw_Shipments!B229:B2657))</f>
        <v>No</v>
      </c>
    </row>
    <row r="230" spans="1:12" x14ac:dyDescent="0.3">
      <c r="A230" s="2" t="s">
        <v>364</v>
      </c>
      <c r="B230" s="3">
        <v>45694</v>
      </c>
      <c r="C230" s="2" t="s">
        <v>91</v>
      </c>
      <c r="D230" s="2" t="s">
        <v>30</v>
      </c>
      <c r="E230" s="2" t="s">
        <v>20</v>
      </c>
      <c r="F230" s="2" t="s">
        <v>21</v>
      </c>
      <c r="G230" s="2" t="s">
        <v>22</v>
      </c>
      <c r="H230" s="2">
        <v>15</v>
      </c>
      <c r="I230" s="4">
        <v>2108.56</v>
      </c>
      <c r="J230" s="3">
        <v>45699</v>
      </c>
      <c r="K230">
        <f t="shared" si="3"/>
        <v>31628.399999999998</v>
      </c>
      <c r="L230" t="str">
        <f>INDEX(Raw_Shipments!L230:L2658,MATCH(A230,Raw_Shipments!B230:B2658))</f>
        <v>No</v>
      </c>
    </row>
    <row r="231" spans="1:12" x14ac:dyDescent="0.3">
      <c r="A231" s="5" t="s">
        <v>365</v>
      </c>
      <c r="B231" s="6">
        <v>45694</v>
      </c>
      <c r="C231" s="5" t="s">
        <v>96</v>
      </c>
      <c r="D231" s="5" t="s">
        <v>14</v>
      </c>
      <c r="E231" s="5" t="s">
        <v>50</v>
      </c>
      <c r="F231" s="5" t="s">
        <v>51</v>
      </c>
      <c r="G231" s="5" t="s">
        <v>42</v>
      </c>
      <c r="H231" s="5">
        <v>9</v>
      </c>
      <c r="I231" s="7">
        <v>1952.28</v>
      </c>
      <c r="J231" s="6">
        <v>45701</v>
      </c>
      <c r="K231">
        <f t="shared" si="3"/>
        <v>17570.52</v>
      </c>
      <c r="L231" t="str">
        <f>INDEX(Raw_Shipments!L231:L2659,MATCH(A231,Raw_Shipments!B231:B2659))</f>
        <v>No</v>
      </c>
    </row>
    <row r="232" spans="1:12" x14ac:dyDescent="0.3">
      <c r="A232" s="2" t="s">
        <v>366</v>
      </c>
      <c r="B232" s="3">
        <v>45695</v>
      </c>
      <c r="C232" s="2" t="s">
        <v>154</v>
      </c>
      <c r="D232" s="2" t="s">
        <v>25</v>
      </c>
      <c r="E232" s="2" t="s">
        <v>62</v>
      </c>
      <c r="F232" s="2" t="s">
        <v>63</v>
      </c>
      <c r="G232" s="2" t="s">
        <v>55</v>
      </c>
      <c r="H232" s="2">
        <v>37</v>
      </c>
      <c r="I232" s="4">
        <v>2555.2199999999998</v>
      </c>
      <c r="J232" s="3">
        <v>45705</v>
      </c>
      <c r="K232">
        <f t="shared" si="3"/>
        <v>94543.14</v>
      </c>
      <c r="L232" t="str">
        <f>INDEX(Raw_Shipments!L232:L2660,MATCH(A232,Raw_Shipments!B232:B2660))</f>
        <v>No</v>
      </c>
    </row>
    <row r="233" spans="1:12" x14ac:dyDescent="0.3">
      <c r="A233" s="5" t="s">
        <v>367</v>
      </c>
      <c r="B233" s="6">
        <v>45695</v>
      </c>
      <c r="C233" s="5" t="s">
        <v>85</v>
      </c>
      <c r="D233" s="5" t="s">
        <v>45</v>
      </c>
      <c r="E233" s="5" t="s">
        <v>97</v>
      </c>
      <c r="F233" s="5" t="s">
        <v>98</v>
      </c>
      <c r="G233" s="5" t="s">
        <v>17</v>
      </c>
      <c r="H233" s="5">
        <v>32</v>
      </c>
      <c r="I233" s="7">
        <v>1110.6500000000001</v>
      </c>
      <c r="J233" s="6">
        <v>45700</v>
      </c>
      <c r="K233">
        <f t="shared" si="3"/>
        <v>35540.800000000003</v>
      </c>
      <c r="L233" t="str">
        <f>INDEX(Raw_Shipments!L233:L2661,MATCH(A233,Raw_Shipments!B233:B2661))</f>
        <v>No</v>
      </c>
    </row>
    <row r="234" spans="1:12" x14ac:dyDescent="0.3">
      <c r="A234" s="2" t="s">
        <v>368</v>
      </c>
      <c r="B234" s="3">
        <v>45695</v>
      </c>
      <c r="C234" s="2" t="s">
        <v>304</v>
      </c>
      <c r="D234" s="2" t="s">
        <v>30</v>
      </c>
      <c r="E234" s="2" t="s">
        <v>15</v>
      </c>
      <c r="F234" s="2" t="s">
        <v>16</v>
      </c>
      <c r="G234" s="2" t="s">
        <v>17</v>
      </c>
      <c r="H234" s="2">
        <v>8</v>
      </c>
      <c r="I234" s="4">
        <v>183.06</v>
      </c>
      <c r="J234" s="3">
        <v>45705</v>
      </c>
      <c r="K234">
        <f t="shared" si="3"/>
        <v>1464.48</v>
      </c>
      <c r="L234" t="str">
        <f>INDEX(Raw_Shipments!L234:L2662,MATCH(A234,Raw_Shipments!B234:B2662))</f>
        <v>Yes</v>
      </c>
    </row>
    <row r="235" spans="1:12" x14ac:dyDescent="0.3">
      <c r="A235" s="5" t="s">
        <v>369</v>
      </c>
      <c r="B235" s="6">
        <v>45695</v>
      </c>
      <c r="C235" s="5" t="s">
        <v>117</v>
      </c>
      <c r="D235" s="5" t="s">
        <v>45</v>
      </c>
      <c r="E235" s="5" t="s">
        <v>26</v>
      </c>
      <c r="F235" s="5" t="s">
        <v>27</v>
      </c>
      <c r="G235" s="5" t="s">
        <v>22</v>
      </c>
      <c r="H235" s="5">
        <v>26</v>
      </c>
      <c r="I235" s="7">
        <v>1646.8</v>
      </c>
      <c r="J235" s="6">
        <v>45703</v>
      </c>
      <c r="K235">
        <f t="shared" si="3"/>
        <v>42816.799999999996</v>
      </c>
      <c r="L235" t="str">
        <f>INDEX(Raw_Shipments!L235:L2663,MATCH(A235,Raw_Shipments!B235:B2663))</f>
        <v>Yes</v>
      </c>
    </row>
    <row r="236" spans="1:12" x14ac:dyDescent="0.3">
      <c r="A236" s="2" t="s">
        <v>370</v>
      </c>
      <c r="B236" s="3">
        <v>45695</v>
      </c>
      <c r="C236" s="2" t="s">
        <v>343</v>
      </c>
      <c r="D236" s="2" t="s">
        <v>14</v>
      </c>
      <c r="E236" s="2" t="s">
        <v>31</v>
      </c>
      <c r="F236" s="2" t="s">
        <v>32</v>
      </c>
      <c r="G236" s="2" t="s">
        <v>33</v>
      </c>
      <c r="H236" s="2">
        <v>33</v>
      </c>
      <c r="I236" s="4">
        <v>689</v>
      </c>
      <c r="J236" s="3">
        <v>45700</v>
      </c>
      <c r="K236">
        <f t="shared" si="3"/>
        <v>22737</v>
      </c>
      <c r="L236" t="str">
        <f>INDEX(Raw_Shipments!L236:L2664,MATCH(A236,Raw_Shipments!B236:B2664))</f>
        <v>No</v>
      </c>
    </row>
    <row r="237" spans="1:12" x14ac:dyDescent="0.3">
      <c r="A237" s="5" t="s">
        <v>371</v>
      </c>
      <c r="B237" s="6">
        <v>45695</v>
      </c>
      <c r="C237" s="5" t="s">
        <v>13</v>
      </c>
      <c r="D237" s="5" t="s">
        <v>14</v>
      </c>
      <c r="E237" s="5" t="s">
        <v>36</v>
      </c>
      <c r="F237" s="5" t="s">
        <v>37</v>
      </c>
      <c r="G237" s="5" t="s">
        <v>33</v>
      </c>
      <c r="H237" s="5">
        <v>27</v>
      </c>
      <c r="I237" s="7">
        <v>1064.79</v>
      </c>
      <c r="J237" s="6">
        <v>45698</v>
      </c>
      <c r="K237">
        <f t="shared" si="3"/>
        <v>28749.329999999998</v>
      </c>
      <c r="L237" t="str">
        <f>INDEX(Raw_Shipments!L237:L2665,MATCH(A237,Raw_Shipments!B237:B2665))</f>
        <v>No</v>
      </c>
    </row>
    <row r="238" spans="1:12" x14ac:dyDescent="0.3">
      <c r="A238" s="2" t="s">
        <v>372</v>
      </c>
      <c r="B238" s="3">
        <v>45695</v>
      </c>
      <c r="C238" s="2" t="s">
        <v>208</v>
      </c>
      <c r="D238" s="2" t="s">
        <v>25</v>
      </c>
      <c r="E238" s="2" t="s">
        <v>86</v>
      </c>
      <c r="F238" s="2" t="s">
        <v>87</v>
      </c>
      <c r="G238" s="2" t="s">
        <v>33</v>
      </c>
      <c r="H238" s="2">
        <v>37</v>
      </c>
      <c r="I238" s="4">
        <v>815.88</v>
      </c>
      <c r="J238" s="3">
        <v>45701</v>
      </c>
      <c r="K238">
        <f t="shared" si="3"/>
        <v>30187.56</v>
      </c>
      <c r="L238" t="str">
        <f>INDEX(Raw_Shipments!L238:L2666,MATCH(A238,Raw_Shipments!B238:B2666))</f>
        <v>No</v>
      </c>
    </row>
    <row r="239" spans="1:12" x14ac:dyDescent="0.3">
      <c r="A239" s="5" t="s">
        <v>373</v>
      </c>
      <c r="B239" s="6">
        <v>45695</v>
      </c>
      <c r="C239" s="5" t="s">
        <v>268</v>
      </c>
      <c r="D239" s="5" t="s">
        <v>25</v>
      </c>
      <c r="E239" s="5" t="s">
        <v>46</v>
      </c>
      <c r="F239" s="5" t="s">
        <v>47</v>
      </c>
      <c r="G239" s="5" t="s">
        <v>42</v>
      </c>
      <c r="H239" s="5">
        <v>10</v>
      </c>
      <c r="I239" s="7">
        <v>1833.14</v>
      </c>
      <c r="J239" s="6">
        <v>45702</v>
      </c>
      <c r="K239">
        <f t="shared" si="3"/>
        <v>18331.400000000001</v>
      </c>
      <c r="L239" t="str">
        <f>INDEX(Raw_Shipments!L239:L2667,MATCH(A239,Raw_Shipments!B239:B2667))</f>
        <v>No</v>
      </c>
    </row>
    <row r="240" spans="1:12" x14ac:dyDescent="0.3">
      <c r="A240" s="2" t="s">
        <v>374</v>
      </c>
      <c r="B240" s="3">
        <v>45696</v>
      </c>
      <c r="C240" s="2" t="s">
        <v>240</v>
      </c>
      <c r="D240" s="2" t="s">
        <v>25</v>
      </c>
      <c r="E240" s="2" t="s">
        <v>53</v>
      </c>
      <c r="F240" s="2" t="s">
        <v>54</v>
      </c>
      <c r="G240" s="2" t="s">
        <v>55</v>
      </c>
      <c r="H240" s="2">
        <v>23</v>
      </c>
      <c r="I240" s="4">
        <v>2055.9</v>
      </c>
      <c r="J240" s="3">
        <v>45701</v>
      </c>
      <c r="K240">
        <f t="shared" si="3"/>
        <v>47285.700000000004</v>
      </c>
      <c r="L240" t="str">
        <f>INDEX(Raw_Shipments!L240:L2668,MATCH(A240,Raw_Shipments!B240:B2668))</f>
        <v>No</v>
      </c>
    </row>
    <row r="241" spans="1:12" x14ac:dyDescent="0.3">
      <c r="A241" s="5" t="s">
        <v>375</v>
      </c>
      <c r="B241" s="6">
        <v>45696</v>
      </c>
      <c r="C241" s="5" t="s">
        <v>117</v>
      </c>
      <c r="D241" s="5" t="s">
        <v>25</v>
      </c>
      <c r="E241" s="5" t="s">
        <v>97</v>
      </c>
      <c r="F241" s="5" t="s">
        <v>98</v>
      </c>
      <c r="G241" s="5" t="s">
        <v>17</v>
      </c>
      <c r="H241" s="5">
        <v>17</v>
      </c>
      <c r="I241" s="7">
        <v>1110.6500000000001</v>
      </c>
      <c r="J241" s="6">
        <v>45699</v>
      </c>
      <c r="K241">
        <f t="shared" si="3"/>
        <v>18881.050000000003</v>
      </c>
      <c r="L241" t="str">
        <f>INDEX(Raw_Shipments!L241:L2669,MATCH(A241,Raw_Shipments!B241:B2669))</f>
        <v>No</v>
      </c>
    </row>
    <row r="242" spans="1:12" x14ac:dyDescent="0.3">
      <c r="A242" s="2" t="s">
        <v>376</v>
      </c>
      <c r="B242" s="3">
        <v>45696</v>
      </c>
      <c r="C242" s="2" t="s">
        <v>117</v>
      </c>
      <c r="D242" s="2" t="s">
        <v>25</v>
      </c>
      <c r="E242" s="2" t="s">
        <v>119</v>
      </c>
      <c r="F242" s="2" t="s">
        <v>120</v>
      </c>
      <c r="G242" s="2" t="s">
        <v>22</v>
      </c>
      <c r="H242" s="2">
        <v>29</v>
      </c>
      <c r="I242" s="4">
        <v>912.26</v>
      </c>
      <c r="J242" s="3">
        <v>45703</v>
      </c>
      <c r="K242">
        <f t="shared" si="3"/>
        <v>26455.54</v>
      </c>
      <c r="L242" t="str">
        <f>INDEX(Raw_Shipments!L242:L2670,MATCH(A242,Raw_Shipments!B242:B2670))</f>
        <v>No</v>
      </c>
    </row>
    <row r="243" spans="1:12" x14ac:dyDescent="0.3">
      <c r="A243" s="5" t="s">
        <v>377</v>
      </c>
      <c r="B243" s="6">
        <v>45696</v>
      </c>
      <c r="C243" s="5" t="s">
        <v>363</v>
      </c>
      <c r="D243" s="5" t="s">
        <v>45</v>
      </c>
      <c r="E243" s="5" t="s">
        <v>86</v>
      </c>
      <c r="F243" s="5" t="s">
        <v>87</v>
      </c>
      <c r="G243" s="5" t="s">
        <v>33</v>
      </c>
      <c r="H243" s="5">
        <v>18</v>
      </c>
      <c r="I243" s="7">
        <v>815.88</v>
      </c>
      <c r="J243" s="6">
        <v>45700</v>
      </c>
      <c r="K243">
        <f t="shared" si="3"/>
        <v>14685.84</v>
      </c>
      <c r="L243" t="str">
        <f>INDEX(Raw_Shipments!L243:L2671,MATCH(A243,Raw_Shipments!B243:B2671))</f>
        <v>No</v>
      </c>
    </row>
    <row r="244" spans="1:12" x14ac:dyDescent="0.3">
      <c r="A244" s="2" t="s">
        <v>378</v>
      </c>
      <c r="B244" s="3">
        <v>45696</v>
      </c>
      <c r="C244" s="2" t="s">
        <v>312</v>
      </c>
      <c r="D244" s="2" t="s">
        <v>14</v>
      </c>
      <c r="E244" s="2" t="s">
        <v>40</v>
      </c>
      <c r="F244" s="2" t="s">
        <v>41</v>
      </c>
      <c r="G244" s="2" t="s">
        <v>42</v>
      </c>
      <c r="H244" s="2">
        <v>17</v>
      </c>
      <c r="I244" s="4">
        <v>2445.11</v>
      </c>
      <c r="J244" s="3">
        <v>45704</v>
      </c>
      <c r="K244">
        <f t="shared" si="3"/>
        <v>41566.870000000003</v>
      </c>
      <c r="L244" t="str">
        <f>INDEX(Raw_Shipments!L244:L2672,MATCH(A244,Raw_Shipments!B244:B2672))</f>
        <v>No</v>
      </c>
    </row>
    <row r="245" spans="1:12" x14ac:dyDescent="0.3">
      <c r="A245" s="5" t="s">
        <v>379</v>
      </c>
      <c r="B245" s="6">
        <v>45696</v>
      </c>
      <c r="C245" s="5" t="s">
        <v>272</v>
      </c>
      <c r="D245" s="5" t="s">
        <v>25</v>
      </c>
      <c r="E245" s="5" t="s">
        <v>46</v>
      </c>
      <c r="F245" s="5" t="s">
        <v>47</v>
      </c>
      <c r="G245" s="5" t="s">
        <v>42</v>
      </c>
      <c r="H245" s="5">
        <v>7</v>
      </c>
      <c r="I245" s="7">
        <v>1833.14</v>
      </c>
      <c r="J245" s="6">
        <v>45704</v>
      </c>
      <c r="K245">
        <f t="shared" si="3"/>
        <v>12831.980000000001</v>
      </c>
      <c r="L245" t="str">
        <f>INDEX(Raw_Shipments!L245:L2673,MATCH(A245,Raw_Shipments!B245:B2673))</f>
        <v>No</v>
      </c>
    </row>
    <row r="246" spans="1:12" x14ac:dyDescent="0.3">
      <c r="A246" s="2" t="s">
        <v>380</v>
      </c>
      <c r="B246" s="3">
        <v>45697</v>
      </c>
      <c r="C246" s="2" t="s">
        <v>262</v>
      </c>
      <c r="D246" s="2" t="s">
        <v>30</v>
      </c>
      <c r="E246" s="2" t="s">
        <v>53</v>
      </c>
      <c r="F246" s="2" t="s">
        <v>54</v>
      </c>
      <c r="G246" s="2" t="s">
        <v>55</v>
      </c>
      <c r="H246" s="2">
        <v>23</v>
      </c>
      <c r="I246" s="4">
        <v>2055.9</v>
      </c>
      <c r="J246" s="3">
        <v>45705</v>
      </c>
      <c r="K246">
        <f t="shared" si="3"/>
        <v>47285.700000000004</v>
      </c>
      <c r="L246" t="str">
        <f>INDEX(Raw_Shipments!L246:L2674,MATCH(A246,Raw_Shipments!B246:B2674))</f>
        <v>Yes</v>
      </c>
    </row>
    <row r="247" spans="1:12" x14ac:dyDescent="0.3">
      <c r="A247" s="5" t="s">
        <v>381</v>
      </c>
      <c r="B247" s="6">
        <v>45697</v>
      </c>
      <c r="C247" s="5" t="s">
        <v>35</v>
      </c>
      <c r="D247" s="5" t="s">
        <v>14</v>
      </c>
      <c r="E247" s="5" t="s">
        <v>58</v>
      </c>
      <c r="F247" s="5" t="s">
        <v>59</v>
      </c>
      <c r="G247" s="5" t="s">
        <v>55</v>
      </c>
      <c r="H247" s="5">
        <v>23</v>
      </c>
      <c r="I247" s="7">
        <v>1695.1</v>
      </c>
      <c r="J247" s="6">
        <v>45707</v>
      </c>
      <c r="K247">
        <f t="shared" si="3"/>
        <v>38987.299999999996</v>
      </c>
      <c r="L247" t="str">
        <f>INDEX(Raw_Shipments!L247:L2675,MATCH(A247,Raw_Shipments!B247:B2675))</f>
        <v>No</v>
      </c>
    </row>
    <row r="248" spans="1:12" x14ac:dyDescent="0.3">
      <c r="A248" s="2" t="s">
        <v>382</v>
      </c>
      <c r="B248" s="3">
        <v>45697</v>
      </c>
      <c r="C248" s="2" t="s">
        <v>35</v>
      </c>
      <c r="D248" s="2" t="s">
        <v>14</v>
      </c>
      <c r="E248" s="2" t="s">
        <v>62</v>
      </c>
      <c r="F248" s="2" t="s">
        <v>63</v>
      </c>
      <c r="G248" s="2" t="s">
        <v>55</v>
      </c>
      <c r="H248" s="2">
        <v>32</v>
      </c>
      <c r="I248" s="4">
        <v>2555.2199999999998</v>
      </c>
      <c r="J248" s="3">
        <v>45706</v>
      </c>
      <c r="K248">
        <f t="shared" si="3"/>
        <v>81767.039999999994</v>
      </c>
      <c r="L248" t="str">
        <f>INDEX(Raw_Shipments!L248:L2676,MATCH(A248,Raw_Shipments!B248:B2676))</f>
        <v>No</v>
      </c>
    </row>
    <row r="249" spans="1:12" x14ac:dyDescent="0.3">
      <c r="A249" s="5" t="s">
        <v>383</v>
      </c>
      <c r="B249" s="6">
        <v>45697</v>
      </c>
      <c r="C249" s="5" t="s">
        <v>337</v>
      </c>
      <c r="D249" s="5" t="s">
        <v>30</v>
      </c>
      <c r="E249" s="5" t="s">
        <v>20</v>
      </c>
      <c r="F249" s="5" t="s">
        <v>21</v>
      </c>
      <c r="G249" s="5" t="s">
        <v>22</v>
      </c>
      <c r="H249" s="5">
        <v>18</v>
      </c>
      <c r="I249" s="7">
        <v>2108.56</v>
      </c>
      <c r="J249" s="6">
        <v>45702</v>
      </c>
      <c r="K249">
        <f t="shared" si="3"/>
        <v>37954.080000000002</v>
      </c>
      <c r="L249" t="str">
        <f>INDEX(Raw_Shipments!L249:L2677,MATCH(A249,Raw_Shipments!B249:B2677))</f>
        <v>No</v>
      </c>
    </row>
    <row r="250" spans="1:12" x14ac:dyDescent="0.3">
      <c r="A250" s="2" t="s">
        <v>384</v>
      </c>
      <c r="B250" s="3">
        <v>45697</v>
      </c>
      <c r="C250" s="2" t="s">
        <v>262</v>
      </c>
      <c r="D250" s="2" t="s">
        <v>14</v>
      </c>
      <c r="E250" s="2" t="s">
        <v>26</v>
      </c>
      <c r="F250" s="2" t="s">
        <v>27</v>
      </c>
      <c r="G250" s="2" t="s">
        <v>22</v>
      </c>
      <c r="H250" s="2">
        <v>35</v>
      </c>
      <c r="I250" s="4">
        <v>1646.8</v>
      </c>
      <c r="J250" s="3">
        <v>45707</v>
      </c>
      <c r="K250">
        <f t="shared" si="3"/>
        <v>57638</v>
      </c>
      <c r="L250" t="str">
        <f>INDEX(Raw_Shipments!L250:L2678,MATCH(A250,Raw_Shipments!B250:B2678))</f>
        <v>No</v>
      </c>
    </row>
    <row r="251" spans="1:12" x14ac:dyDescent="0.3">
      <c r="A251" s="5" t="s">
        <v>385</v>
      </c>
      <c r="B251" s="6">
        <v>45697</v>
      </c>
      <c r="C251" s="5" t="s">
        <v>337</v>
      </c>
      <c r="D251" s="5" t="s">
        <v>30</v>
      </c>
      <c r="E251" s="5" t="s">
        <v>36</v>
      </c>
      <c r="F251" s="5" t="s">
        <v>37</v>
      </c>
      <c r="G251" s="5" t="s">
        <v>33</v>
      </c>
      <c r="H251" s="5">
        <v>43</v>
      </c>
      <c r="I251" s="7">
        <v>1064.79</v>
      </c>
      <c r="J251" s="6">
        <v>45704</v>
      </c>
      <c r="K251">
        <f t="shared" si="3"/>
        <v>45785.97</v>
      </c>
      <c r="L251" t="str">
        <f>INDEX(Raw_Shipments!L251:L2679,MATCH(A251,Raw_Shipments!B251:B2679))</f>
        <v>No</v>
      </c>
    </row>
    <row r="252" spans="1:12" x14ac:dyDescent="0.3">
      <c r="A252" s="2" t="s">
        <v>386</v>
      </c>
      <c r="B252" s="3">
        <v>45697</v>
      </c>
      <c r="C252" s="2" t="s">
        <v>77</v>
      </c>
      <c r="D252" s="2" t="s">
        <v>25</v>
      </c>
      <c r="E252" s="2" t="s">
        <v>86</v>
      </c>
      <c r="F252" s="2" t="s">
        <v>87</v>
      </c>
      <c r="G252" s="2" t="s">
        <v>33</v>
      </c>
      <c r="H252" s="2">
        <v>30</v>
      </c>
      <c r="I252" s="4">
        <v>815.88</v>
      </c>
      <c r="J252" s="3">
        <v>45702</v>
      </c>
      <c r="K252">
        <f t="shared" si="3"/>
        <v>24476.400000000001</v>
      </c>
      <c r="L252" t="str">
        <f>INDEX(Raw_Shipments!L252:L2680,MATCH(A252,Raw_Shipments!B252:B2680))</f>
        <v>No</v>
      </c>
    </row>
    <row r="253" spans="1:12" x14ac:dyDescent="0.3">
      <c r="A253" s="5" t="s">
        <v>387</v>
      </c>
      <c r="B253" s="6">
        <v>45697</v>
      </c>
      <c r="C253" s="5" t="s">
        <v>141</v>
      </c>
      <c r="D253" s="5" t="s">
        <v>14</v>
      </c>
      <c r="E253" s="5" t="s">
        <v>46</v>
      </c>
      <c r="F253" s="5" t="s">
        <v>47</v>
      </c>
      <c r="G253" s="5" t="s">
        <v>42</v>
      </c>
      <c r="H253" s="5">
        <v>6</v>
      </c>
      <c r="I253" s="7">
        <v>1833.14</v>
      </c>
      <c r="J253" s="6">
        <v>45706</v>
      </c>
      <c r="K253">
        <f t="shared" si="3"/>
        <v>10998.84</v>
      </c>
      <c r="L253" t="str">
        <f>INDEX(Raw_Shipments!L253:L2681,MATCH(A253,Raw_Shipments!B253:B2681))</f>
        <v>No</v>
      </c>
    </row>
    <row r="254" spans="1:12" x14ac:dyDescent="0.3">
      <c r="A254" s="2" t="s">
        <v>388</v>
      </c>
      <c r="B254" s="3">
        <v>45697</v>
      </c>
      <c r="C254" s="2" t="s">
        <v>150</v>
      </c>
      <c r="D254" s="2" t="s">
        <v>25</v>
      </c>
      <c r="E254" s="2" t="s">
        <v>50</v>
      </c>
      <c r="F254" s="2" t="s">
        <v>51</v>
      </c>
      <c r="G254" s="2" t="s">
        <v>42</v>
      </c>
      <c r="H254" s="2">
        <v>8</v>
      </c>
      <c r="I254" s="4">
        <v>1952.28</v>
      </c>
      <c r="J254" s="3">
        <v>45707</v>
      </c>
      <c r="K254">
        <f t="shared" si="3"/>
        <v>15618.24</v>
      </c>
      <c r="L254" t="str">
        <f>INDEX(Raw_Shipments!L254:L2682,MATCH(A254,Raw_Shipments!B254:B2682))</f>
        <v>No</v>
      </c>
    </row>
    <row r="255" spans="1:12" x14ac:dyDescent="0.3">
      <c r="A255" s="5" t="s">
        <v>389</v>
      </c>
      <c r="B255" s="6">
        <v>45698</v>
      </c>
      <c r="C255" s="5" t="s">
        <v>166</v>
      </c>
      <c r="D255" s="5" t="s">
        <v>25</v>
      </c>
      <c r="E255" s="5" t="s">
        <v>66</v>
      </c>
      <c r="F255" s="5" t="s">
        <v>67</v>
      </c>
      <c r="G255" s="5" t="s">
        <v>17</v>
      </c>
      <c r="H255" s="5">
        <v>18</v>
      </c>
      <c r="I255" s="7">
        <v>850.8</v>
      </c>
      <c r="J255" s="6">
        <v>45702</v>
      </c>
      <c r="K255">
        <f t="shared" si="3"/>
        <v>15314.4</v>
      </c>
      <c r="L255" t="str">
        <f>INDEX(Raw_Shipments!L255:L2683,MATCH(A255,Raw_Shipments!B255:B2683))</f>
        <v>No</v>
      </c>
    </row>
    <row r="256" spans="1:12" x14ac:dyDescent="0.3">
      <c r="A256" s="2" t="s">
        <v>390</v>
      </c>
      <c r="B256" s="3">
        <v>45698</v>
      </c>
      <c r="C256" s="2" t="s">
        <v>312</v>
      </c>
      <c r="D256" s="2" t="s">
        <v>30</v>
      </c>
      <c r="E256" s="2" t="s">
        <v>15</v>
      </c>
      <c r="F256" s="2" t="s">
        <v>16</v>
      </c>
      <c r="G256" s="2" t="s">
        <v>17</v>
      </c>
      <c r="H256" s="2">
        <v>21</v>
      </c>
      <c r="I256" s="4">
        <v>183.06</v>
      </c>
      <c r="J256" s="3">
        <v>45704</v>
      </c>
      <c r="K256">
        <f t="shared" si="3"/>
        <v>3844.26</v>
      </c>
      <c r="L256" t="str">
        <f>INDEX(Raw_Shipments!L256:L2684,MATCH(A256,Raw_Shipments!B256:B2684))</f>
        <v>Yes</v>
      </c>
    </row>
    <row r="257" spans="1:12" x14ac:dyDescent="0.3">
      <c r="A257" s="5" t="s">
        <v>391</v>
      </c>
      <c r="B257" s="6">
        <v>45698</v>
      </c>
      <c r="C257" s="5" t="s">
        <v>91</v>
      </c>
      <c r="D257" s="5" t="s">
        <v>25</v>
      </c>
      <c r="E257" s="5" t="s">
        <v>119</v>
      </c>
      <c r="F257" s="5" t="s">
        <v>120</v>
      </c>
      <c r="G257" s="5" t="s">
        <v>22</v>
      </c>
      <c r="H257" s="5">
        <v>31</v>
      </c>
      <c r="I257" s="7">
        <v>912.26</v>
      </c>
      <c r="J257" s="6">
        <v>45703</v>
      </c>
      <c r="K257">
        <f t="shared" si="3"/>
        <v>28280.06</v>
      </c>
      <c r="L257" t="str">
        <f>INDEX(Raw_Shipments!L257:L2685,MATCH(A257,Raw_Shipments!B257:B2685))</f>
        <v>No</v>
      </c>
    </row>
    <row r="258" spans="1:12" x14ac:dyDescent="0.3">
      <c r="A258" s="2" t="s">
        <v>392</v>
      </c>
      <c r="B258" s="3">
        <v>45698</v>
      </c>
      <c r="C258" s="2" t="s">
        <v>96</v>
      </c>
      <c r="D258" s="2" t="s">
        <v>30</v>
      </c>
      <c r="E258" s="2" t="s">
        <v>36</v>
      </c>
      <c r="F258" s="2" t="s">
        <v>37</v>
      </c>
      <c r="G258" s="2" t="s">
        <v>33</v>
      </c>
      <c r="H258" s="2">
        <v>44</v>
      </c>
      <c r="I258" s="4">
        <v>1064.79</v>
      </c>
      <c r="J258" s="3">
        <v>45706</v>
      </c>
      <c r="K258">
        <f t="shared" si="3"/>
        <v>46850.759999999995</v>
      </c>
      <c r="L258" t="str">
        <f>INDEX(Raw_Shipments!L258:L2686,MATCH(A258,Raw_Shipments!B258:B2686))</f>
        <v>No</v>
      </c>
    </row>
    <row r="259" spans="1:12" x14ac:dyDescent="0.3">
      <c r="A259" s="5" t="s">
        <v>393</v>
      </c>
      <c r="B259" s="6">
        <v>45698</v>
      </c>
      <c r="C259" s="5" t="s">
        <v>331</v>
      </c>
      <c r="D259" s="5" t="s">
        <v>30</v>
      </c>
      <c r="E259" s="5" t="s">
        <v>46</v>
      </c>
      <c r="F259" s="5" t="s">
        <v>47</v>
      </c>
      <c r="G259" s="5" t="s">
        <v>42</v>
      </c>
      <c r="H259" s="5">
        <v>5</v>
      </c>
      <c r="I259" s="7">
        <v>1833.14</v>
      </c>
      <c r="J259" s="6">
        <v>45706</v>
      </c>
      <c r="K259">
        <f t="shared" ref="K259:K322" si="4">I259*H259</f>
        <v>9165.7000000000007</v>
      </c>
      <c r="L259" t="str">
        <f>INDEX(Raw_Shipments!L259:L2687,MATCH(A259,Raw_Shipments!B259:B2687))</f>
        <v>No</v>
      </c>
    </row>
    <row r="260" spans="1:12" x14ac:dyDescent="0.3">
      <c r="A260" s="2" t="s">
        <v>394</v>
      </c>
      <c r="B260" s="3">
        <v>45699</v>
      </c>
      <c r="C260" s="2" t="s">
        <v>260</v>
      </c>
      <c r="D260" s="2" t="s">
        <v>25</v>
      </c>
      <c r="E260" s="2" t="s">
        <v>53</v>
      </c>
      <c r="F260" s="2" t="s">
        <v>54</v>
      </c>
      <c r="G260" s="2" t="s">
        <v>55</v>
      </c>
      <c r="H260" s="2">
        <v>38</v>
      </c>
      <c r="I260" s="4">
        <v>2055.9</v>
      </c>
      <c r="J260" s="3">
        <v>45703</v>
      </c>
      <c r="K260">
        <f t="shared" si="4"/>
        <v>78124.2</v>
      </c>
      <c r="L260" t="str">
        <f>INDEX(Raw_Shipments!L260:L2688,MATCH(A260,Raw_Shipments!B260:B2688))</f>
        <v>No</v>
      </c>
    </row>
    <row r="261" spans="1:12" x14ac:dyDescent="0.3">
      <c r="A261" s="5" t="s">
        <v>395</v>
      </c>
      <c r="B261" s="6">
        <v>45699</v>
      </c>
      <c r="C261" s="5" t="s">
        <v>77</v>
      </c>
      <c r="D261" s="5" t="s">
        <v>14</v>
      </c>
      <c r="E261" s="5" t="s">
        <v>97</v>
      </c>
      <c r="F261" s="5" t="s">
        <v>98</v>
      </c>
      <c r="G261" s="5" t="s">
        <v>17</v>
      </c>
      <c r="H261" s="5">
        <v>19</v>
      </c>
      <c r="I261" s="7">
        <v>1110.6500000000001</v>
      </c>
      <c r="J261" s="6">
        <v>45709</v>
      </c>
      <c r="K261">
        <f t="shared" si="4"/>
        <v>21102.350000000002</v>
      </c>
      <c r="L261" t="str">
        <f>INDEX(Raw_Shipments!L261:L2689,MATCH(A261,Raw_Shipments!B261:B2689))</f>
        <v>Yes</v>
      </c>
    </row>
    <row r="262" spans="1:12" x14ac:dyDescent="0.3">
      <c r="A262" s="2" t="s">
        <v>396</v>
      </c>
      <c r="B262" s="3">
        <v>45699</v>
      </c>
      <c r="C262" s="2" t="s">
        <v>135</v>
      </c>
      <c r="D262" s="2" t="s">
        <v>14</v>
      </c>
      <c r="E262" s="2" t="s">
        <v>119</v>
      </c>
      <c r="F262" s="2" t="s">
        <v>120</v>
      </c>
      <c r="G262" s="2" t="s">
        <v>22</v>
      </c>
      <c r="H262" s="2">
        <v>27</v>
      </c>
      <c r="I262" s="4">
        <v>912.26</v>
      </c>
      <c r="J262" s="3">
        <v>45708</v>
      </c>
      <c r="K262">
        <f t="shared" si="4"/>
        <v>24631.02</v>
      </c>
      <c r="L262" t="str">
        <f>INDEX(Raw_Shipments!L262:L2690,MATCH(A262,Raw_Shipments!B262:B2690))</f>
        <v>No</v>
      </c>
    </row>
    <row r="263" spans="1:12" x14ac:dyDescent="0.3">
      <c r="A263" s="5" t="s">
        <v>397</v>
      </c>
      <c r="B263" s="6">
        <v>45699</v>
      </c>
      <c r="C263" s="5" t="s">
        <v>213</v>
      </c>
      <c r="D263" s="5" t="s">
        <v>45</v>
      </c>
      <c r="E263" s="5" t="s">
        <v>26</v>
      </c>
      <c r="F263" s="5" t="s">
        <v>27</v>
      </c>
      <c r="G263" s="5" t="s">
        <v>22</v>
      </c>
      <c r="H263" s="5">
        <v>12</v>
      </c>
      <c r="I263" s="7">
        <v>1646.8</v>
      </c>
      <c r="J263" s="6">
        <v>45703</v>
      </c>
      <c r="K263">
        <f t="shared" si="4"/>
        <v>19761.599999999999</v>
      </c>
      <c r="L263" t="str">
        <f>INDEX(Raw_Shipments!L263:L2691,MATCH(A263,Raw_Shipments!B263:B2691))</f>
        <v>No</v>
      </c>
    </row>
    <row r="264" spans="1:12" x14ac:dyDescent="0.3">
      <c r="A264" s="2" t="s">
        <v>398</v>
      </c>
      <c r="B264" s="3">
        <v>45699</v>
      </c>
      <c r="C264" s="2" t="s">
        <v>198</v>
      </c>
      <c r="D264" s="2" t="s">
        <v>30</v>
      </c>
      <c r="E264" s="2" t="s">
        <v>31</v>
      </c>
      <c r="F264" s="2" t="s">
        <v>32</v>
      </c>
      <c r="G264" s="2" t="s">
        <v>33</v>
      </c>
      <c r="H264" s="2">
        <v>26</v>
      </c>
      <c r="I264" s="4">
        <v>689</v>
      </c>
      <c r="J264" s="3">
        <v>45705</v>
      </c>
      <c r="K264">
        <f t="shared" si="4"/>
        <v>17914</v>
      </c>
      <c r="L264" t="str">
        <f>INDEX(Raw_Shipments!L264:L2692,MATCH(A264,Raw_Shipments!B264:B2692))</f>
        <v>No</v>
      </c>
    </row>
    <row r="265" spans="1:12" x14ac:dyDescent="0.3">
      <c r="A265" s="5" t="s">
        <v>399</v>
      </c>
      <c r="B265" s="6">
        <v>45699</v>
      </c>
      <c r="C265" s="5" t="s">
        <v>400</v>
      </c>
      <c r="D265" s="5" t="s">
        <v>14</v>
      </c>
      <c r="E265" s="5" t="s">
        <v>40</v>
      </c>
      <c r="F265" s="5" t="s">
        <v>41</v>
      </c>
      <c r="G265" s="5" t="s">
        <v>42</v>
      </c>
      <c r="H265" s="5">
        <v>30</v>
      </c>
      <c r="I265" s="7">
        <v>2445.11</v>
      </c>
      <c r="J265" s="6">
        <v>45704</v>
      </c>
      <c r="K265">
        <f t="shared" si="4"/>
        <v>73353.3</v>
      </c>
      <c r="L265" t="str">
        <f>INDEX(Raw_Shipments!L265:L2693,MATCH(A265,Raw_Shipments!B265:B2693))</f>
        <v>No</v>
      </c>
    </row>
    <row r="266" spans="1:12" x14ac:dyDescent="0.3">
      <c r="A266" s="2" t="s">
        <v>401</v>
      </c>
      <c r="B266" s="3">
        <v>45700</v>
      </c>
      <c r="C266" s="2" t="s">
        <v>234</v>
      </c>
      <c r="D266" s="2" t="s">
        <v>25</v>
      </c>
      <c r="E266" s="2" t="s">
        <v>58</v>
      </c>
      <c r="F266" s="2" t="s">
        <v>59</v>
      </c>
      <c r="G266" s="2" t="s">
        <v>55</v>
      </c>
      <c r="H266" s="2">
        <v>23</v>
      </c>
      <c r="I266" s="4">
        <v>1695.1</v>
      </c>
      <c r="J266" s="3">
        <v>45708</v>
      </c>
      <c r="K266">
        <f t="shared" si="4"/>
        <v>38987.299999999996</v>
      </c>
      <c r="L266" t="str">
        <f>INDEX(Raw_Shipments!L266:L2694,MATCH(A266,Raw_Shipments!B266:B2694))</f>
        <v>No</v>
      </c>
    </row>
    <row r="267" spans="1:12" x14ac:dyDescent="0.3">
      <c r="A267" s="5" t="s">
        <v>402</v>
      </c>
      <c r="B267" s="6">
        <v>45700</v>
      </c>
      <c r="C267" s="5" t="s">
        <v>213</v>
      </c>
      <c r="D267" s="5" t="s">
        <v>14</v>
      </c>
      <c r="E267" s="5" t="s">
        <v>20</v>
      </c>
      <c r="F267" s="5" t="s">
        <v>21</v>
      </c>
      <c r="G267" s="5" t="s">
        <v>22</v>
      </c>
      <c r="H267" s="5">
        <v>12</v>
      </c>
      <c r="I267" s="7">
        <v>2108.56</v>
      </c>
      <c r="J267" s="6">
        <v>45710</v>
      </c>
      <c r="K267">
        <f t="shared" si="4"/>
        <v>25302.720000000001</v>
      </c>
      <c r="L267" t="str">
        <f>INDEX(Raw_Shipments!L267:L2695,MATCH(A267,Raw_Shipments!B267:B2695))</f>
        <v>No</v>
      </c>
    </row>
    <row r="268" spans="1:12" x14ac:dyDescent="0.3">
      <c r="A268" s="2" t="s">
        <v>403</v>
      </c>
      <c r="B268" s="3">
        <v>45700</v>
      </c>
      <c r="C268" s="2" t="s">
        <v>343</v>
      </c>
      <c r="D268" s="2" t="s">
        <v>25</v>
      </c>
      <c r="E268" s="2" t="s">
        <v>119</v>
      </c>
      <c r="F268" s="2" t="s">
        <v>120</v>
      </c>
      <c r="G268" s="2" t="s">
        <v>22</v>
      </c>
      <c r="H268" s="2">
        <v>30</v>
      </c>
      <c r="I268" s="4">
        <v>912.26</v>
      </c>
      <c r="J268" s="3">
        <v>45707</v>
      </c>
      <c r="K268">
        <f t="shared" si="4"/>
        <v>27367.8</v>
      </c>
      <c r="L268" t="str">
        <f>INDEX(Raw_Shipments!L268:L2696,MATCH(A268,Raw_Shipments!B268:B2696))</f>
        <v>Yes</v>
      </c>
    </row>
    <row r="269" spans="1:12" x14ac:dyDescent="0.3">
      <c r="A269" s="5" t="s">
        <v>404</v>
      </c>
      <c r="B269" s="6">
        <v>45701</v>
      </c>
      <c r="C269" s="5" t="s">
        <v>166</v>
      </c>
      <c r="D269" s="5" t="s">
        <v>25</v>
      </c>
      <c r="E269" s="5" t="s">
        <v>53</v>
      </c>
      <c r="F269" s="5" t="s">
        <v>54</v>
      </c>
      <c r="G269" s="5" t="s">
        <v>55</v>
      </c>
      <c r="H269" s="5">
        <v>59</v>
      </c>
      <c r="I269" s="7">
        <v>2055.9</v>
      </c>
      <c r="J269" s="6">
        <v>45710</v>
      </c>
      <c r="K269">
        <f t="shared" si="4"/>
        <v>121298.1</v>
      </c>
      <c r="L269" t="str">
        <f>INDEX(Raw_Shipments!L269:L2697,MATCH(A269,Raw_Shipments!B269:B2697))</f>
        <v>Yes</v>
      </c>
    </row>
    <row r="270" spans="1:12" x14ac:dyDescent="0.3">
      <c r="A270" s="2" t="s">
        <v>405</v>
      </c>
      <c r="B270" s="3">
        <v>45701</v>
      </c>
      <c r="C270" s="2" t="s">
        <v>57</v>
      </c>
      <c r="D270" s="2" t="s">
        <v>25</v>
      </c>
      <c r="E270" s="2" t="s">
        <v>66</v>
      </c>
      <c r="F270" s="2" t="s">
        <v>67</v>
      </c>
      <c r="G270" s="2" t="s">
        <v>17</v>
      </c>
      <c r="H270" s="2">
        <v>12</v>
      </c>
      <c r="I270" s="4">
        <v>850.8</v>
      </c>
      <c r="J270" s="3">
        <v>45709</v>
      </c>
      <c r="K270">
        <f t="shared" si="4"/>
        <v>10209.599999999999</v>
      </c>
      <c r="L270" t="str">
        <f>INDEX(Raw_Shipments!L270:L2698,MATCH(A270,Raw_Shipments!B270:B2698))</f>
        <v>No</v>
      </c>
    </row>
    <row r="271" spans="1:12" x14ac:dyDescent="0.3">
      <c r="A271" s="5" t="s">
        <v>406</v>
      </c>
      <c r="B271" s="6">
        <v>45701</v>
      </c>
      <c r="C271" s="5" t="s">
        <v>178</v>
      </c>
      <c r="D271" s="5" t="s">
        <v>25</v>
      </c>
      <c r="E271" s="5" t="s">
        <v>15</v>
      </c>
      <c r="F271" s="5" t="s">
        <v>16</v>
      </c>
      <c r="G271" s="5" t="s">
        <v>17</v>
      </c>
      <c r="H271" s="5">
        <v>21</v>
      </c>
      <c r="I271" s="7">
        <v>183.06</v>
      </c>
      <c r="J271" s="6">
        <v>45708</v>
      </c>
      <c r="K271">
        <f t="shared" si="4"/>
        <v>3844.26</v>
      </c>
      <c r="L271" t="str">
        <f>INDEX(Raw_Shipments!L271:L2699,MATCH(A271,Raw_Shipments!B271:B2699))</f>
        <v>No</v>
      </c>
    </row>
    <row r="272" spans="1:12" x14ac:dyDescent="0.3">
      <c r="A272" s="2" t="s">
        <v>407</v>
      </c>
      <c r="B272" s="3">
        <v>45701</v>
      </c>
      <c r="C272" s="2" t="s">
        <v>141</v>
      </c>
      <c r="D272" s="2" t="s">
        <v>14</v>
      </c>
      <c r="E272" s="2" t="s">
        <v>20</v>
      </c>
      <c r="F272" s="2" t="s">
        <v>21</v>
      </c>
      <c r="G272" s="2" t="s">
        <v>22</v>
      </c>
      <c r="H272" s="2">
        <v>9</v>
      </c>
      <c r="I272" s="4">
        <v>2108.56</v>
      </c>
      <c r="J272" s="3">
        <v>45707</v>
      </c>
      <c r="K272">
        <f t="shared" si="4"/>
        <v>18977.04</v>
      </c>
      <c r="L272" t="str">
        <f>INDEX(Raw_Shipments!L272:L2700,MATCH(A272,Raw_Shipments!B272:B2700))</f>
        <v>No</v>
      </c>
    </row>
    <row r="273" spans="1:12" x14ac:dyDescent="0.3">
      <c r="A273" s="5" t="s">
        <v>408</v>
      </c>
      <c r="B273" s="6">
        <v>45701</v>
      </c>
      <c r="C273" s="5" t="s">
        <v>146</v>
      </c>
      <c r="D273" s="5" t="s">
        <v>30</v>
      </c>
      <c r="E273" s="5" t="s">
        <v>26</v>
      </c>
      <c r="F273" s="5" t="s">
        <v>27</v>
      </c>
      <c r="G273" s="5" t="s">
        <v>22</v>
      </c>
      <c r="H273" s="5">
        <v>13</v>
      </c>
      <c r="I273" s="7">
        <v>1646.8</v>
      </c>
      <c r="J273" s="6">
        <v>45710</v>
      </c>
      <c r="K273">
        <f t="shared" si="4"/>
        <v>21408.399999999998</v>
      </c>
      <c r="L273" t="str">
        <f>INDEX(Raw_Shipments!L273:L2701,MATCH(A273,Raw_Shipments!B273:B2701))</f>
        <v>Yes</v>
      </c>
    </row>
    <row r="274" spans="1:12" x14ac:dyDescent="0.3">
      <c r="A274" s="2" t="s">
        <v>409</v>
      </c>
      <c r="B274" s="3">
        <v>45701</v>
      </c>
      <c r="C274" s="2" t="s">
        <v>198</v>
      </c>
      <c r="D274" s="2" t="s">
        <v>30</v>
      </c>
      <c r="E274" s="2" t="s">
        <v>31</v>
      </c>
      <c r="F274" s="2" t="s">
        <v>32</v>
      </c>
      <c r="G274" s="2" t="s">
        <v>33</v>
      </c>
      <c r="H274" s="2">
        <v>38</v>
      </c>
      <c r="I274" s="4">
        <v>689</v>
      </c>
      <c r="J274" s="3">
        <v>45706</v>
      </c>
      <c r="K274">
        <f t="shared" si="4"/>
        <v>26182</v>
      </c>
      <c r="L274" t="str">
        <f>INDEX(Raw_Shipments!L274:L2702,MATCH(A274,Raw_Shipments!B274:B2702))</f>
        <v>No</v>
      </c>
    </row>
    <row r="275" spans="1:12" x14ac:dyDescent="0.3">
      <c r="A275" s="5" t="s">
        <v>410</v>
      </c>
      <c r="B275" s="6">
        <v>45701</v>
      </c>
      <c r="C275" s="5" t="s">
        <v>128</v>
      </c>
      <c r="D275" s="5" t="s">
        <v>25</v>
      </c>
      <c r="E275" s="5" t="s">
        <v>86</v>
      </c>
      <c r="F275" s="5" t="s">
        <v>87</v>
      </c>
      <c r="G275" s="5" t="s">
        <v>33</v>
      </c>
      <c r="H275" s="5">
        <v>25</v>
      </c>
      <c r="I275" s="7">
        <v>815.88</v>
      </c>
      <c r="J275" s="6">
        <v>45708</v>
      </c>
      <c r="K275">
        <f t="shared" si="4"/>
        <v>20397</v>
      </c>
      <c r="L275" t="str">
        <f>INDEX(Raw_Shipments!L275:L2703,MATCH(A275,Raw_Shipments!B275:B2703))</f>
        <v>No</v>
      </c>
    </row>
    <row r="276" spans="1:12" x14ac:dyDescent="0.3">
      <c r="A276" s="2" t="s">
        <v>411</v>
      </c>
      <c r="B276" s="3">
        <v>45701</v>
      </c>
      <c r="C276" s="2" t="s">
        <v>107</v>
      </c>
      <c r="D276" s="2" t="s">
        <v>30</v>
      </c>
      <c r="E276" s="2" t="s">
        <v>50</v>
      </c>
      <c r="F276" s="2" t="s">
        <v>51</v>
      </c>
      <c r="G276" s="2" t="s">
        <v>42</v>
      </c>
      <c r="H276" s="2">
        <v>5</v>
      </c>
      <c r="I276" s="4">
        <v>1952.28</v>
      </c>
      <c r="J276" s="3">
        <v>45704</v>
      </c>
      <c r="K276">
        <f t="shared" si="4"/>
        <v>9761.4</v>
      </c>
      <c r="L276" t="str">
        <f>INDEX(Raw_Shipments!L276:L2704,MATCH(A276,Raw_Shipments!B276:B2704))</f>
        <v>No</v>
      </c>
    </row>
    <row r="277" spans="1:12" x14ac:dyDescent="0.3">
      <c r="A277" s="5" t="s">
        <v>412</v>
      </c>
      <c r="B277" s="6">
        <v>45702</v>
      </c>
      <c r="C277" s="5" t="s">
        <v>166</v>
      </c>
      <c r="D277" s="5" t="s">
        <v>30</v>
      </c>
      <c r="E277" s="5" t="s">
        <v>58</v>
      </c>
      <c r="F277" s="5" t="s">
        <v>59</v>
      </c>
      <c r="G277" s="5" t="s">
        <v>55</v>
      </c>
      <c r="H277" s="5">
        <v>14</v>
      </c>
      <c r="I277" s="7">
        <v>1695.1</v>
      </c>
      <c r="J277" s="6">
        <v>45705</v>
      </c>
      <c r="K277">
        <f t="shared" si="4"/>
        <v>23731.399999999998</v>
      </c>
      <c r="L277" t="str">
        <f>INDEX(Raw_Shipments!L277:L2705,MATCH(A277,Raw_Shipments!B277:B2705))</f>
        <v>No</v>
      </c>
    </row>
    <row r="278" spans="1:12" x14ac:dyDescent="0.3">
      <c r="A278" s="2" t="s">
        <v>413</v>
      </c>
      <c r="B278" s="3">
        <v>45702</v>
      </c>
      <c r="C278" s="2" t="s">
        <v>24</v>
      </c>
      <c r="D278" s="2" t="s">
        <v>45</v>
      </c>
      <c r="E278" s="2" t="s">
        <v>62</v>
      </c>
      <c r="F278" s="2" t="s">
        <v>63</v>
      </c>
      <c r="G278" s="2" t="s">
        <v>55</v>
      </c>
      <c r="H278" s="2">
        <v>35</v>
      </c>
      <c r="I278" s="4">
        <v>2555.2199999999998</v>
      </c>
      <c r="J278" s="3">
        <v>45709</v>
      </c>
      <c r="K278">
        <f t="shared" si="4"/>
        <v>89432.7</v>
      </c>
      <c r="L278" t="str">
        <f>INDEX(Raw_Shipments!L278:L2706,MATCH(A278,Raw_Shipments!B278:B2706))</f>
        <v>No</v>
      </c>
    </row>
    <row r="279" spans="1:12" x14ac:dyDescent="0.3">
      <c r="A279" s="5" t="s">
        <v>414</v>
      </c>
      <c r="B279" s="6">
        <v>45702</v>
      </c>
      <c r="C279" s="5" t="s">
        <v>146</v>
      </c>
      <c r="D279" s="5" t="s">
        <v>25</v>
      </c>
      <c r="E279" s="5" t="s">
        <v>66</v>
      </c>
      <c r="F279" s="5" t="s">
        <v>67</v>
      </c>
      <c r="G279" s="5" t="s">
        <v>17</v>
      </c>
      <c r="H279" s="5">
        <v>4</v>
      </c>
      <c r="I279" s="7">
        <v>850.8</v>
      </c>
      <c r="J279" s="6">
        <v>45706</v>
      </c>
      <c r="K279">
        <f t="shared" si="4"/>
        <v>3403.2</v>
      </c>
      <c r="L279" t="str">
        <f>INDEX(Raw_Shipments!L279:L2707,MATCH(A279,Raw_Shipments!B279:B2707))</f>
        <v>No</v>
      </c>
    </row>
    <row r="280" spans="1:12" x14ac:dyDescent="0.3">
      <c r="A280" s="2" t="s">
        <v>415</v>
      </c>
      <c r="B280" s="3">
        <v>45702</v>
      </c>
      <c r="C280" s="2" t="s">
        <v>146</v>
      </c>
      <c r="D280" s="2" t="s">
        <v>14</v>
      </c>
      <c r="E280" s="2" t="s">
        <v>26</v>
      </c>
      <c r="F280" s="2" t="s">
        <v>27</v>
      </c>
      <c r="G280" s="2" t="s">
        <v>22</v>
      </c>
      <c r="H280" s="2">
        <v>14</v>
      </c>
      <c r="I280" s="4">
        <v>1646.8</v>
      </c>
      <c r="J280" s="3">
        <v>45706</v>
      </c>
      <c r="K280">
        <f t="shared" si="4"/>
        <v>23055.200000000001</v>
      </c>
      <c r="L280" t="str">
        <f>INDEX(Raw_Shipments!L280:L2708,MATCH(A280,Raw_Shipments!B280:B2708))</f>
        <v>No</v>
      </c>
    </row>
    <row r="281" spans="1:12" x14ac:dyDescent="0.3">
      <c r="A281" s="5" t="s">
        <v>416</v>
      </c>
      <c r="B281" s="6">
        <v>45702</v>
      </c>
      <c r="C281" s="5" t="s">
        <v>238</v>
      </c>
      <c r="D281" s="5" t="s">
        <v>14</v>
      </c>
      <c r="E281" s="5" t="s">
        <v>40</v>
      </c>
      <c r="F281" s="5" t="s">
        <v>41</v>
      </c>
      <c r="G281" s="5" t="s">
        <v>42</v>
      </c>
      <c r="H281" s="5">
        <v>25</v>
      </c>
      <c r="I281" s="7">
        <v>2445.11</v>
      </c>
      <c r="J281" s="6">
        <v>45710</v>
      </c>
      <c r="K281">
        <f t="shared" si="4"/>
        <v>61127.75</v>
      </c>
      <c r="L281" t="str">
        <f>INDEX(Raw_Shipments!L281:L2709,MATCH(A281,Raw_Shipments!B281:B2709))</f>
        <v>No</v>
      </c>
    </row>
    <row r="282" spans="1:12" x14ac:dyDescent="0.3">
      <c r="A282" s="2" t="s">
        <v>417</v>
      </c>
      <c r="B282" s="3">
        <v>45702</v>
      </c>
      <c r="C282" s="2" t="s">
        <v>418</v>
      </c>
      <c r="D282" s="2" t="s">
        <v>25</v>
      </c>
      <c r="E282" s="2" t="s">
        <v>46</v>
      </c>
      <c r="F282" s="2" t="s">
        <v>47</v>
      </c>
      <c r="G282" s="2" t="s">
        <v>42</v>
      </c>
      <c r="H282" s="2">
        <v>9</v>
      </c>
      <c r="I282" s="4">
        <v>1833.14</v>
      </c>
      <c r="J282" s="3">
        <v>45711</v>
      </c>
      <c r="K282">
        <f t="shared" si="4"/>
        <v>16498.260000000002</v>
      </c>
      <c r="L282" t="str">
        <f>INDEX(Raw_Shipments!L282:L2710,MATCH(A282,Raw_Shipments!B282:B2710))</f>
        <v>No</v>
      </c>
    </row>
    <row r="283" spans="1:12" x14ac:dyDescent="0.3">
      <c r="A283" s="5" t="s">
        <v>419</v>
      </c>
      <c r="B283" s="6">
        <v>45702</v>
      </c>
      <c r="C283" s="5" t="s">
        <v>420</v>
      </c>
      <c r="D283" s="5" t="s">
        <v>14</v>
      </c>
      <c r="E283" s="5" t="s">
        <v>50</v>
      </c>
      <c r="F283" s="5" t="s">
        <v>51</v>
      </c>
      <c r="G283" s="5" t="s">
        <v>42</v>
      </c>
      <c r="H283" s="5">
        <v>4</v>
      </c>
      <c r="I283" s="7">
        <v>1952.28</v>
      </c>
      <c r="J283" s="6">
        <v>45706</v>
      </c>
      <c r="K283">
        <f t="shared" si="4"/>
        <v>7809.12</v>
      </c>
      <c r="L283" t="str">
        <f>INDEX(Raw_Shipments!L283:L2711,MATCH(A283,Raw_Shipments!B283:B2711))</f>
        <v>No</v>
      </c>
    </row>
    <row r="284" spans="1:12" x14ac:dyDescent="0.3">
      <c r="A284" s="2" t="s">
        <v>421</v>
      </c>
      <c r="B284" s="3">
        <v>45703</v>
      </c>
      <c r="C284" s="2" t="s">
        <v>146</v>
      </c>
      <c r="D284" s="2" t="s">
        <v>25</v>
      </c>
      <c r="E284" s="2" t="s">
        <v>62</v>
      </c>
      <c r="F284" s="2" t="s">
        <v>63</v>
      </c>
      <c r="G284" s="2" t="s">
        <v>55</v>
      </c>
      <c r="H284" s="2">
        <v>25</v>
      </c>
      <c r="I284" s="4">
        <v>2555.2199999999998</v>
      </c>
      <c r="J284" s="3">
        <v>45710</v>
      </c>
      <c r="K284">
        <f t="shared" si="4"/>
        <v>63880.499999999993</v>
      </c>
      <c r="L284" t="str">
        <f>INDEX(Raw_Shipments!L284:L2712,MATCH(A284,Raw_Shipments!B284:B2712))</f>
        <v>Yes</v>
      </c>
    </row>
    <row r="285" spans="1:12" x14ac:dyDescent="0.3">
      <c r="A285" s="5" t="s">
        <v>422</v>
      </c>
      <c r="B285" s="6">
        <v>45703</v>
      </c>
      <c r="C285" s="5" t="s">
        <v>363</v>
      </c>
      <c r="D285" s="5" t="s">
        <v>14</v>
      </c>
      <c r="E285" s="5" t="s">
        <v>15</v>
      </c>
      <c r="F285" s="5" t="s">
        <v>16</v>
      </c>
      <c r="G285" s="5" t="s">
        <v>17</v>
      </c>
      <c r="H285" s="5">
        <v>17</v>
      </c>
      <c r="I285" s="7">
        <v>183.06</v>
      </c>
      <c r="J285" s="6">
        <v>45711</v>
      </c>
      <c r="K285">
        <f t="shared" si="4"/>
        <v>3112.02</v>
      </c>
      <c r="L285" t="str">
        <f>INDEX(Raw_Shipments!L285:L2713,MATCH(A285,Raw_Shipments!B285:B2713))</f>
        <v>No</v>
      </c>
    </row>
    <row r="286" spans="1:12" x14ac:dyDescent="0.3">
      <c r="A286" s="2" t="s">
        <v>423</v>
      </c>
      <c r="B286" s="3">
        <v>45703</v>
      </c>
      <c r="C286" s="2" t="s">
        <v>279</v>
      </c>
      <c r="D286" s="2" t="s">
        <v>25</v>
      </c>
      <c r="E286" s="2" t="s">
        <v>20</v>
      </c>
      <c r="F286" s="2" t="s">
        <v>21</v>
      </c>
      <c r="G286" s="2" t="s">
        <v>22</v>
      </c>
      <c r="H286" s="2">
        <v>16</v>
      </c>
      <c r="I286" s="4">
        <v>2108.56</v>
      </c>
      <c r="J286" s="3">
        <v>45712</v>
      </c>
      <c r="K286">
        <f t="shared" si="4"/>
        <v>33736.959999999999</v>
      </c>
      <c r="L286" t="str">
        <f>INDEX(Raw_Shipments!L286:L2714,MATCH(A286,Raw_Shipments!B286:B2714))</f>
        <v>No</v>
      </c>
    </row>
    <row r="287" spans="1:12" x14ac:dyDescent="0.3">
      <c r="A287" s="5" t="s">
        <v>424</v>
      </c>
      <c r="B287" s="6">
        <v>45703</v>
      </c>
      <c r="C287" s="5" t="s">
        <v>248</v>
      </c>
      <c r="D287" s="5" t="s">
        <v>14</v>
      </c>
      <c r="E287" s="5" t="s">
        <v>36</v>
      </c>
      <c r="F287" s="5" t="s">
        <v>37</v>
      </c>
      <c r="G287" s="5" t="s">
        <v>33</v>
      </c>
      <c r="H287" s="5">
        <v>46</v>
      </c>
      <c r="I287" s="7">
        <v>1064.79</v>
      </c>
      <c r="J287" s="6">
        <v>45709</v>
      </c>
      <c r="K287">
        <f t="shared" si="4"/>
        <v>48980.34</v>
      </c>
      <c r="L287" t="str">
        <f>INDEX(Raw_Shipments!L287:L2715,MATCH(A287,Raw_Shipments!B287:B2715))</f>
        <v>Yes</v>
      </c>
    </row>
    <row r="288" spans="1:12" x14ac:dyDescent="0.3">
      <c r="A288" s="2" t="s">
        <v>425</v>
      </c>
      <c r="B288" s="3">
        <v>45703</v>
      </c>
      <c r="C288" s="2" t="s">
        <v>150</v>
      </c>
      <c r="D288" s="2" t="s">
        <v>14</v>
      </c>
      <c r="E288" s="2" t="s">
        <v>50</v>
      </c>
      <c r="F288" s="2" t="s">
        <v>51</v>
      </c>
      <c r="G288" s="2" t="s">
        <v>42</v>
      </c>
      <c r="H288" s="2">
        <v>7</v>
      </c>
      <c r="I288" s="4">
        <v>1952.28</v>
      </c>
      <c r="J288" s="3">
        <v>45709</v>
      </c>
      <c r="K288">
        <f t="shared" si="4"/>
        <v>13665.96</v>
      </c>
      <c r="L288" t="str">
        <f>INDEX(Raw_Shipments!L288:L2716,MATCH(A288,Raw_Shipments!B288:B2716))</f>
        <v>No</v>
      </c>
    </row>
    <row r="289" spans="1:12" x14ac:dyDescent="0.3">
      <c r="A289" s="5" t="s">
        <v>426</v>
      </c>
      <c r="B289" s="6">
        <v>45704</v>
      </c>
      <c r="C289" s="5" t="s">
        <v>71</v>
      </c>
      <c r="D289" s="5" t="s">
        <v>14</v>
      </c>
      <c r="E289" s="5" t="s">
        <v>15</v>
      </c>
      <c r="F289" s="5" t="s">
        <v>16</v>
      </c>
      <c r="G289" s="5" t="s">
        <v>17</v>
      </c>
      <c r="H289" s="5">
        <v>4</v>
      </c>
      <c r="I289" s="7">
        <v>183.06</v>
      </c>
      <c r="J289" s="6">
        <v>45708</v>
      </c>
      <c r="K289">
        <f t="shared" si="4"/>
        <v>732.24</v>
      </c>
      <c r="L289" t="str">
        <f>INDEX(Raw_Shipments!L289:L2717,MATCH(A289,Raw_Shipments!B289:B2717))</f>
        <v>No</v>
      </c>
    </row>
    <row r="290" spans="1:12" x14ac:dyDescent="0.3">
      <c r="A290" s="2" t="s">
        <v>427</v>
      </c>
      <c r="B290" s="3">
        <v>45704</v>
      </c>
      <c r="C290" s="2" t="s">
        <v>279</v>
      </c>
      <c r="D290" s="2" t="s">
        <v>14</v>
      </c>
      <c r="E290" s="2" t="s">
        <v>119</v>
      </c>
      <c r="F290" s="2" t="s">
        <v>120</v>
      </c>
      <c r="G290" s="2" t="s">
        <v>22</v>
      </c>
      <c r="H290" s="2">
        <v>32</v>
      </c>
      <c r="I290" s="4">
        <v>912.26</v>
      </c>
      <c r="J290" s="3">
        <v>45708</v>
      </c>
      <c r="K290">
        <f t="shared" si="4"/>
        <v>29192.32</v>
      </c>
      <c r="L290" t="str">
        <f>INDEX(Raw_Shipments!L290:L2718,MATCH(A290,Raw_Shipments!B290:B2718))</f>
        <v>Yes</v>
      </c>
    </row>
    <row r="291" spans="1:12" x14ac:dyDescent="0.3">
      <c r="A291" s="5" t="s">
        <v>428</v>
      </c>
      <c r="B291" s="6">
        <v>45704</v>
      </c>
      <c r="C291" s="5" t="s">
        <v>79</v>
      </c>
      <c r="D291" s="5" t="s">
        <v>14</v>
      </c>
      <c r="E291" s="5" t="s">
        <v>86</v>
      </c>
      <c r="F291" s="5" t="s">
        <v>87</v>
      </c>
      <c r="G291" s="5" t="s">
        <v>33</v>
      </c>
      <c r="H291" s="5">
        <v>36</v>
      </c>
      <c r="I291" s="7">
        <v>815.88</v>
      </c>
      <c r="J291" s="6">
        <v>45707</v>
      </c>
      <c r="K291">
        <f t="shared" si="4"/>
        <v>29371.68</v>
      </c>
      <c r="L291" t="str">
        <f>INDEX(Raw_Shipments!L291:L2719,MATCH(A291,Raw_Shipments!B291:B2719))</f>
        <v>No</v>
      </c>
    </row>
    <row r="292" spans="1:12" x14ac:dyDescent="0.3">
      <c r="A292" s="2" t="s">
        <v>429</v>
      </c>
      <c r="B292" s="3">
        <v>45704</v>
      </c>
      <c r="C292" s="2" t="s">
        <v>166</v>
      </c>
      <c r="D292" s="2" t="s">
        <v>25</v>
      </c>
      <c r="E292" s="2" t="s">
        <v>50</v>
      </c>
      <c r="F292" s="2" t="s">
        <v>51</v>
      </c>
      <c r="G292" s="2" t="s">
        <v>42</v>
      </c>
      <c r="H292" s="2">
        <v>3</v>
      </c>
      <c r="I292" s="4">
        <v>1952.28</v>
      </c>
      <c r="J292" s="3">
        <v>45707</v>
      </c>
      <c r="K292">
        <f t="shared" si="4"/>
        <v>5856.84</v>
      </c>
      <c r="L292" t="str">
        <f>INDEX(Raw_Shipments!L292:L2720,MATCH(A292,Raw_Shipments!B292:B2720))</f>
        <v>No</v>
      </c>
    </row>
    <row r="293" spans="1:12" x14ac:dyDescent="0.3">
      <c r="A293" s="5" t="s">
        <v>430</v>
      </c>
      <c r="B293" s="6">
        <v>45705</v>
      </c>
      <c r="C293" s="5" t="s">
        <v>431</v>
      </c>
      <c r="D293" s="5" t="s">
        <v>45</v>
      </c>
      <c r="E293" s="5" t="s">
        <v>66</v>
      </c>
      <c r="F293" s="5" t="s">
        <v>67</v>
      </c>
      <c r="G293" s="5" t="s">
        <v>17</v>
      </c>
      <c r="H293" s="5">
        <v>16</v>
      </c>
      <c r="I293" s="7">
        <v>850.8</v>
      </c>
      <c r="J293" s="6">
        <v>45713</v>
      </c>
      <c r="K293">
        <f t="shared" si="4"/>
        <v>13612.8</v>
      </c>
      <c r="L293" t="str">
        <f>INDEX(Raw_Shipments!L293:L2721,MATCH(A293,Raw_Shipments!B293:B2721))</f>
        <v>No</v>
      </c>
    </row>
    <row r="294" spans="1:12" x14ac:dyDescent="0.3">
      <c r="A294" s="2" t="s">
        <v>432</v>
      </c>
      <c r="B294" s="3">
        <v>45705</v>
      </c>
      <c r="C294" s="2" t="s">
        <v>24</v>
      </c>
      <c r="D294" s="2" t="s">
        <v>25</v>
      </c>
      <c r="E294" s="2" t="s">
        <v>15</v>
      </c>
      <c r="F294" s="2" t="s">
        <v>16</v>
      </c>
      <c r="G294" s="2" t="s">
        <v>17</v>
      </c>
      <c r="H294" s="2">
        <v>25</v>
      </c>
      <c r="I294" s="4">
        <v>183.06</v>
      </c>
      <c r="J294" s="3">
        <v>45715</v>
      </c>
      <c r="K294">
        <f t="shared" si="4"/>
        <v>4576.5</v>
      </c>
      <c r="L294" t="str">
        <f>INDEX(Raw_Shipments!L294:L2722,MATCH(A294,Raw_Shipments!B294:B2722))</f>
        <v>Yes</v>
      </c>
    </row>
    <row r="295" spans="1:12" x14ac:dyDescent="0.3">
      <c r="A295" s="5" t="s">
        <v>433</v>
      </c>
      <c r="B295" s="6">
        <v>45705</v>
      </c>
      <c r="C295" s="5" t="s">
        <v>343</v>
      </c>
      <c r="D295" s="5" t="s">
        <v>30</v>
      </c>
      <c r="E295" s="5" t="s">
        <v>20</v>
      </c>
      <c r="F295" s="5" t="s">
        <v>21</v>
      </c>
      <c r="G295" s="5" t="s">
        <v>22</v>
      </c>
      <c r="H295" s="5">
        <v>5</v>
      </c>
      <c r="I295" s="7">
        <v>2108.56</v>
      </c>
      <c r="J295" s="6">
        <v>45710</v>
      </c>
      <c r="K295">
        <f t="shared" si="4"/>
        <v>10542.8</v>
      </c>
      <c r="L295" t="str">
        <f>INDEX(Raw_Shipments!L295:L2723,MATCH(A295,Raw_Shipments!B295:B2723))</f>
        <v>No</v>
      </c>
    </row>
    <row r="296" spans="1:12" x14ac:dyDescent="0.3">
      <c r="A296" s="2" t="s">
        <v>434</v>
      </c>
      <c r="B296" s="3">
        <v>45705</v>
      </c>
      <c r="C296" s="2" t="s">
        <v>111</v>
      </c>
      <c r="D296" s="2" t="s">
        <v>45</v>
      </c>
      <c r="E296" s="2" t="s">
        <v>119</v>
      </c>
      <c r="F296" s="2" t="s">
        <v>120</v>
      </c>
      <c r="G296" s="2" t="s">
        <v>22</v>
      </c>
      <c r="H296" s="2">
        <v>52</v>
      </c>
      <c r="I296" s="4">
        <v>912.26</v>
      </c>
      <c r="J296" s="3">
        <v>45714</v>
      </c>
      <c r="K296">
        <f t="shared" si="4"/>
        <v>47437.52</v>
      </c>
      <c r="L296" t="str">
        <f>INDEX(Raw_Shipments!L296:L2724,MATCH(A296,Raw_Shipments!B296:B2724))</f>
        <v>No</v>
      </c>
    </row>
    <row r="297" spans="1:12" x14ac:dyDescent="0.3">
      <c r="A297" s="5" t="s">
        <v>435</v>
      </c>
      <c r="B297" s="6">
        <v>45705</v>
      </c>
      <c r="C297" s="5" t="s">
        <v>152</v>
      </c>
      <c r="D297" s="5" t="s">
        <v>30</v>
      </c>
      <c r="E297" s="5" t="s">
        <v>40</v>
      </c>
      <c r="F297" s="5" t="s">
        <v>41</v>
      </c>
      <c r="G297" s="5" t="s">
        <v>42</v>
      </c>
      <c r="H297" s="5">
        <v>19</v>
      </c>
      <c r="I297" s="7">
        <v>2445.11</v>
      </c>
      <c r="J297" s="6">
        <v>45710</v>
      </c>
      <c r="K297">
        <f t="shared" si="4"/>
        <v>46457.090000000004</v>
      </c>
      <c r="L297" t="str">
        <f>INDEX(Raw_Shipments!L297:L2725,MATCH(A297,Raw_Shipments!B297:B2725))</f>
        <v>No</v>
      </c>
    </row>
    <row r="298" spans="1:12" x14ac:dyDescent="0.3">
      <c r="A298" s="2" t="s">
        <v>436</v>
      </c>
      <c r="B298" s="3">
        <v>45706</v>
      </c>
      <c r="C298" s="2" t="s">
        <v>156</v>
      </c>
      <c r="D298" s="2" t="s">
        <v>30</v>
      </c>
      <c r="E298" s="2" t="s">
        <v>53</v>
      </c>
      <c r="F298" s="2" t="s">
        <v>54</v>
      </c>
      <c r="G298" s="2" t="s">
        <v>55</v>
      </c>
      <c r="H298" s="2">
        <v>36</v>
      </c>
      <c r="I298" s="4">
        <v>2055.9</v>
      </c>
      <c r="J298" s="3">
        <v>45713</v>
      </c>
      <c r="K298">
        <f t="shared" si="4"/>
        <v>74012.400000000009</v>
      </c>
      <c r="L298" t="str">
        <f>INDEX(Raw_Shipments!L298:L2726,MATCH(A298,Raw_Shipments!B298:B2726))</f>
        <v>No</v>
      </c>
    </row>
    <row r="299" spans="1:12" x14ac:dyDescent="0.3">
      <c r="A299" s="5" t="s">
        <v>437</v>
      </c>
      <c r="B299" s="6">
        <v>45706</v>
      </c>
      <c r="C299" s="5" t="s">
        <v>438</v>
      </c>
      <c r="D299" s="5" t="s">
        <v>25</v>
      </c>
      <c r="E299" s="5" t="s">
        <v>66</v>
      </c>
      <c r="F299" s="5" t="s">
        <v>67</v>
      </c>
      <c r="G299" s="5" t="s">
        <v>17</v>
      </c>
      <c r="H299" s="5">
        <v>14</v>
      </c>
      <c r="I299" s="7">
        <v>850.8</v>
      </c>
      <c r="J299" s="6">
        <v>45714</v>
      </c>
      <c r="K299">
        <f t="shared" si="4"/>
        <v>11911.199999999999</v>
      </c>
      <c r="L299" t="str">
        <f>INDEX(Raw_Shipments!L299:L2727,MATCH(A299,Raw_Shipments!B299:B2727))</f>
        <v>Yes</v>
      </c>
    </row>
    <row r="300" spans="1:12" x14ac:dyDescent="0.3">
      <c r="A300" s="2" t="s">
        <v>439</v>
      </c>
      <c r="B300" s="3">
        <v>45706</v>
      </c>
      <c r="C300" s="2" t="s">
        <v>39</v>
      </c>
      <c r="D300" s="2" t="s">
        <v>30</v>
      </c>
      <c r="E300" s="2" t="s">
        <v>97</v>
      </c>
      <c r="F300" s="2" t="s">
        <v>98</v>
      </c>
      <c r="G300" s="2" t="s">
        <v>17</v>
      </c>
      <c r="H300" s="2">
        <v>38</v>
      </c>
      <c r="I300" s="4">
        <v>1110.6500000000001</v>
      </c>
      <c r="J300" s="3">
        <v>45709</v>
      </c>
      <c r="K300">
        <f t="shared" si="4"/>
        <v>42204.700000000004</v>
      </c>
      <c r="L300" t="str">
        <f>INDEX(Raw_Shipments!L300:L2728,MATCH(A300,Raw_Shipments!B300:B2728))</f>
        <v>No</v>
      </c>
    </row>
    <row r="301" spans="1:12" x14ac:dyDescent="0.3">
      <c r="A301" s="5" t="s">
        <v>440</v>
      </c>
      <c r="B301" s="6">
        <v>45706</v>
      </c>
      <c r="C301" s="5" t="s">
        <v>229</v>
      </c>
      <c r="D301" s="5" t="s">
        <v>45</v>
      </c>
      <c r="E301" s="5" t="s">
        <v>26</v>
      </c>
      <c r="F301" s="5" t="s">
        <v>27</v>
      </c>
      <c r="G301" s="5" t="s">
        <v>22</v>
      </c>
      <c r="H301" s="5">
        <v>11</v>
      </c>
      <c r="I301" s="7">
        <v>1646.8</v>
      </c>
      <c r="J301" s="6">
        <v>45710</v>
      </c>
      <c r="K301">
        <f t="shared" si="4"/>
        <v>18114.8</v>
      </c>
      <c r="L301" t="str">
        <f>INDEX(Raw_Shipments!L301:L2729,MATCH(A301,Raw_Shipments!B301:B2729))</f>
        <v>No</v>
      </c>
    </row>
    <row r="302" spans="1:12" x14ac:dyDescent="0.3">
      <c r="A302" s="2" t="s">
        <v>441</v>
      </c>
      <c r="B302" s="3">
        <v>45706</v>
      </c>
      <c r="C302" s="2" t="s">
        <v>442</v>
      </c>
      <c r="D302" s="2" t="s">
        <v>45</v>
      </c>
      <c r="E302" s="2" t="s">
        <v>31</v>
      </c>
      <c r="F302" s="2" t="s">
        <v>32</v>
      </c>
      <c r="G302" s="2" t="s">
        <v>33</v>
      </c>
      <c r="H302" s="2">
        <v>25</v>
      </c>
      <c r="I302" s="4">
        <v>689</v>
      </c>
      <c r="J302" s="3">
        <v>45712</v>
      </c>
      <c r="K302">
        <f t="shared" si="4"/>
        <v>17225</v>
      </c>
      <c r="L302" t="str">
        <f>INDEX(Raw_Shipments!L302:L2730,MATCH(A302,Raw_Shipments!B302:B2730))</f>
        <v>No</v>
      </c>
    </row>
    <row r="303" spans="1:12" x14ac:dyDescent="0.3">
      <c r="A303" s="5" t="s">
        <v>443</v>
      </c>
      <c r="B303" s="6">
        <v>45706</v>
      </c>
      <c r="C303" s="5" t="s">
        <v>234</v>
      </c>
      <c r="D303" s="5" t="s">
        <v>14</v>
      </c>
      <c r="E303" s="5" t="s">
        <v>36</v>
      </c>
      <c r="F303" s="5" t="s">
        <v>37</v>
      </c>
      <c r="G303" s="5" t="s">
        <v>33</v>
      </c>
      <c r="H303" s="5">
        <v>14</v>
      </c>
      <c r="I303" s="7">
        <v>1064.79</v>
      </c>
      <c r="J303" s="6">
        <v>45712</v>
      </c>
      <c r="K303">
        <f t="shared" si="4"/>
        <v>14907.06</v>
      </c>
      <c r="L303" t="str">
        <f>INDEX(Raw_Shipments!L303:L2731,MATCH(A303,Raw_Shipments!B303:B2731))</f>
        <v>No</v>
      </c>
    </row>
    <row r="304" spans="1:12" x14ac:dyDescent="0.3">
      <c r="A304" s="2" t="s">
        <v>444</v>
      </c>
      <c r="B304" s="3">
        <v>45706</v>
      </c>
      <c r="C304" s="2" t="s">
        <v>191</v>
      </c>
      <c r="D304" s="2" t="s">
        <v>25</v>
      </c>
      <c r="E304" s="2" t="s">
        <v>46</v>
      </c>
      <c r="F304" s="2" t="s">
        <v>47</v>
      </c>
      <c r="G304" s="2" t="s">
        <v>42</v>
      </c>
      <c r="H304" s="2">
        <v>8</v>
      </c>
      <c r="I304" s="4">
        <v>1833.14</v>
      </c>
      <c r="J304" s="3">
        <v>45714</v>
      </c>
      <c r="K304">
        <f t="shared" si="4"/>
        <v>14665.12</v>
      </c>
      <c r="L304" t="str">
        <f>INDEX(Raw_Shipments!L304:L2732,MATCH(A304,Raw_Shipments!B304:B2732))</f>
        <v>No</v>
      </c>
    </row>
    <row r="305" spans="1:12" x14ac:dyDescent="0.3">
      <c r="A305" s="5" t="s">
        <v>445</v>
      </c>
      <c r="B305" s="6">
        <v>45706</v>
      </c>
      <c r="C305" s="5" t="s">
        <v>39</v>
      </c>
      <c r="D305" s="5" t="s">
        <v>14</v>
      </c>
      <c r="E305" s="5" t="s">
        <v>50</v>
      </c>
      <c r="F305" s="5" t="s">
        <v>51</v>
      </c>
      <c r="G305" s="5" t="s">
        <v>42</v>
      </c>
      <c r="H305" s="5">
        <v>9</v>
      </c>
      <c r="I305" s="7">
        <v>1952.28</v>
      </c>
      <c r="J305" s="6">
        <v>45711</v>
      </c>
      <c r="K305">
        <f t="shared" si="4"/>
        <v>17570.52</v>
      </c>
      <c r="L305" t="str">
        <f>INDEX(Raw_Shipments!L305:L2733,MATCH(A305,Raw_Shipments!B305:B2733))</f>
        <v>No</v>
      </c>
    </row>
    <row r="306" spans="1:12" x14ac:dyDescent="0.3">
      <c r="A306" s="2" t="s">
        <v>446</v>
      </c>
      <c r="B306" s="3">
        <v>45707</v>
      </c>
      <c r="C306" s="2" t="s">
        <v>447</v>
      </c>
      <c r="D306" s="2" t="s">
        <v>30</v>
      </c>
      <c r="E306" s="2" t="s">
        <v>53</v>
      </c>
      <c r="F306" s="2" t="s">
        <v>54</v>
      </c>
      <c r="G306" s="2" t="s">
        <v>55</v>
      </c>
      <c r="H306" s="2">
        <v>31</v>
      </c>
      <c r="I306" s="4">
        <v>2055.9</v>
      </c>
      <c r="J306" s="3">
        <v>45712</v>
      </c>
      <c r="K306">
        <f t="shared" si="4"/>
        <v>63732.9</v>
      </c>
      <c r="L306" t="str">
        <f>INDEX(Raw_Shipments!L306:L2734,MATCH(A306,Raw_Shipments!B306:B2734))</f>
        <v>No</v>
      </c>
    </row>
    <row r="307" spans="1:12" x14ac:dyDescent="0.3">
      <c r="A307" s="5" t="s">
        <v>448</v>
      </c>
      <c r="B307" s="6">
        <v>45707</v>
      </c>
      <c r="C307" s="5" t="s">
        <v>117</v>
      </c>
      <c r="D307" s="5" t="s">
        <v>30</v>
      </c>
      <c r="E307" s="5" t="s">
        <v>62</v>
      </c>
      <c r="F307" s="5" t="s">
        <v>63</v>
      </c>
      <c r="G307" s="5" t="s">
        <v>55</v>
      </c>
      <c r="H307" s="5">
        <v>51</v>
      </c>
      <c r="I307" s="7">
        <v>2555.2199999999998</v>
      </c>
      <c r="J307" s="6">
        <v>45715</v>
      </c>
      <c r="K307">
        <f t="shared" si="4"/>
        <v>130316.21999999999</v>
      </c>
      <c r="L307" t="str">
        <f>INDEX(Raw_Shipments!L307:L2735,MATCH(A307,Raw_Shipments!B307:B2735))</f>
        <v>No</v>
      </c>
    </row>
    <row r="308" spans="1:12" x14ac:dyDescent="0.3">
      <c r="A308" s="2" t="s">
        <v>449</v>
      </c>
      <c r="B308" s="3">
        <v>45707</v>
      </c>
      <c r="C308" s="2" t="s">
        <v>420</v>
      </c>
      <c r="D308" s="2" t="s">
        <v>30</v>
      </c>
      <c r="E308" s="2" t="s">
        <v>97</v>
      </c>
      <c r="F308" s="2" t="s">
        <v>98</v>
      </c>
      <c r="G308" s="2" t="s">
        <v>17</v>
      </c>
      <c r="H308" s="2">
        <v>22</v>
      </c>
      <c r="I308" s="4">
        <v>1110.6500000000001</v>
      </c>
      <c r="J308" s="3">
        <v>45716</v>
      </c>
      <c r="K308">
        <f t="shared" si="4"/>
        <v>24434.300000000003</v>
      </c>
      <c r="L308" t="str">
        <f>INDEX(Raw_Shipments!L308:L2736,MATCH(A308,Raw_Shipments!B308:B2736))</f>
        <v>Yes</v>
      </c>
    </row>
    <row r="309" spans="1:12" x14ac:dyDescent="0.3">
      <c r="A309" s="5" t="s">
        <v>450</v>
      </c>
      <c r="B309" s="6">
        <v>45707</v>
      </c>
      <c r="C309" s="5" t="s">
        <v>451</v>
      </c>
      <c r="D309" s="5" t="s">
        <v>14</v>
      </c>
      <c r="E309" s="5" t="s">
        <v>15</v>
      </c>
      <c r="F309" s="5" t="s">
        <v>16</v>
      </c>
      <c r="G309" s="5" t="s">
        <v>17</v>
      </c>
      <c r="H309" s="5">
        <v>15</v>
      </c>
      <c r="I309" s="7">
        <v>183.06</v>
      </c>
      <c r="J309" s="6">
        <v>45713</v>
      </c>
      <c r="K309">
        <f t="shared" si="4"/>
        <v>2745.9</v>
      </c>
      <c r="L309" t="str">
        <f>INDEX(Raw_Shipments!L309:L2737,MATCH(A309,Raw_Shipments!B309:B2737))</f>
        <v>No</v>
      </c>
    </row>
    <row r="310" spans="1:12" x14ac:dyDescent="0.3">
      <c r="A310" s="2" t="s">
        <v>452</v>
      </c>
      <c r="B310" s="3">
        <v>45707</v>
      </c>
      <c r="C310" s="2" t="s">
        <v>175</v>
      </c>
      <c r="D310" s="2" t="s">
        <v>25</v>
      </c>
      <c r="E310" s="2" t="s">
        <v>86</v>
      </c>
      <c r="F310" s="2" t="s">
        <v>87</v>
      </c>
      <c r="G310" s="2" t="s">
        <v>33</v>
      </c>
      <c r="H310" s="2">
        <v>26</v>
      </c>
      <c r="I310" s="4">
        <v>815.88</v>
      </c>
      <c r="J310" s="3">
        <v>45711</v>
      </c>
      <c r="K310">
        <f t="shared" si="4"/>
        <v>21212.880000000001</v>
      </c>
      <c r="L310" t="str">
        <f>INDEX(Raw_Shipments!L310:L2738,MATCH(A310,Raw_Shipments!B310:B2738))</f>
        <v>No</v>
      </c>
    </row>
    <row r="311" spans="1:12" x14ac:dyDescent="0.3">
      <c r="A311" s="5" t="s">
        <v>453</v>
      </c>
      <c r="B311" s="6">
        <v>45707</v>
      </c>
      <c r="C311" s="5" t="s">
        <v>141</v>
      </c>
      <c r="D311" s="5" t="s">
        <v>25</v>
      </c>
      <c r="E311" s="5" t="s">
        <v>40</v>
      </c>
      <c r="F311" s="5" t="s">
        <v>41</v>
      </c>
      <c r="G311" s="5" t="s">
        <v>42</v>
      </c>
      <c r="H311" s="5">
        <v>32</v>
      </c>
      <c r="I311" s="7">
        <v>2445.11</v>
      </c>
      <c r="J311" s="6">
        <v>45713</v>
      </c>
      <c r="K311">
        <f t="shared" si="4"/>
        <v>78243.520000000004</v>
      </c>
      <c r="L311" t="str">
        <f>INDEX(Raw_Shipments!L311:L2739,MATCH(A311,Raw_Shipments!B311:B2739))</f>
        <v>No</v>
      </c>
    </row>
    <row r="312" spans="1:12" x14ac:dyDescent="0.3">
      <c r="A312" s="2" t="s">
        <v>454</v>
      </c>
      <c r="B312" s="3">
        <v>45707</v>
      </c>
      <c r="C312" s="2" t="s">
        <v>213</v>
      </c>
      <c r="D312" s="2" t="s">
        <v>14</v>
      </c>
      <c r="E312" s="2" t="s">
        <v>46</v>
      </c>
      <c r="F312" s="2" t="s">
        <v>47</v>
      </c>
      <c r="G312" s="2" t="s">
        <v>42</v>
      </c>
      <c r="H312" s="2">
        <v>6</v>
      </c>
      <c r="I312" s="4">
        <v>1833.14</v>
      </c>
      <c r="J312" s="3">
        <v>45711</v>
      </c>
      <c r="K312">
        <f t="shared" si="4"/>
        <v>10998.84</v>
      </c>
      <c r="L312" t="str">
        <f>INDEX(Raw_Shipments!L312:L2740,MATCH(A312,Raw_Shipments!B312:B2740))</f>
        <v>No</v>
      </c>
    </row>
    <row r="313" spans="1:12" x14ac:dyDescent="0.3">
      <c r="A313" s="5" t="s">
        <v>455</v>
      </c>
      <c r="B313" s="6">
        <v>45708</v>
      </c>
      <c r="C313" s="5" t="s">
        <v>456</v>
      </c>
      <c r="D313" s="5" t="s">
        <v>14</v>
      </c>
      <c r="E313" s="5" t="s">
        <v>58</v>
      </c>
      <c r="F313" s="5" t="s">
        <v>59</v>
      </c>
      <c r="G313" s="5" t="s">
        <v>55</v>
      </c>
      <c r="H313" s="5">
        <v>16</v>
      </c>
      <c r="I313" s="7">
        <v>1695.1</v>
      </c>
      <c r="J313" s="6">
        <v>45711</v>
      </c>
      <c r="K313">
        <f t="shared" si="4"/>
        <v>27121.599999999999</v>
      </c>
      <c r="L313" t="str">
        <f>INDEX(Raw_Shipments!L313:L2741,MATCH(A313,Raw_Shipments!B313:B2741))</f>
        <v>No</v>
      </c>
    </row>
    <row r="314" spans="1:12" x14ac:dyDescent="0.3">
      <c r="A314" s="2" t="s">
        <v>457</v>
      </c>
      <c r="B314" s="3">
        <v>45708</v>
      </c>
      <c r="C314" s="2" t="s">
        <v>431</v>
      </c>
      <c r="D314" s="2" t="s">
        <v>14</v>
      </c>
      <c r="E314" s="2" t="s">
        <v>66</v>
      </c>
      <c r="F314" s="2" t="s">
        <v>67</v>
      </c>
      <c r="G314" s="2" t="s">
        <v>17</v>
      </c>
      <c r="H314" s="2">
        <v>19</v>
      </c>
      <c r="I314" s="4">
        <v>850.8</v>
      </c>
      <c r="J314" s="3">
        <v>45714</v>
      </c>
      <c r="K314">
        <f t="shared" si="4"/>
        <v>16165.199999999999</v>
      </c>
      <c r="L314" t="str">
        <f>INDEX(Raw_Shipments!L314:L2742,MATCH(A314,Raw_Shipments!B314:B2742))</f>
        <v>No</v>
      </c>
    </row>
    <row r="315" spans="1:12" x14ac:dyDescent="0.3">
      <c r="A315" s="5" t="s">
        <v>458</v>
      </c>
      <c r="B315" s="6">
        <v>45708</v>
      </c>
      <c r="C315" s="5" t="s">
        <v>217</v>
      </c>
      <c r="D315" s="5" t="s">
        <v>25</v>
      </c>
      <c r="E315" s="5" t="s">
        <v>97</v>
      </c>
      <c r="F315" s="5" t="s">
        <v>98</v>
      </c>
      <c r="G315" s="5" t="s">
        <v>17</v>
      </c>
      <c r="H315" s="5">
        <v>27</v>
      </c>
      <c r="I315" s="7">
        <v>1110.6500000000001</v>
      </c>
      <c r="J315" s="6">
        <v>45714</v>
      </c>
      <c r="K315">
        <f t="shared" si="4"/>
        <v>29987.550000000003</v>
      </c>
      <c r="L315" t="str">
        <f>INDEX(Raw_Shipments!L315:L2743,MATCH(A315,Raw_Shipments!B315:B2743))</f>
        <v>No</v>
      </c>
    </row>
    <row r="316" spans="1:12" x14ac:dyDescent="0.3">
      <c r="A316" s="2" t="s">
        <v>459</v>
      </c>
      <c r="B316" s="3">
        <v>45708</v>
      </c>
      <c r="C316" s="2" t="s">
        <v>356</v>
      </c>
      <c r="D316" s="2" t="s">
        <v>30</v>
      </c>
      <c r="E316" s="2" t="s">
        <v>20</v>
      </c>
      <c r="F316" s="2" t="s">
        <v>21</v>
      </c>
      <c r="G316" s="2" t="s">
        <v>22</v>
      </c>
      <c r="H316" s="2">
        <v>9</v>
      </c>
      <c r="I316" s="4">
        <v>2108.56</v>
      </c>
      <c r="J316" s="3">
        <v>45715</v>
      </c>
      <c r="K316">
        <f t="shared" si="4"/>
        <v>18977.04</v>
      </c>
      <c r="L316" t="str">
        <f>INDEX(Raw_Shipments!L316:L2744,MATCH(A316,Raw_Shipments!B316:B2744))</f>
        <v>No</v>
      </c>
    </row>
    <row r="317" spans="1:12" x14ac:dyDescent="0.3">
      <c r="A317" s="5" t="s">
        <v>460</v>
      </c>
      <c r="B317" s="6">
        <v>45708</v>
      </c>
      <c r="C317" s="5" t="s">
        <v>83</v>
      </c>
      <c r="D317" s="5" t="s">
        <v>25</v>
      </c>
      <c r="E317" s="5" t="s">
        <v>86</v>
      </c>
      <c r="F317" s="5" t="s">
        <v>87</v>
      </c>
      <c r="G317" s="5" t="s">
        <v>33</v>
      </c>
      <c r="H317" s="5">
        <v>24</v>
      </c>
      <c r="I317" s="7">
        <v>815.88</v>
      </c>
      <c r="J317" s="6">
        <v>45714</v>
      </c>
      <c r="K317">
        <f t="shared" si="4"/>
        <v>19581.12</v>
      </c>
      <c r="L317" t="str">
        <f>INDEX(Raw_Shipments!L317:L2745,MATCH(A317,Raw_Shipments!B317:B2745))</f>
        <v>No</v>
      </c>
    </row>
    <row r="318" spans="1:12" x14ac:dyDescent="0.3">
      <c r="A318" s="2" t="s">
        <v>461</v>
      </c>
      <c r="B318" s="3">
        <v>45708</v>
      </c>
      <c r="C318" s="2" t="s">
        <v>19</v>
      </c>
      <c r="D318" s="2" t="s">
        <v>25</v>
      </c>
      <c r="E318" s="2" t="s">
        <v>40</v>
      </c>
      <c r="F318" s="2" t="s">
        <v>41</v>
      </c>
      <c r="G318" s="2" t="s">
        <v>42</v>
      </c>
      <c r="H318" s="2">
        <v>20</v>
      </c>
      <c r="I318" s="4">
        <v>2445.11</v>
      </c>
      <c r="J318" s="3">
        <v>45713</v>
      </c>
      <c r="K318">
        <f t="shared" si="4"/>
        <v>48902.200000000004</v>
      </c>
      <c r="L318" t="str">
        <f>INDEX(Raw_Shipments!L318:L2746,MATCH(A318,Raw_Shipments!B318:B2746))</f>
        <v>No</v>
      </c>
    </row>
    <row r="319" spans="1:12" x14ac:dyDescent="0.3">
      <c r="A319" s="5" t="s">
        <v>462</v>
      </c>
      <c r="B319" s="6">
        <v>45709</v>
      </c>
      <c r="C319" s="5" t="s">
        <v>146</v>
      </c>
      <c r="D319" s="5" t="s">
        <v>14</v>
      </c>
      <c r="E319" s="5" t="s">
        <v>58</v>
      </c>
      <c r="F319" s="5" t="s">
        <v>59</v>
      </c>
      <c r="G319" s="5" t="s">
        <v>55</v>
      </c>
      <c r="H319" s="5">
        <v>15</v>
      </c>
      <c r="I319" s="7">
        <v>1695.1</v>
      </c>
      <c r="J319" s="6">
        <v>45715</v>
      </c>
      <c r="K319">
        <f t="shared" si="4"/>
        <v>25426.5</v>
      </c>
      <c r="L319" t="str">
        <f>INDEX(Raw_Shipments!L319:L2747,MATCH(A319,Raw_Shipments!B319:B2747))</f>
        <v>No</v>
      </c>
    </row>
    <row r="320" spans="1:12" x14ac:dyDescent="0.3">
      <c r="A320" s="2" t="s">
        <v>463</v>
      </c>
      <c r="B320" s="3">
        <v>45709</v>
      </c>
      <c r="C320" s="2" t="s">
        <v>93</v>
      </c>
      <c r="D320" s="2" t="s">
        <v>30</v>
      </c>
      <c r="E320" s="2" t="s">
        <v>62</v>
      </c>
      <c r="F320" s="2" t="s">
        <v>63</v>
      </c>
      <c r="G320" s="2" t="s">
        <v>55</v>
      </c>
      <c r="H320" s="2">
        <v>42</v>
      </c>
      <c r="I320" s="4">
        <v>2555.2199999999998</v>
      </c>
      <c r="J320" s="3">
        <v>45717</v>
      </c>
      <c r="K320">
        <f t="shared" si="4"/>
        <v>107319.23999999999</v>
      </c>
      <c r="L320" t="str">
        <f>INDEX(Raw_Shipments!L320:L2748,MATCH(A320,Raw_Shipments!B320:B2748))</f>
        <v>No</v>
      </c>
    </row>
    <row r="321" spans="1:12" x14ac:dyDescent="0.3">
      <c r="A321" s="5" t="s">
        <v>464</v>
      </c>
      <c r="B321" s="6">
        <v>45709</v>
      </c>
      <c r="C321" s="5" t="s">
        <v>240</v>
      </c>
      <c r="D321" s="5" t="s">
        <v>14</v>
      </c>
      <c r="E321" s="5" t="s">
        <v>20</v>
      </c>
      <c r="F321" s="5" t="s">
        <v>21</v>
      </c>
      <c r="G321" s="5" t="s">
        <v>22</v>
      </c>
      <c r="H321" s="5">
        <v>9</v>
      </c>
      <c r="I321" s="7">
        <v>2108.56</v>
      </c>
      <c r="J321" s="6">
        <v>45717</v>
      </c>
      <c r="K321">
        <f t="shared" si="4"/>
        <v>18977.04</v>
      </c>
      <c r="L321" t="str">
        <f>INDEX(Raw_Shipments!L321:L2749,MATCH(A321,Raw_Shipments!B321:B2749))</f>
        <v>Yes</v>
      </c>
    </row>
    <row r="322" spans="1:12" x14ac:dyDescent="0.3">
      <c r="A322" s="2" t="s">
        <v>465</v>
      </c>
      <c r="B322" s="3">
        <v>45709</v>
      </c>
      <c r="C322" s="2" t="s">
        <v>150</v>
      </c>
      <c r="D322" s="2" t="s">
        <v>45</v>
      </c>
      <c r="E322" s="2" t="s">
        <v>40</v>
      </c>
      <c r="F322" s="2" t="s">
        <v>41</v>
      </c>
      <c r="G322" s="2" t="s">
        <v>42</v>
      </c>
      <c r="H322" s="2">
        <v>43</v>
      </c>
      <c r="I322" s="4">
        <v>2445.11</v>
      </c>
      <c r="J322" s="3">
        <v>45712</v>
      </c>
      <c r="K322">
        <f t="shared" si="4"/>
        <v>105139.73000000001</v>
      </c>
      <c r="L322" t="str">
        <f>INDEX(Raw_Shipments!L322:L2750,MATCH(A322,Raw_Shipments!B322:B2750))</f>
        <v>No</v>
      </c>
    </row>
    <row r="323" spans="1:12" x14ac:dyDescent="0.3">
      <c r="A323" s="5" t="s">
        <v>466</v>
      </c>
      <c r="B323" s="6">
        <v>45709</v>
      </c>
      <c r="C323" s="5" t="s">
        <v>222</v>
      </c>
      <c r="D323" s="5" t="s">
        <v>14</v>
      </c>
      <c r="E323" s="5" t="s">
        <v>46</v>
      </c>
      <c r="F323" s="5" t="s">
        <v>47</v>
      </c>
      <c r="G323" s="5" t="s">
        <v>42</v>
      </c>
      <c r="H323" s="5">
        <v>7</v>
      </c>
      <c r="I323" s="7">
        <v>1833.14</v>
      </c>
      <c r="J323" s="6">
        <v>45715</v>
      </c>
      <c r="K323">
        <f t="shared" ref="K323:K386" si="5">I323*H323</f>
        <v>12831.980000000001</v>
      </c>
      <c r="L323" t="str">
        <f>INDEX(Raw_Shipments!L323:L2751,MATCH(A323,Raw_Shipments!B323:B2751))</f>
        <v>No</v>
      </c>
    </row>
    <row r="324" spans="1:12" x14ac:dyDescent="0.3">
      <c r="A324" s="2" t="s">
        <v>467</v>
      </c>
      <c r="B324" s="3">
        <v>45709</v>
      </c>
      <c r="C324" s="2" t="s">
        <v>39</v>
      </c>
      <c r="D324" s="2" t="s">
        <v>30</v>
      </c>
      <c r="E324" s="2" t="s">
        <v>50</v>
      </c>
      <c r="F324" s="2" t="s">
        <v>51</v>
      </c>
      <c r="G324" s="2" t="s">
        <v>42</v>
      </c>
      <c r="H324" s="2">
        <v>6</v>
      </c>
      <c r="I324" s="4">
        <v>1952.28</v>
      </c>
      <c r="J324" s="3">
        <v>45719</v>
      </c>
      <c r="K324">
        <f t="shared" si="5"/>
        <v>11713.68</v>
      </c>
      <c r="L324" t="str">
        <f>INDEX(Raw_Shipments!L324:L2752,MATCH(A324,Raw_Shipments!B324:B2752))</f>
        <v>No</v>
      </c>
    </row>
    <row r="325" spans="1:12" x14ac:dyDescent="0.3">
      <c r="A325" s="5" t="s">
        <v>468</v>
      </c>
      <c r="B325" s="6">
        <v>45710</v>
      </c>
      <c r="C325" s="5" t="s">
        <v>170</v>
      </c>
      <c r="D325" s="5" t="s">
        <v>45</v>
      </c>
      <c r="E325" s="5" t="s">
        <v>53</v>
      </c>
      <c r="F325" s="5" t="s">
        <v>54</v>
      </c>
      <c r="G325" s="5" t="s">
        <v>55</v>
      </c>
      <c r="H325" s="5">
        <v>33</v>
      </c>
      <c r="I325" s="7">
        <v>2055.9</v>
      </c>
      <c r="J325" s="6">
        <v>45719</v>
      </c>
      <c r="K325">
        <f t="shared" si="5"/>
        <v>67844.7</v>
      </c>
      <c r="L325" t="str">
        <f>INDEX(Raw_Shipments!L325:L2753,MATCH(A325,Raw_Shipments!B325:B2753))</f>
        <v>No</v>
      </c>
    </row>
    <row r="326" spans="1:12" x14ac:dyDescent="0.3">
      <c r="A326" s="2" t="s">
        <v>469</v>
      </c>
      <c r="B326" s="3">
        <v>45710</v>
      </c>
      <c r="C326" s="2" t="s">
        <v>107</v>
      </c>
      <c r="D326" s="2" t="s">
        <v>45</v>
      </c>
      <c r="E326" s="2" t="s">
        <v>62</v>
      </c>
      <c r="F326" s="2" t="s">
        <v>63</v>
      </c>
      <c r="G326" s="2" t="s">
        <v>55</v>
      </c>
      <c r="H326" s="2">
        <v>37</v>
      </c>
      <c r="I326" s="4">
        <v>2555.2199999999998</v>
      </c>
      <c r="J326" s="3">
        <v>45719</v>
      </c>
      <c r="K326">
        <f t="shared" si="5"/>
        <v>94543.14</v>
      </c>
      <c r="L326" t="str">
        <f>INDEX(Raw_Shipments!L326:L2754,MATCH(A326,Raw_Shipments!B326:B2754))</f>
        <v>Yes</v>
      </c>
    </row>
    <row r="327" spans="1:12" x14ac:dyDescent="0.3">
      <c r="A327" s="5" t="s">
        <v>470</v>
      </c>
      <c r="B327" s="6">
        <v>45710</v>
      </c>
      <c r="C327" s="5" t="s">
        <v>183</v>
      </c>
      <c r="D327" s="5" t="s">
        <v>25</v>
      </c>
      <c r="E327" s="5" t="s">
        <v>15</v>
      </c>
      <c r="F327" s="5" t="s">
        <v>16</v>
      </c>
      <c r="G327" s="5" t="s">
        <v>17</v>
      </c>
      <c r="H327" s="5">
        <v>13</v>
      </c>
      <c r="I327" s="7">
        <v>183.06</v>
      </c>
      <c r="J327" s="6">
        <v>45717</v>
      </c>
      <c r="K327">
        <f t="shared" si="5"/>
        <v>2379.7800000000002</v>
      </c>
      <c r="L327" t="str">
        <f>INDEX(Raw_Shipments!L327:L2755,MATCH(A327,Raw_Shipments!B327:B2755))</f>
        <v>No</v>
      </c>
    </row>
    <row r="328" spans="1:12" x14ac:dyDescent="0.3">
      <c r="A328" s="2" t="s">
        <v>471</v>
      </c>
      <c r="B328" s="3">
        <v>45710</v>
      </c>
      <c r="C328" s="2" t="s">
        <v>431</v>
      </c>
      <c r="D328" s="2" t="s">
        <v>14</v>
      </c>
      <c r="E328" s="2" t="s">
        <v>119</v>
      </c>
      <c r="F328" s="2" t="s">
        <v>120</v>
      </c>
      <c r="G328" s="2" t="s">
        <v>22</v>
      </c>
      <c r="H328" s="2">
        <v>55</v>
      </c>
      <c r="I328" s="4">
        <v>912.26</v>
      </c>
      <c r="J328" s="3">
        <v>45716</v>
      </c>
      <c r="K328">
        <f t="shared" si="5"/>
        <v>50174.3</v>
      </c>
      <c r="L328" t="str">
        <f>INDEX(Raw_Shipments!L328:L2756,MATCH(A328,Raw_Shipments!B328:B2756))</f>
        <v>No</v>
      </c>
    </row>
    <row r="329" spans="1:12" x14ac:dyDescent="0.3">
      <c r="A329" s="5" t="s">
        <v>472</v>
      </c>
      <c r="B329" s="6">
        <v>45710</v>
      </c>
      <c r="C329" s="5" t="s">
        <v>473</v>
      </c>
      <c r="D329" s="5" t="s">
        <v>45</v>
      </c>
      <c r="E329" s="5" t="s">
        <v>26</v>
      </c>
      <c r="F329" s="5" t="s">
        <v>27</v>
      </c>
      <c r="G329" s="5" t="s">
        <v>22</v>
      </c>
      <c r="H329" s="5">
        <v>17</v>
      </c>
      <c r="I329" s="7">
        <v>1646.8</v>
      </c>
      <c r="J329" s="6">
        <v>45714</v>
      </c>
      <c r="K329">
        <f t="shared" si="5"/>
        <v>27995.599999999999</v>
      </c>
      <c r="L329" t="str">
        <f>INDEX(Raw_Shipments!L329:L2757,MATCH(A329,Raw_Shipments!B329:B2757))</f>
        <v>Yes</v>
      </c>
    </row>
    <row r="330" spans="1:12" x14ac:dyDescent="0.3">
      <c r="A330" s="2" t="s">
        <v>474</v>
      </c>
      <c r="B330" s="3">
        <v>45710</v>
      </c>
      <c r="C330" s="2" t="s">
        <v>144</v>
      </c>
      <c r="D330" s="2" t="s">
        <v>45</v>
      </c>
      <c r="E330" s="2" t="s">
        <v>31</v>
      </c>
      <c r="F330" s="2" t="s">
        <v>32</v>
      </c>
      <c r="G330" s="2" t="s">
        <v>33</v>
      </c>
      <c r="H330" s="2">
        <v>26</v>
      </c>
      <c r="I330" s="4">
        <v>689</v>
      </c>
      <c r="J330" s="3">
        <v>45713</v>
      </c>
      <c r="K330">
        <f t="shared" si="5"/>
        <v>17914</v>
      </c>
      <c r="L330" t="str">
        <f>INDEX(Raw_Shipments!L330:L2758,MATCH(A330,Raw_Shipments!B330:B2758))</f>
        <v>No</v>
      </c>
    </row>
    <row r="331" spans="1:12" x14ac:dyDescent="0.3">
      <c r="A331" s="5" t="s">
        <v>475</v>
      </c>
      <c r="B331" s="6">
        <v>45710</v>
      </c>
      <c r="C331" s="5" t="s">
        <v>117</v>
      </c>
      <c r="D331" s="5" t="s">
        <v>25</v>
      </c>
      <c r="E331" s="5" t="s">
        <v>86</v>
      </c>
      <c r="F331" s="5" t="s">
        <v>87</v>
      </c>
      <c r="G331" s="5" t="s">
        <v>33</v>
      </c>
      <c r="H331" s="5">
        <v>34</v>
      </c>
      <c r="I331" s="7">
        <v>815.88</v>
      </c>
      <c r="J331" s="6">
        <v>45719</v>
      </c>
      <c r="K331">
        <f t="shared" si="5"/>
        <v>27739.919999999998</v>
      </c>
      <c r="L331" t="str">
        <f>INDEX(Raw_Shipments!L331:L2759,MATCH(A331,Raw_Shipments!B331:B2759))</f>
        <v>Yes</v>
      </c>
    </row>
    <row r="332" spans="1:12" x14ac:dyDescent="0.3">
      <c r="A332" s="2" t="s">
        <v>476</v>
      </c>
      <c r="B332" s="3">
        <v>45710</v>
      </c>
      <c r="C332" s="2" t="s">
        <v>363</v>
      </c>
      <c r="D332" s="2" t="s">
        <v>30</v>
      </c>
      <c r="E332" s="2" t="s">
        <v>50</v>
      </c>
      <c r="F332" s="2" t="s">
        <v>51</v>
      </c>
      <c r="G332" s="2" t="s">
        <v>42</v>
      </c>
      <c r="H332" s="2">
        <v>8</v>
      </c>
      <c r="I332" s="4">
        <v>1952.28</v>
      </c>
      <c r="J332" s="3">
        <v>45716</v>
      </c>
      <c r="K332">
        <f t="shared" si="5"/>
        <v>15618.24</v>
      </c>
      <c r="L332" t="str">
        <f>INDEX(Raw_Shipments!L332:L2760,MATCH(A332,Raw_Shipments!B332:B2760))</f>
        <v>No</v>
      </c>
    </row>
    <row r="333" spans="1:12" x14ac:dyDescent="0.3">
      <c r="A333" s="5" t="s">
        <v>477</v>
      </c>
      <c r="B333" s="6">
        <v>45711</v>
      </c>
      <c r="C333" s="5" t="s">
        <v>279</v>
      </c>
      <c r="D333" s="5" t="s">
        <v>25</v>
      </c>
      <c r="E333" s="5" t="s">
        <v>53</v>
      </c>
      <c r="F333" s="5" t="s">
        <v>54</v>
      </c>
      <c r="G333" s="5" t="s">
        <v>55</v>
      </c>
      <c r="H333" s="5">
        <v>32</v>
      </c>
      <c r="I333" s="7">
        <v>2055.9</v>
      </c>
      <c r="J333" s="6">
        <v>45715</v>
      </c>
      <c r="K333">
        <f t="shared" si="5"/>
        <v>65788.800000000003</v>
      </c>
      <c r="L333" t="str">
        <f>INDEX(Raw_Shipments!L333:L2761,MATCH(A333,Raw_Shipments!B333:B2761))</f>
        <v>No</v>
      </c>
    </row>
    <row r="334" spans="1:12" x14ac:dyDescent="0.3">
      <c r="A334" s="2" t="s">
        <v>478</v>
      </c>
      <c r="B334" s="3">
        <v>45711</v>
      </c>
      <c r="C334" s="2" t="s">
        <v>282</v>
      </c>
      <c r="D334" s="2" t="s">
        <v>14</v>
      </c>
      <c r="E334" s="2" t="s">
        <v>66</v>
      </c>
      <c r="F334" s="2" t="s">
        <v>67</v>
      </c>
      <c r="G334" s="2" t="s">
        <v>17</v>
      </c>
      <c r="H334" s="2">
        <v>17</v>
      </c>
      <c r="I334" s="4">
        <v>850.8</v>
      </c>
      <c r="J334" s="3">
        <v>45717</v>
      </c>
      <c r="K334">
        <f t="shared" si="5"/>
        <v>14463.599999999999</v>
      </c>
      <c r="L334" t="str">
        <f>INDEX(Raw_Shipments!L334:L2762,MATCH(A334,Raw_Shipments!B334:B2762))</f>
        <v>No</v>
      </c>
    </row>
    <row r="335" spans="1:12" x14ac:dyDescent="0.3">
      <c r="A335" s="5" t="s">
        <v>479</v>
      </c>
      <c r="B335" s="6">
        <v>45711</v>
      </c>
      <c r="C335" s="5" t="s">
        <v>451</v>
      </c>
      <c r="D335" s="5" t="s">
        <v>14</v>
      </c>
      <c r="E335" s="5" t="s">
        <v>20</v>
      </c>
      <c r="F335" s="5" t="s">
        <v>21</v>
      </c>
      <c r="G335" s="5" t="s">
        <v>22</v>
      </c>
      <c r="H335" s="5">
        <v>12</v>
      </c>
      <c r="I335" s="7">
        <v>2108.56</v>
      </c>
      <c r="J335" s="6">
        <v>45715</v>
      </c>
      <c r="K335">
        <f t="shared" si="5"/>
        <v>25302.720000000001</v>
      </c>
      <c r="L335" t="str">
        <f>INDEX(Raw_Shipments!L335:L2763,MATCH(A335,Raw_Shipments!B335:B2763))</f>
        <v>No</v>
      </c>
    </row>
    <row r="336" spans="1:12" x14ac:dyDescent="0.3">
      <c r="A336" s="2" t="s">
        <v>480</v>
      </c>
      <c r="B336" s="3">
        <v>45711</v>
      </c>
      <c r="C336" s="2" t="s">
        <v>331</v>
      </c>
      <c r="D336" s="2" t="s">
        <v>25</v>
      </c>
      <c r="E336" s="2" t="s">
        <v>40</v>
      </c>
      <c r="F336" s="2" t="s">
        <v>41</v>
      </c>
      <c r="G336" s="2" t="s">
        <v>42</v>
      </c>
      <c r="H336" s="2">
        <v>25</v>
      </c>
      <c r="I336" s="4">
        <v>2445.11</v>
      </c>
      <c r="J336" s="3">
        <v>45715</v>
      </c>
      <c r="K336">
        <f t="shared" si="5"/>
        <v>61127.75</v>
      </c>
      <c r="L336" t="str">
        <f>INDEX(Raw_Shipments!L336:L2764,MATCH(A336,Raw_Shipments!B336:B2764))</f>
        <v>No</v>
      </c>
    </row>
    <row r="337" spans="1:12" x14ac:dyDescent="0.3">
      <c r="A337" s="5" t="s">
        <v>481</v>
      </c>
      <c r="B337" s="6">
        <v>45711</v>
      </c>
      <c r="C337" s="5" t="s">
        <v>113</v>
      </c>
      <c r="D337" s="5" t="s">
        <v>45</v>
      </c>
      <c r="E337" s="5" t="s">
        <v>46</v>
      </c>
      <c r="F337" s="5" t="s">
        <v>47</v>
      </c>
      <c r="G337" s="5" t="s">
        <v>42</v>
      </c>
      <c r="H337" s="5">
        <v>2</v>
      </c>
      <c r="I337" s="7">
        <v>1833.14</v>
      </c>
      <c r="J337" s="6">
        <v>45720</v>
      </c>
      <c r="K337">
        <f t="shared" si="5"/>
        <v>3666.28</v>
      </c>
      <c r="L337" t="str">
        <f>INDEX(Raw_Shipments!L337:L2765,MATCH(A337,Raw_Shipments!B337:B2765))</f>
        <v>No</v>
      </c>
    </row>
    <row r="338" spans="1:12" x14ac:dyDescent="0.3">
      <c r="A338" s="2" t="s">
        <v>482</v>
      </c>
      <c r="B338" s="3">
        <v>45711</v>
      </c>
      <c r="C338" s="2" t="s">
        <v>139</v>
      </c>
      <c r="D338" s="2" t="s">
        <v>25</v>
      </c>
      <c r="E338" s="2" t="s">
        <v>50</v>
      </c>
      <c r="F338" s="2" t="s">
        <v>51</v>
      </c>
      <c r="G338" s="2" t="s">
        <v>42</v>
      </c>
      <c r="H338" s="2">
        <v>9</v>
      </c>
      <c r="I338" s="4">
        <v>1952.28</v>
      </c>
      <c r="J338" s="3">
        <v>45720</v>
      </c>
      <c r="K338">
        <f t="shared" si="5"/>
        <v>17570.52</v>
      </c>
      <c r="L338" t="str">
        <f>INDEX(Raw_Shipments!L338:L2766,MATCH(A338,Raw_Shipments!B338:B2766))</f>
        <v>No</v>
      </c>
    </row>
    <row r="339" spans="1:12" x14ac:dyDescent="0.3">
      <c r="A339" s="5" t="s">
        <v>483</v>
      </c>
      <c r="B339" s="6">
        <v>45712</v>
      </c>
      <c r="C339" s="5" t="s">
        <v>175</v>
      </c>
      <c r="D339" s="5" t="s">
        <v>30</v>
      </c>
      <c r="E339" s="5" t="s">
        <v>53</v>
      </c>
      <c r="F339" s="5" t="s">
        <v>54</v>
      </c>
      <c r="G339" s="5" t="s">
        <v>55</v>
      </c>
      <c r="H339" s="5">
        <v>4</v>
      </c>
      <c r="I339" s="7">
        <v>2055.9</v>
      </c>
      <c r="J339" s="6">
        <v>45719</v>
      </c>
      <c r="K339">
        <f t="shared" si="5"/>
        <v>8223.6</v>
      </c>
      <c r="L339" t="str">
        <f>INDEX(Raw_Shipments!L339:L2767,MATCH(A339,Raw_Shipments!B339:B2767))</f>
        <v>No</v>
      </c>
    </row>
    <row r="340" spans="1:12" x14ac:dyDescent="0.3">
      <c r="A340" s="2" t="s">
        <v>484</v>
      </c>
      <c r="B340" s="3">
        <v>45712</v>
      </c>
      <c r="C340" s="2" t="s">
        <v>279</v>
      </c>
      <c r="D340" s="2" t="s">
        <v>30</v>
      </c>
      <c r="E340" s="2" t="s">
        <v>58</v>
      </c>
      <c r="F340" s="2" t="s">
        <v>59</v>
      </c>
      <c r="G340" s="2" t="s">
        <v>55</v>
      </c>
      <c r="H340" s="2">
        <v>12</v>
      </c>
      <c r="I340" s="4">
        <v>1695.1</v>
      </c>
      <c r="J340" s="3">
        <v>45717</v>
      </c>
      <c r="K340">
        <f t="shared" si="5"/>
        <v>20341.199999999997</v>
      </c>
      <c r="L340" t="str">
        <f>INDEX(Raw_Shipments!L340:L2768,MATCH(A340,Raw_Shipments!B340:B2768))</f>
        <v>No</v>
      </c>
    </row>
    <row r="341" spans="1:12" x14ac:dyDescent="0.3">
      <c r="A341" s="5" t="s">
        <v>485</v>
      </c>
      <c r="B341" s="6">
        <v>45712</v>
      </c>
      <c r="C341" s="5" t="s">
        <v>35</v>
      </c>
      <c r="D341" s="5" t="s">
        <v>45</v>
      </c>
      <c r="E341" s="5" t="s">
        <v>62</v>
      </c>
      <c r="F341" s="5" t="s">
        <v>63</v>
      </c>
      <c r="G341" s="5" t="s">
        <v>55</v>
      </c>
      <c r="H341" s="5">
        <v>31</v>
      </c>
      <c r="I341" s="7">
        <v>2555.2199999999998</v>
      </c>
      <c r="J341" s="6">
        <v>45719</v>
      </c>
      <c r="K341">
        <f t="shared" si="5"/>
        <v>79211.819999999992</v>
      </c>
      <c r="L341" t="str">
        <f>INDEX(Raw_Shipments!L341:L2769,MATCH(A341,Raw_Shipments!B341:B2769))</f>
        <v>No</v>
      </c>
    </row>
    <row r="342" spans="1:12" x14ac:dyDescent="0.3">
      <c r="A342" s="2" t="s">
        <v>486</v>
      </c>
      <c r="B342" s="3">
        <v>45712</v>
      </c>
      <c r="C342" s="2" t="s">
        <v>442</v>
      </c>
      <c r="D342" s="2" t="s">
        <v>30</v>
      </c>
      <c r="E342" s="2" t="s">
        <v>66</v>
      </c>
      <c r="F342" s="2" t="s">
        <v>67</v>
      </c>
      <c r="G342" s="2" t="s">
        <v>17</v>
      </c>
      <c r="H342" s="2">
        <v>18</v>
      </c>
      <c r="I342" s="4">
        <v>850.8</v>
      </c>
      <c r="J342" s="3">
        <v>45717</v>
      </c>
      <c r="K342">
        <f t="shared" si="5"/>
        <v>15314.4</v>
      </c>
      <c r="L342" t="str">
        <f>INDEX(Raw_Shipments!L342:L2770,MATCH(A342,Raw_Shipments!B342:B2770))</f>
        <v>No</v>
      </c>
    </row>
    <row r="343" spans="1:12" x14ac:dyDescent="0.3">
      <c r="A343" s="5" t="s">
        <v>487</v>
      </c>
      <c r="B343" s="6">
        <v>45712</v>
      </c>
      <c r="C343" s="5" t="s">
        <v>250</v>
      </c>
      <c r="D343" s="5" t="s">
        <v>45</v>
      </c>
      <c r="E343" s="5" t="s">
        <v>97</v>
      </c>
      <c r="F343" s="5" t="s">
        <v>98</v>
      </c>
      <c r="G343" s="5" t="s">
        <v>17</v>
      </c>
      <c r="H343" s="5">
        <v>39</v>
      </c>
      <c r="I343" s="7">
        <v>1110.6500000000001</v>
      </c>
      <c r="J343" s="6">
        <v>45716</v>
      </c>
      <c r="K343">
        <f t="shared" si="5"/>
        <v>43315.350000000006</v>
      </c>
      <c r="L343" t="str">
        <f>INDEX(Raw_Shipments!L343:L2771,MATCH(A343,Raw_Shipments!B343:B2771))</f>
        <v>No</v>
      </c>
    </row>
    <row r="344" spans="1:12" x14ac:dyDescent="0.3">
      <c r="A344" s="2" t="s">
        <v>488</v>
      </c>
      <c r="B344" s="3">
        <v>45712</v>
      </c>
      <c r="C344" s="2" t="s">
        <v>420</v>
      </c>
      <c r="D344" s="2" t="s">
        <v>30</v>
      </c>
      <c r="E344" s="2" t="s">
        <v>20</v>
      </c>
      <c r="F344" s="2" t="s">
        <v>21</v>
      </c>
      <c r="G344" s="2" t="s">
        <v>22</v>
      </c>
      <c r="H344" s="2">
        <v>14</v>
      </c>
      <c r="I344" s="4">
        <v>2108.56</v>
      </c>
      <c r="J344" s="3">
        <v>45716</v>
      </c>
      <c r="K344">
        <f t="shared" si="5"/>
        <v>29519.84</v>
      </c>
      <c r="L344" t="str">
        <f>INDEX(Raw_Shipments!L344:L2772,MATCH(A344,Raw_Shipments!B344:B2772))</f>
        <v>No</v>
      </c>
    </row>
    <row r="345" spans="1:12" x14ac:dyDescent="0.3">
      <c r="A345" s="5" t="s">
        <v>489</v>
      </c>
      <c r="B345" s="6">
        <v>45712</v>
      </c>
      <c r="C345" s="5" t="s">
        <v>49</v>
      </c>
      <c r="D345" s="5" t="s">
        <v>45</v>
      </c>
      <c r="E345" s="5" t="s">
        <v>119</v>
      </c>
      <c r="F345" s="5" t="s">
        <v>120</v>
      </c>
      <c r="G345" s="5" t="s">
        <v>22</v>
      </c>
      <c r="H345" s="5">
        <v>33</v>
      </c>
      <c r="I345" s="7">
        <v>912.26</v>
      </c>
      <c r="J345" s="6">
        <v>45721</v>
      </c>
      <c r="K345">
        <f t="shared" si="5"/>
        <v>30104.579999999998</v>
      </c>
      <c r="L345" t="str">
        <f>INDEX(Raw_Shipments!L345:L2773,MATCH(A345,Raw_Shipments!B345:B2773))</f>
        <v>Yes</v>
      </c>
    </row>
    <row r="346" spans="1:12" x14ac:dyDescent="0.3">
      <c r="A346" s="2" t="s">
        <v>490</v>
      </c>
      <c r="B346" s="3">
        <v>45712</v>
      </c>
      <c r="C346" s="2" t="s">
        <v>227</v>
      </c>
      <c r="D346" s="2" t="s">
        <v>45</v>
      </c>
      <c r="E346" s="2" t="s">
        <v>26</v>
      </c>
      <c r="F346" s="2" t="s">
        <v>27</v>
      </c>
      <c r="G346" s="2" t="s">
        <v>22</v>
      </c>
      <c r="H346" s="2">
        <v>11</v>
      </c>
      <c r="I346" s="4">
        <v>1646.8</v>
      </c>
      <c r="J346" s="3">
        <v>45720</v>
      </c>
      <c r="K346">
        <f t="shared" si="5"/>
        <v>18114.8</v>
      </c>
      <c r="L346" t="str">
        <f>INDEX(Raw_Shipments!L346:L2774,MATCH(A346,Raw_Shipments!B346:B2774))</f>
        <v>No</v>
      </c>
    </row>
    <row r="347" spans="1:12" x14ac:dyDescent="0.3">
      <c r="A347" s="5" t="s">
        <v>491</v>
      </c>
      <c r="B347" s="6">
        <v>45712</v>
      </c>
      <c r="C347" s="5" t="s">
        <v>139</v>
      </c>
      <c r="D347" s="5" t="s">
        <v>45</v>
      </c>
      <c r="E347" s="5" t="s">
        <v>31</v>
      </c>
      <c r="F347" s="5" t="s">
        <v>32</v>
      </c>
      <c r="G347" s="5" t="s">
        <v>33</v>
      </c>
      <c r="H347" s="5">
        <v>32</v>
      </c>
      <c r="I347" s="7">
        <v>689</v>
      </c>
      <c r="J347" s="6">
        <v>45721</v>
      </c>
      <c r="K347">
        <f t="shared" si="5"/>
        <v>22048</v>
      </c>
      <c r="L347" t="str">
        <f>INDEX(Raw_Shipments!L347:L2775,MATCH(A347,Raw_Shipments!B347:B2775))</f>
        <v>Yes</v>
      </c>
    </row>
    <row r="348" spans="1:12" x14ac:dyDescent="0.3">
      <c r="A348" s="2" t="s">
        <v>492</v>
      </c>
      <c r="B348" s="3">
        <v>45712</v>
      </c>
      <c r="C348" s="2" t="s">
        <v>158</v>
      </c>
      <c r="D348" s="2" t="s">
        <v>25</v>
      </c>
      <c r="E348" s="2" t="s">
        <v>46</v>
      </c>
      <c r="F348" s="2" t="s">
        <v>47</v>
      </c>
      <c r="G348" s="2" t="s">
        <v>42</v>
      </c>
      <c r="H348" s="2">
        <v>3</v>
      </c>
      <c r="I348" s="4">
        <v>1833.14</v>
      </c>
      <c r="J348" s="3">
        <v>45717</v>
      </c>
      <c r="K348">
        <f t="shared" si="5"/>
        <v>5499.42</v>
      </c>
      <c r="L348" t="str">
        <f>INDEX(Raw_Shipments!L348:L2776,MATCH(A348,Raw_Shipments!B348:B2776))</f>
        <v>No</v>
      </c>
    </row>
    <row r="349" spans="1:12" x14ac:dyDescent="0.3">
      <c r="A349" s="5" t="s">
        <v>493</v>
      </c>
      <c r="B349" s="6">
        <v>45712</v>
      </c>
      <c r="C349" s="5" t="s">
        <v>135</v>
      </c>
      <c r="D349" s="5" t="s">
        <v>45</v>
      </c>
      <c r="E349" s="5" t="s">
        <v>50</v>
      </c>
      <c r="F349" s="5" t="s">
        <v>51</v>
      </c>
      <c r="G349" s="5" t="s">
        <v>42</v>
      </c>
      <c r="H349" s="5">
        <v>8</v>
      </c>
      <c r="I349" s="7">
        <v>1952.28</v>
      </c>
      <c r="J349" s="6">
        <v>45722</v>
      </c>
      <c r="K349">
        <f t="shared" si="5"/>
        <v>15618.24</v>
      </c>
      <c r="L349" t="str">
        <f>INDEX(Raw_Shipments!L349:L2777,MATCH(A349,Raw_Shipments!B349:B2777))</f>
        <v>No</v>
      </c>
    </row>
    <row r="350" spans="1:12" x14ac:dyDescent="0.3">
      <c r="A350" s="2" t="s">
        <v>494</v>
      </c>
      <c r="B350" s="3">
        <v>45713</v>
      </c>
      <c r="C350" s="2" t="s">
        <v>356</v>
      </c>
      <c r="D350" s="2" t="s">
        <v>25</v>
      </c>
      <c r="E350" s="2" t="s">
        <v>53</v>
      </c>
      <c r="F350" s="2" t="s">
        <v>54</v>
      </c>
      <c r="G350" s="2" t="s">
        <v>55</v>
      </c>
      <c r="H350" s="2">
        <v>32</v>
      </c>
      <c r="I350" s="4">
        <v>2055.9</v>
      </c>
      <c r="J350" s="3">
        <v>45717</v>
      </c>
      <c r="K350">
        <f t="shared" si="5"/>
        <v>65788.800000000003</v>
      </c>
      <c r="L350" t="str">
        <f>INDEX(Raw_Shipments!L350:L2778,MATCH(A350,Raw_Shipments!B350:B2778))</f>
        <v>No</v>
      </c>
    </row>
    <row r="351" spans="1:12" x14ac:dyDescent="0.3">
      <c r="A351" s="5" t="s">
        <v>495</v>
      </c>
      <c r="B351" s="6">
        <v>45713</v>
      </c>
      <c r="C351" s="5" t="s">
        <v>166</v>
      </c>
      <c r="D351" s="5" t="s">
        <v>25</v>
      </c>
      <c r="E351" s="5" t="s">
        <v>20</v>
      </c>
      <c r="F351" s="5" t="s">
        <v>21</v>
      </c>
      <c r="G351" s="5" t="s">
        <v>22</v>
      </c>
      <c r="H351" s="5">
        <v>17</v>
      </c>
      <c r="I351" s="7">
        <v>2108.56</v>
      </c>
      <c r="J351" s="6">
        <v>45716</v>
      </c>
      <c r="K351">
        <f t="shared" si="5"/>
        <v>35845.519999999997</v>
      </c>
      <c r="L351" t="str">
        <f>INDEX(Raw_Shipments!L351:L2779,MATCH(A351,Raw_Shipments!B351:B2779))</f>
        <v>No</v>
      </c>
    </row>
    <row r="352" spans="1:12" x14ac:dyDescent="0.3">
      <c r="A352" s="2" t="s">
        <v>496</v>
      </c>
      <c r="B352" s="3">
        <v>45713</v>
      </c>
      <c r="C352" s="2" t="s">
        <v>473</v>
      </c>
      <c r="D352" s="2" t="s">
        <v>14</v>
      </c>
      <c r="E352" s="2" t="s">
        <v>26</v>
      </c>
      <c r="F352" s="2" t="s">
        <v>27</v>
      </c>
      <c r="G352" s="2" t="s">
        <v>22</v>
      </c>
      <c r="H352" s="2">
        <v>24</v>
      </c>
      <c r="I352" s="4">
        <v>1646.8</v>
      </c>
      <c r="J352" s="3">
        <v>45722</v>
      </c>
      <c r="K352">
        <f t="shared" si="5"/>
        <v>39523.199999999997</v>
      </c>
      <c r="L352" t="str">
        <f>INDEX(Raw_Shipments!L352:L2780,MATCH(A352,Raw_Shipments!B352:B2780))</f>
        <v>Yes</v>
      </c>
    </row>
    <row r="353" spans="1:12" x14ac:dyDescent="0.3">
      <c r="A353" s="5" t="s">
        <v>497</v>
      </c>
      <c r="B353" s="6">
        <v>45713</v>
      </c>
      <c r="C353" s="5" t="s">
        <v>65</v>
      </c>
      <c r="D353" s="5" t="s">
        <v>25</v>
      </c>
      <c r="E353" s="5" t="s">
        <v>31</v>
      </c>
      <c r="F353" s="5" t="s">
        <v>32</v>
      </c>
      <c r="G353" s="5" t="s">
        <v>33</v>
      </c>
      <c r="H353" s="5">
        <v>27</v>
      </c>
      <c r="I353" s="7">
        <v>689</v>
      </c>
      <c r="J353" s="6">
        <v>45719</v>
      </c>
      <c r="K353">
        <f t="shared" si="5"/>
        <v>18603</v>
      </c>
      <c r="L353" t="str">
        <f>INDEX(Raw_Shipments!L353:L2781,MATCH(A353,Raw_Shipments!B353:B2781))</f>
        <v>No</v>
      </c>
    </row>
    <row r="354" spans="1:12" x14ac:dyDescent="0.3">
      <c r="A354" s="2" t="s">
        <v>498</v>
      </c>
      <c r="B354" s="3">
        <v>45713</v>
      </c>
      <c r="C354" s="2" t="s">
        <v>191</v>
      </c>
      <c r="D354" s="2" t="s">
        <v>14</v>
      </c>
      <c r="E354" s="2" t="s">
        <v>36</v>
      </c>
      <c r="F354" s="2" t="s">
        <v>37</v>
      </c>
      <c r="G354" s="2" t="s">
        <v>33</v>
      </c>
      <c r="H354" s="2">
        <v>29</v>
      </c>
      <c r="I354" s="4">
        <v>1064.79</v>
      </c>
      <c r="J354" s="3">
        <v>45723</v>
      </c>
      <c r="K354">
        <f t="shared" si="5"/>
        <v>30878.91</v>
      </c>
      <c r="L354" t="str">
        <f>INDEX(Raw_Shipments!L354:L2782,MATCH(A354,Raw_Shipments!B354:B2782))</f>
        <v>Yes</v>
      </c>
    </row>
    <row r="355" spans="1:12" x14ac:dyDescent="0.3">
      <c r="A355" s="5" t="s">
        <v>499</v>
      </c>
      <c r="B355" s="6">
        <v>45713</v>
      </c>
      <c r="C355" s="5" t="s">
        <v>166</v>
      </c>
      <c r="D355" s="5" t="s">
        <v>25</v>
      </c>
      <c r="E355" s="5" t="s">
        <v>86</v>
      </c>
      <c r="F355" s="5" t="s">
        <v>87</v>
      </c>
      <c r="G355" s="5" t="s">
        <v>33</v>
      </c>
      <c r="H355" s="5">
        <v>31</v>
      </c>
      <c r="I355" s="7">
        <v>815.88</v>
      </c>
      <c r="J355" s="6">
        <v>45720</v>
      </c>
      <c r="K355">
        <f t="shared" si="5"/>
        <v>25292.28</v>
      </c>
      <c r="L355" t="str">
        <f>INDEX(Raw_Shipments!L355:L2783,MATCH(A355,Raw_Shipments!B355:B2783))</f>
        <v>No</v>
      </c>
    </row>
    <row r="356" spans="1:12" x14ac:dyDescent="0.3">
      <c r="A356" s="2" t="s">
        <v>500</v>
      </c>
      <c r="B356" s="3">
        <v>45713</v>
      </c>
      <c r="C356" s="2" t="s">
        <v>279</v>
      </c>
      <c r="D356" s="2" t="s">
        <v>45</v>
      </c>
      <c r="E356" s="2" t="s">
        <v>40</v>
      </c>
      <c r="F356" s="2" t="s">
        <v>41</v>
      </c>
      <c r="G356" s="2" t="s">
        <v>42</v>
      </c>
      <c r="H356" s="2">
        <v>15</v>
      </c>
      <c r="I356" s="4">
        <v>2445.11</v>
      </c>
      <c r="J356" s="3">
        <v>45718</v>
      </c>
      <c r="K356">
        <f t="shared" si="5"/>
        <v>36676.65</v>
      </c>
      <c r="L356" t="str">
        <f>INDEX(Raw_Shipments!L356:L2784,MATCH(A356,Raw_Shipments!B356:B2784))</f>
        <v>No</v>
      </c>
    </row>
    <row r="357" spans="1:12" x14ac:dyDescent="0.3">
      <c r="A357" s="5" t="s">
        <v>501</v>
      </c>
      <c r="B357" s="6">
        <v>45714</v>
      </c>
      <c r="C357" s="5" t="s">
        <v>363</v>
      </c>
      <c r="D357" s="5" t="s">
        <v>45</v>
      </c>
      <c r="E357" s="5" t="s">
        <v>58</v>
      </c>
      <c r="F357" s="5" t="s">
        <v>59</v>
      </c>
      <c r="G357" s="5" t="s">
        <v>55</v>
      </c>
      <c r="H357" s="5">
        <v>14</v>
      </c>
      <c r="I357" s="7">
        <v>1695.1</v>
      </c>
      <c r="J357" s="6">
        <v>45721</v>
      </c>
      <c r="K357">
        <f t="shared" si="5"/>
        <v>23731.399999999998</v>
      </c>
      <c r="L357" t="str">
        <f>INDEX(Raw_Shipments!L357:L2785,MATCH(A357,Raw_Shipments!B357:B2785))</f>
        <v>No</v>
      </c>
    </row>
    <row r="358" spans="1:12" x14ac:dyDescent="0.3">
      <c r="A358" s="2" t="s">
        <v>502</v>
      </c>
      <c r="B358" s="3">
        <v>45714</v>
      </c>
      <c r="C358" s="2" t="s">
        <v>93</v>
      </c>
      <c r="D358" s="2" t="s">
        <v>14</v>
      </c>
      <c r="E358" s="2" t="s">
        <v>97</v>
      </c>
      <c r="F358" s="2" t="s">
        <v>98</v>
      </c>
      <c r="G358" s="2" t="s">
        <v>17</v>
      </c>
      <c r="H358" s="2">
        <v>14</v>
      </c>
      <c r="I358" s="4">
        <v>1110.6500000000001</v>
      </c>
      <c r="J358" s="3">
        <v>45720</v>
      </c>
      <c r="K358">
        <f t="shared" si="5"/>
        <v>15549.100000000002</v>
      </c>
      <c r="L358" t="str">
        <f>INDEX(Raw_Shipments!L358:L2786,MATCH(A358,Raw_Shipments!B358:B2786))</f>
        <v>No</v>
      </c>
    </row>
    <row r="359" spans="1:12" x14ac:dyDescent="0.3">
      <c r="A359" s="5" t="s">
        <v>503</v>
      </c>
      <c r="B359" s="6">
        <v>45714</v>
      </c>
      <c r="C359" s="5" t="s">
        <v>504</v>
      </c>
      <c r="D359" s="5" t="s">
        <v>30</v>
      </c>
      <c r="E359" s="5" t="s">
        <v>119</v>
      </c>
      <c r="F359" s="5" t="s">
        <v>120</v>
      </c>
      <c r="G359" s="5" t="s">
        <v>22</v>
      </c>
      <c r="H359" s="5">
        <v>40</v>
      </c>
      <c r="I359" s="7">
        <v>912.26</v>
      </c>
      <c r="J359" s="6">
        <v>45724</v>
      </c>
      <c r="K359">
        <f t="shared" si="5"/>
        <v>36490.400000000001</v>
      </c>
      <c r="L359" t="str">
        <f>INDEX(Raw_Shipments!L359:L2787,MATCH(A359,Raw_Shipments!B359:B2787))</f>
        <v>Yes</v>
      </c>
    </row>
    <row r="360" spans="1:12" x14ac:dyDescent="0.3">
      <c r="A360" s="2" t="s">
        <v>505</v>
      </c>
      <c r="B360" s="3">
        <v>45714</v>
      </c>
      <c r="C360" s="2" t="s">
        <v>49</v>
      </c>
      <c r="D360" s="2" t="s">
        <v>14</v>
      </c>
      <c r="E360" s="2" t="s">
        <v>86</v>
      </c>
      <c r="F360" s="2" t="s">
        <v>87</v>
      </c>
      <c r="G360" s="2" t="s">
        <v>33</v>
      </c>
      <c r="H360" s="2">
        <v>49</v>
      </c>
      <c r="I360" s="4">
        <v>815.88</v>
      </c>
      <c r="J360" s="3">
        <v>45718</v>
      </c>
      <c r="K360">
        <f t="shared" si="5"/>
        <v>39978.120000000003</v>
      </c>
      <c r="L360" t="str">
        <f>INDEX(Raw_Shipments!L360:L2788,MATCH(A360,Raw_Shipments!B360:B2788))</f>
        <v>No</v>
      </c>
    </row>
    <row r="361" spans="1:12" x14ac:dyDescent="0.3">
      <c r="A361" s="5" t="s">
        <v>506</v>
      </c>
      <c r="B361" s="6">
        <v>45714</v>
      </c>
      <c r="C361" s="5" t="s">
        <v>195</v>
      </c>
      <c r="D361" s="5" t="s">
        <v>30</v>
      </c>
      <c r="E361" s="5" t="s">
        <v>46</v>
      </c>
      <c r="F361" s="5" t="s">
        <v>47</v>
      </c>
      <c r="G361" s="5" t="s">
        <v>42</v>
      </c>
      <c r="H361" s="5">
        <v>7</v>
      </c>
      <c r="I361" s="7">
        <v>1833.14</v>
      </c>
      <c r="J361" s="6">
        <v>45717</v>
      </c>
      <c r="K361">
        <f t="shared" si="5"/>
        <v>12831.980000000001</v>
      </c>
      <c r="L361" t="str">
        <f>INDEX(Raw_Shipments!L361:L2789,MATCH(A361,Raw_Shipments!B361:B2789))</f>
        <v>No</v>
      </c>
    </row>
    <row r="362" spans="1:12" x14ac:dyDescent="0.3">
      <c r="A362" s="2" t="s">
        <v>507</v>
      </c>
      <c r="B362" s="3">
        <v>45715</v>
      </c>
      <c r="C362" s="2" t="s">
        <v>77</v>
      </c>
      <c r="D362" s="2" t="s">
        <v>14</v>
      </c>
      <c r="E362" s="2" t="s">
        <v>53</v>
      </c>
      <c r="F362" s="2" t="s">
        <v>54</v>
      </c>
      <c r="G362" s="2" t="s">
        <v>55</v>
      </c>
      <c r="H362" s="2">
        <v>35</v>
      </c>
      <c r="I362" s="4">
        <v>2055.9</v>
      </c>
      <c r="J362" s="3">
        <v>45719</v>
      </c>
      <c r="K362">
        <f t="shared" si="5"/>
        <v>71956.5</v>
      </c>
      <c r="L362" t="str">
        <f>INDEX(Raw_Shipments!L362:L2790,MATCH(A362,Raw_Shipments!B362:B2790))</f>
        <v>No</v>
      </c>
    </row>
    <row r="363" spans="1:12" x14ac:dyDescent="0.3">
      <c r="A363" s="5" t="s">
        <v>508</v>
      </c>
      <c r="B363" s="6">
        <v>45715</v>
      </c>
      <c r="C363" s="5" t="s">
        <v>156</v>
      </c>
      <c r="D363" s="5" t="s">
        <v>14</v>
      </c>
      <c r="E363" s="5" t="s">
        <v>15</v>
      </c>
      <c r="F363" s="5" t="s">
        <v>16</v>
      </c>
      <c r="G363" s="5" t="s">
        <v>17</v>
      </c>
      <c r="H363" s="5">
        <v>11</v>
      </c>
      <c r="I363" s="7">
        <v>183.06</v>
      </c>
      <c r="J363" s="6">
        <v>45724</v>
      </c>
      <c r="K363">
        <f t="shared" si="5"/>
        <v>2013.66</v>
      </c>
      <c r="L363" t="str">
        <f>INDEX(Raw_Shipments!L363:L2791,MATCH(A363,Raw_Shipments!B363:B2791))</f>
        <v>No</v>
      </c>
    </row>
    <row r="364" spans="1:12" x14ac:dyDescent="0.3">
      <c r="A364" s="2" t="s">
        <v>509</v>
      </c>
      <c r="B364" s="3">
        <v>45715</v>
      </c>
      <c r="C364" s="2" t="s">
        <v>510</v>
      </c>
      <c r="D364" s="2" t="s">
        <v>45</v>
      </c>
      <c r="E364" s="2" t="s">
        <v>20</v>
      </c>
      <c r="F364" s="2" t="s">
        <v>21</v>
      </c>
      <c r="G364" s="2" t="s">
        <v>22</v>
      </c>
      <c r="H364" s="2">
        <v>16</v>
      </c>
      <c r="I364" s="4">
        <v>2108.56</v>
      </c>
      <c r="J364" s="3">
        <v>45724</v>
      </c>
      <c r="K364">
        <f t="shared" si="5"/>
        <v>33736.959999999999</v>
      </c>
      <c r="L364" t="str">
        <f>INDEX(Raw_Shipments!L364:L2792,MATCH(A364,Raw_Shipments!B364:B2792))</f>
        <v>No</v>
      </c>
    </row>
    <row r="365" spans="1:12" x14ac:dyDescent="0.3">
      <c r="A365" s="5" t="s">
        <v>511</v>
      </c>
      <c r="B365" s="6">
        <v>45715</v>
      </c>
      <c r="C365" s="5" t="s">
        <v>79</v>
      </c>
      <c r="D365" s="5" t="s">
        <v>14</v>
      </c>
      <c r="E365" s="5" t="s">
        <v>31</v>
      </c>
      <c r="F365" s="5" t="s">
        <v>32</v>
      </c>
      <c r="G365" s="5" t="s">
        <v>33</v>
      </c>
      <c r="H365" s="5">
        <v>39</v>
      </c>
      <c r="I365" s="7">
        <v>689</v>
      </c>
      <c r="J365" s="6">
        <v>45723</v>
      </c>
      <c r="K365">
        <f t="shared" si="5"/>
        <v>26871</v>
      </c>
      <c r="L365" t="str">
        <f>INDEX(Raw_Shipments!L365:L2793,MATCH(A365,Raw_Shipments!B365:B2793))</f>
        <v>Yes</v>
      </c>
    </row>
    <row r="366" spans="1:12" x14ac:dyDescent="0.3">
      <c r="A366" s="2" t="s">
        <v>512</v>
      </c>
      <c r="B366" s="3">
        <v>45715</v>
      </c>
      <c r="C366" s="2" t="s">
        <v>185</v>
      </c>
      <c r="D366" s="2" t="s">
        <v>45</v>
      </c>
      <c r="E366" s="2" t="s">
        <v>86</v>
      </c>
      <c r="F366" s="2" t="s">
        <v>87</v>
      </c>
      <c r="G366" s="2" t="s">
        <v>33</v>
      </c>
      <c r="H366" s="2">
        <v>38</v>
      </c>
      <c r="I366" s="4">
        <v>815.88</v>
      </c>
      <c r="J366" s="3">
        <v>45725</v>
      </c>
      <c r="K366">
        <f t="shared" si="5"/>
        <v>31003.439999999999</v>
      </c>
      <c r="L366" t="str">
        <f>INDEX(Raw_Shipments!L366:L2794,MATCH(A366,Raw_Shipments!B366:B2794))</f>
        <v>Yes</v>
      </c>
    </row>
    <row r="367" spans="1:12" x14ac:dyDescent="0.3">
      <c r="A367" s="5" t="s">
        <v>513</v>
      </c>
      <c r="B367" s="6">
        <v>45715</v>
      </c>
      <c r="C367" s="5" t="s">
        <v>19</v>
      </c>
      <c r="D367" s="5" t="s">
        <v>25</v>
      </c>
      <c r="E367" s="5" t="s">
        <v>40</v>
      </c>
      <c r="F367" s="5" t="s">
        <v>41</v>
      </c>
      <c r="G367" s="5" t="s">
        <v>42</v>
      </c>
      <c r="H367" s="5">
        <v>34</v>
      </c>
      <c r="I367" s="7">
        <v>2445.11</v>
      </c>
      <c r="J367" s="6">
        <v>45719</v>
      </c>
      <c r="K367">
        <f t="shared" si="5"/>
        <v>83133.740000000005</v>
      </c>
      <c r="L367" t="str">
        <f>INDEX(Raw_Shipments!L367:L2795,MATCH(A367,Raw_Shipments!B367:B2795))</f>
        <v>No</v>
      </c>
    </row>
    <row r="368" spans="1:12" x14ac:dyDescent="0.3">
      <c r="A368" s="2" t="s">
        <v>514</v>
      </c>
      <c r="B368" s="3">
        <v>45716</v>
      </c>
      <c r="C368" s="2" t="s">
        <v>217</v>
      </c>
      <c r="D368" s="2" t="s">
        <v>14</v>
      </c>
      <c r="E368" s="2" t="s">
        <v>53</v>
      </c>
      <c r="F368" s="2" t="s">
        <v>54</v>
      </c>
      <c r="G368" s="2" t="s">
        <v>55</v>
      </c>
      <c r="H368" s="2">
        <v>42</v>
      </c>
      <c r="I368" s="4">
        <v>2055.9</v>
      </c>
      <c r="J368" s="3">
        <v>45721</v>
      </c>
      <c r="K368">
        <f t="shared" si="5"/>
        <v>86347.8</v>
      </c>
      <c r="L368" t="str">
        <f>INDEX(Raw_Shipments!L368:L2796,MATCH(A368,Raw_Shipments!B368:B2796))</f>
        <v>No</v>
      </c>
    </row>
    <row r="369" spans="1:12" x14ac:dyDescent="0.3">
      <c r="A369" s="5" t="s">
        <v>515</v>
      </c>
      <c r="B369" s="6">
        <v>45716</v>
      </c>
      <c r="C369" s="5" t="s">
        <v>156</v>
      </c>
      <c r="D369" s="5" t="s">
        <v>14</v>
      </c>
      <c r="E369" s="5" t="s">
        <v>58</v>
      </c>
      <c r="F369" s="5" t="s">
        <v>59</v>
      </c>
      <c r="G369" s="5" t="s">
        <v>55</v>
      </c>
      <c r="H369" s="5">
        <v>17</v>
      </c>
      <c r="I369" s="7">
        <v>1695.1</v>
      </c>
      <c r="J369" s="6">
        <v>45725</v>
      </c>
      <c r="K369">
        <f t="shared" si="5"/>
        <v>28816.699999999997</v>
      </c>
      <c r="L369" t="str">
        <f>INDEX(Raw_Shipments!L369:L2797,MATCH(A369,Raw_Shipments!B369:B2797))</f>
        <v>No</v>
      </c>
    </row>
    <row r="370" spans="1:12" x14ac:dyDescent="0.3">
      <c r="A370" s="2" t="s">
        <v>516</v>
      </c>
      <c r="B370" s="3">
        <v>45716</v>
      </c>
      <c r="C370" s="2" t="s">
        <v>175</v>
      </c>
      <c r="D370" s="2" t="s">
        <v>30</v>
      </c>
      <c r="E370" s="2" t="s">
        <v>97</v>
      </c>
      <c r="F370" s="2" t="s">
        <v>98</v>
      </c>
      <c r="G370" s="2" t="s">
        <v>17</v>
      </c>
      <c r="H370" s="2">
        <v>22</v>
      </c>
      <c r="I370" s="4">
        <v>1110.6500000000001</v>
      </c>
      <c r="J370" s="3">
        <v>45722</v>
      </c>
      <c r="K370">
        <f t="shared" si="5"/>
        <v>24434.300000000003</v>
      </c>
      <c r="L370" t="str">
        <f>INDEX(Raw_Shipments!L370:L2798,MATCH(A370,Raw_Shipments!B370:B2798))</f>
        <v>Yes</v>
      </c>
    </row>
    <row r="371" spans="1:12" x14ac:dyDescent="0.3">
      <c r="A371" s="5" t="s">
        <v>517</v>
      </c>
      <c r="B371" s="6">
        <v>45716</v>
      </c>
      <c r="C371" s="5" t="s">
        <v>131</v>
      </c>
      <c r="D371" s="5" t="s">
        <v>25</v>
      </c>
      <c r="E371" s="5" t="s">
        <v>15</v>
      </c>
      <c r="F371" s="5" t="s">
        <v>16</v>
      </c>
      <c r="G371" s="5" t="s">
        <v>17</v>
      </c>
      <c r="H371" s="5">
        <v>10</v>
      </c>
      <c r="I371" s="7">
        <v>183.06</v>
      </c>
      <c r="J371" s="6">
        <v>45722</v>
      </c>
      <c r="K371">
        <f t="shared" si="5"/>
        <v>1830.6</v>
      </c>
      <c r="L371" t="str">
        <f>INDEX(Raw_Shipments!L371:L2799,MATCH(A371,Raw_Shipments!B371:B2799))</f>
        <v>No</v>
      </c>
    </row>
    <row r="372" spans="1:12" x14ac:dyDescent="0.3">
      <c r="A372" s="2" t="s">
        <v>518</v>
      </c>
      <c r="B372" s="3">
        <v>45716</v>
      </c>
      <c r="C372" s="2" t="s">
        <v>356</v>
      </c>
      <c r="D372" s="2" t="s">
        <v>25</v>
      </c>
      <c r="E372" s="2" t="s">
        <v>26</v>
      </c>
      <c r="F372" s="2" t="s">
        <v>27</v>
      </c>
      <c r="G372" s="2" t="s">
        <v>22</v>
      </c>
      <c r="H372" s="2">
        <v>30</v>
      </c>
      <c r="I372" s="4">
        <v>1646.8</v>
      </c>
      <c r="J372" s="3">
        <v>45721</v>
      </c>
      <c r="K372">
        <f t="shared" si="5"/>
        <v>49404</v>
      </c>
      <c r="L372" t="str">
        <f>INDEX(Raw_Shipments!L372:L2800,MATCH(A372,Raw_Shipments!B372:B2800))</f>
        <v>No</v>
      </c>
    </row>
    <row r="373" spans="1:12" x14ac:dyDescent="0.3">
      <c r="A373" s="5" t="s">
        <v>519</v>
      </c>
      <c r="B373" s="6">
        <v>45716</v>
      </c>
      <c r="C373" s="5" t="s">
        <v>77</v>
      </c>
      <c r="D373" s="5" t="s">
        <v>30</v>
      </c>
      <c r="E373" s="5" t="s">
        <v>31</v>
      </c>
      <c r="F373" s="5" t="s">
        <v>32</v>
      </c>
      <c r="G373" s="5" t="s">
        <v>33</v>
      </c>
      <c r="H373" s="5">
        <v>54</v>
      </c>
      <c r="I373" s="7">
        <v>689</v>
      </c>
      <c r="J373" s="6">
        <v>45720</v>
      </c>
      <c r="K373">
        <f t="shared" si="5"/>
        <v>37206</v>
      </c>
      <c r="L373" t="str">
        <f>INDEX(Raw_Shipments!L373:L2801,MATCH(A373,Raw_Shipments!B373:B2801))</f>
        <v>No</v>
      </c>
    </row>
    <row r="374" spans="1:12" x14ac:dyDescent="0.3">
      <c r="A374" s="2" t="s">
        <v>520</v>
      </c>
      <c r="B374" s="3">
        <v>45717</v>
      </c>
      <c r="C374" s="2" t="s">
        <v>85</v>
      </c>
      <c r="D374" s="2" t="s">
        <v>45</v>
      </c>
      <c r="E374" s="2" t="s">
        <v>53</v>
      </c>
      <c r="F374" s="2" t="s">
        <v>54</v>
      </c>
      <c r="G374" s="2" t="s">
        <v>55</v>
      </c>
      <c r="H374" s="2">
        <v>42</v>
      </c>
      <c r="I374" s="4">
        <v>2055.9</v>
      </c>
      <c r="J374" s="3">
        <v>45724</v>
      </c>
      <c r="K374">
        <f t="shared" si="5"/>
        <v>86347.8</v>
      </c>
      <c r="L374" t="str">
        <f>INDEX(Raw_Shipments!L374:L2802,MATCH(A374,Raw_Shipments!B374:B2802))</f>
        <v>No</v>
      </c>
    </row>
    <row r="375" spans="1:12" x14ac:dyDescent="0.3">
      <c r="A375" s="5" t="s">
        <v>521</v>
      </c>
      <c r="B375" s="6">
        <v>45717</v>
      </c>
      <c r="C375" s="5" t="s">
        <v>318</v>
      </c>
      <c r="D375" s="5" t="s">
        <v>45</v>
      </c>
      <c r="E375" s="5" t="s">
        <v>62</v>
      </c>
      <c r="F375" s="5" t="s">
        <v>63</v>
      </c>
      <c r="G375" s="5" t="s">
        <v>55</v>
      </c>
      <c r="H375" s="5">
        <v>21</v>
      </c>
      <c r="I375" s="7">
        <v>2555.2199999999998</v>
      </c>
      <c r="J375" s="6">
        <v>45723</v>
      </c>
      <c r="K375">
        <f t="shared" si="5"/>
        <v>53659.619999999995</v>
      </c>
      <c r="L375" t="str">
        <f>INDEX(Raw_Shipments!L375:L2803,MATCH(A375,Raw_Shipments!B375:B2803))</f>
        <v>No</v>
      </c>
    </row>
    <row r="376" spans="1:12" x14ac:dyDescent="0.3">
      <c r="A376" s="2" t="s">
        <v>522</v>
      </c>
      <c r="B376" s="3">
        <v>45717</v>
      </c>
      <c r="C376" s="2" t="s">
        <v>122</v>
      </c>
      <c r="D376" s="2" t="s">
        <v>14</v>
      </c>
      <c r="E376" s="2" t="s">
        <v>66</v>
      </c>
      <c r="F376" s="2" t="s">
        <v>67</v>
      </c>
      <c r="G376" s="2" t="s">
        <v>17</v>
      </c>
      <c r="H376" s="2">
        <v>12</v>
      </c>
      <c r="I376" s="4">
        <v>850.8</v>
      </c>
      <c r="J376" s="3">
        <v>45726</v>
      </c>
      <c r="K376">
        <f t="shared" si="5"/>
        <v>10209.599999999999</v>
      </c>
      <c r="L376" t="str">
        <f>INDEX(Raw_Shipments!L376:L2804,MATCH(A376,Raw_Shipments!B376:B2804))</f>
        <v>Yes</v>
      </c>
    </row>
    <row r="377" spans="1:12" x14ac:dyDescent="0.3">
      <c r="A377" s="5" t="s">
        <v>523</v>
      </c>
      <c r="B377" s="6">
        <v>45717</v>
      </c>
      <c r="C377" s="5" t="s">
        <v>144</v>
      </c>
      <c r="D377" s="5" t="s">
        <v>14</v>
      </c>
      <c r="E377" s="5" t="s">
        <v>15</v>
      </c>
      <c r="F377" s="5" t="s">
        <v>16</v>
      </c>
      <c r="G377" s="5" t="s">
        <v>17</v>
      </c>
      <c r="H377" s="5">
        <v>8</v>
      </c>
      <c r="I377" s="7">
        <v>183.06</v>
      </c>
      <c r="J377" s="6">
        <v>45727</v>
      </c>
      <c r="K377">
        <f t="shared" si="5"/>
        <v>1464.48</v>
      </c>
      <c r="L377" t="str">
        <f>INDEX(Raw_Shipments!L377:L2805,MATCH(A377,Raw_Shipments!B377:B2805))</f>
        <v>Yes</v>
      </c>
    </row>
    <row r="378" spans="1:12" x14ac:dyDescent="0.3">
      <c r="A378" s="2" t="s">
        <v>524</v>
      </c>
      <c r="B378" s="3">
        <v>45717</v>
      </c>
      <c r="C378" s="2" t="s">
        <v>183</v>
      </c>
      <c r="D378" s="2" t="s">
        <v>45</v>
      </c>
      <c r="E378" s="2" t="s">
        <v>26</v>
      </c>
      <c r="F378" s="2" t="s">
        <v>27</v>
      </c>
      <c r="G378" s="2" t="s">
        <v>22</v>
      </c>
      <c r="H378" s="2">
        <v>16</v>
      </c>
      <c r="I378" s="4">
        <v>1646.8</v>
      </c>
      <c r="J378" s="3">
        <v>45720</v>
      </c>
      <c r="K378">
        <f t="shared" si="5"/>
        <v>26348.799999999999</v>
      </c>
      <c r="L378" t="str">
        <f>INDEX(Raw_Shipments!L378:L2806,MATCH(A378,Raw_Shipments!B378:B2806))</f>
        <v>No</v>
      </c>
    </row>
    <row r="379" spans="1:12" x14ac:dyDescent="0.3">
      <c r="A379" s="5" t="s">
        <v>525</v>
      </c>
      <c r="B379" s="6">
        <v>45717</v>
      </c>
      <c r="C379" s="5" t="s">
        <v>178</v>
      </c>
      <c r="D379" s="5" t="s">
        <v>30</v>
      </c>
      <c r="E379" s="5" t="s">
        <v>36</v>
      </c>
      <c r="F379" s="5" t="s">
        <v>37</v>
      </c>
      <c r="G379" s="5" t="s">
        <v>33</v>
      </c>
      <c r="H379" s="5">
        <v>52</v>
      </c>
      <c r="I379" s="7">
        <v>1064.79</v>
      </c>
      <c r="J379" s="6">
        <v>45726</v>
      </c>
      <c r="K379">
        <f t="shared" si="5"/>
        <v>55369.08</v>
      </c>
      <c r="L379" t="str">
        <f>INDEX(Raw_Shipments!L379:L2807,MATCH(A379,Raw_Shipments!B379:B2807))</f>
        <v>No</v>
      </c>
    </row>
    <row r="380" spans="1:12" x14ac:dyDescent="0.3">
      <c r="A380" s="2" t="s">
        <v>526</v>
      </c>
      <c r="B380" s="3">
        <v>45717</v>
      </c>
      <c r="C380" s="2" t="s">
        <v>527</v>
      </c>
      <c r="D380" s="2" t="s">
        <v>14</v>
      </c>
      <c r="E380" s="2" t="s">
        <v>86</v>
      </c>
      <c r="F380" s="2" t="s">
        <v>87</v>
      </c>
      <c r="G380" s="2" t="s">
        <v>33</v>
      </c>
      <c r="H380" s="2">
        <v>12</v>
      </c>
      <c r="I380" s="4">
        <v>815.88</v>
      </c>
      <c r="J380" s="3">
        <v>45727</v>
      </c>
      <c r="K380">
        <f t="shared" si="5"/>
        <v>9790.56</v>
      </c>
      <c r="L380" t="str">
        <f>INDEX(Raw_Shipments!L380:L2808,MATCH(A380,Raw_Shipments!B380:B2808))</f>
        <v>Yes</v>
      </c>
    </row>
    <row r="381" spans="1:12" x14ac:dyDescent="0.3">
      <c r="A381" s="5" t="s">
        <v>528</v>
      </c>
      <c r="B381" s="6">
        <v>45717</v>
      </c>
      <c r="C381" s="5" t="s">
        <v>150</v>
      </c>
      <c r="D381" s="5" t="s">
        <v>14</v>
      </c>
      <c r="E381" s="5" t="s">
        <v>40</v>
      </c>
      <c r="F381" s="5" t="s">
        <v>41</v>
      </c>
      <c r="G381" s="5" t="s">
        <v>42</v>
      </c>
      <c r="H381" s="5">
        <v>26</v>
      </c>
      <c r="I381" s="7">
        <v>2445.11</v>
      </c>
      <c r="J381" s="6">
        <v>45720</v>
      </c>
      <c r="K381">
        <f t="shared" si="5"/>
        <v>63572.86</v>
      </c>
      <c r="L381" t="str">
        <f>INDEX(Raw_Shipments!L381:L2809,MATCH(A381,Raw_Shipments!B381:B2809))</f>
        <v>No</v>
      </c>
    </row>
    <row r="382" spans="1:12" x14ac:dyDescent="0.3">
      <c r="A382" s="2" t="s">
        <v>529</v>
      </c>
      <c r="B382" s="3">
        <v>45717</v>
      </c>
      <c r="C382" s="2" t="s">
        <v>139</v>
      </c>
      <c r="D382" s="2" t="s">
        <v>30</v>
      </c>
      <c r="E382" s="2" t="s">
        <v>46</v>
      </c>
      <c r="F382" s="2" t="s">
        <v>47</v>
      </c>
      <c r="G382" s="2" t="s">
        <v>42</v>
      </c>
      <c r="H382" s="2">
        <v>6</v>
      </c>
      <c r="I382" s="4">
        <v>1833.14</v>
      </c>
      <c r="J382" s="3">
        <v>45722</v>
      </c>
      <c r="K382">
        <f t="shared" si="5"/>
        <v>10998.84</v>
      </c>
      <c r="L382" t="str">
        <f>INDEX(Raw_Shipments!L382:L2810,MATCH(A382,Raw_Shipments!B382:B2810))</f>
        <v>No</v>
      </c>
    </row>
    <row r="383" spans="1:12" x14ac:dyDescent="0.3">
      <c r="A383" s="5" t="s">
        <v>530</v>
      </c>
      <c r="B383" s="6">
        <v>45718</v>
      </c>
      <c r="C383" s="5" t="s">
        <v>234</v>
      </c>
      <c r="D383" s="5" t="s">
        <v>45</v>
      </c>
      <c r="E383" s="5" t="s">
        <v>97</v>
      </c>
      <c r="F383" s="5" t="s">
        <v>98</v>
      </c>
      <c r="G383" s="5" t="s">
        <v>17</v>
      </c>
      <c r="H383" s="5">
        <v>39</v>
      </c>
      <c r="I383" s="7">
        <v>1110.6500000000001</v>
      </c>
      <c r="J383" s="6">
        <v>45726</v>
      </c>
      <c r="K383">
        <f t="shared" si="5"/>
        <v>43315.350000000006</v>
      </c>
      <c r="L383" t="str">
        <f>INDEX(Raw_Shipments!L383:L2811,MATCH(A383,Raw_Shipments!B383:B2811))</f>
        <v>No</v>
      </c>
    </row>
    <row r="384" spans="1:12" x14ac:dyDescent="0.3">
      <c r="A384" s="2" t="s">
        <v>531</v>
      </c>
      <c r="B384" s="3">
        <v>45718</v>
      </c>
      <c r="C384" s="2" t="s">
        <v>451</v>
      </c>
      <c r="D384" s="2" t="s">
        <v>45</v>
      </c>
      <c r="E384" s="2" t="s">
        <v>20</v>
      </c>
      <c r="F384" s="2" t="s">
        <v>21</v>
      </c>
      <c r="G384" s="2" t="s">
        <v>22</v>
      </c>
      <c r="H384" s="2">
        <v>14</v>
      </c>
      <c r="I384" s="4">
        <v>2108.56</v>
      </c>
      <c r="J384" s="3">
        <v>45724</v>
      </c>
      <c r="K384">
        <f t="shared" si="5"/>
        <v>29519.84</v>
      </c>
      <c r="L384" t="str">
        <f>INDEX(Raw_Shipments!L384:L2812,MATCH(A384,Raw_Shipments!B384:B2812))</f>
        <v>Yes</v>
      </c>
    </row>
    <row r="385" spans="1:12" x14ac:dyDescent="0.3">
      <c r="A385" s="5" t="s">
        <v>532</v>
      </c>
      <c r="B385" s="6">
        <v>45718</v>
      </c>
      <c r="C385" s="5" t="s">
        <v>250</v>
      </c>
      <c r="D385" s="5" t="s">
        <v>30</v>
      </c>
      <c r="E385" s="5" t="s">
        <v>119</v>
      </c>
      <c r="F385" s="5" t="s">
        <v>120</v>
      </c>
      <c r="G385" s="5" t="s">
        <v>22</v>
      </c>
      <c r="H385" s="5">
        <v>54</v>
      </c>
      <c r="I385" s="7">
        <v>912.26</v>
      </c>
      <c r="J385" s="6">
        <v>45726</v>
      </c>
      <c r="K385">
        <f t="shared" si="5"/>
        <v>49262.04</v>
      </c>
      <c r="L385" t="str">
        <f>INDEX(Raw_Shipments!L385:L2813,MATCH(A385,Raw_Shipments!B385:B2813))</f>
        <v>Yes</v>
      </c>
    </row>
    <row r="386" spans="1:12" x14ac:dyDescent="0.3">
      <c r="A386" s="2" t="s">
        <v>533</v>
      </c>
      <c r="B386" s="3">
        <v>45718</v>
      </c>
      <c r="C386" s="2" t="s">
        <v>172</v>
      </c>
      <c r="D386" s="2" t="s">
        <v>30</v>
      </c>
      <c r="E386" s="2" t="s">
        <v>31</v>
      </c>
      <c r="F386" s="2" t="s">
        <v>32</v>
      </c>
      <c r="G386" s="2" t="s">
        <v>33</v>
      </c>
      <c r="H386" s="2">
        <v>41</v>
      </c>
      <c r="I386" s="4">
        <v>689</v>
      </c>
      <c r="J386" s="3">
        <v>45726</v>
      </c>
      <c r="K386">
        <f t="shared" si="5"/>
        <v>28249</v>
      </c>
      <c r="L386" t="str">
        <f>INDEX(Raw_Shipments!L386:L2814,MATCH(A386,Raw_Shipments!B386:B2814))</f>
        <v>Yes</v>
      </c>
    </row>
    <row r="387" spans="1:12" x14ac:dyDescent="0.3">
      <c r="A387" s="5" t="s">
        <v>534</v>
      </c>
      <c r="B387" s="6">
        <v>45718</v>
      </c>
      <c r="C387" s="5" t="s">
        <v>131</v>
      </c>
      <c r="D387" s="5" t="s">
        <v>14</v>
      </c>
      <c r="E387" s="5" t="s">
        <v>36</v>
      </c>
      <c r="F387" s="5" t="s">
        <v>37</v>
      </c>
      <c r="G387" s="5" t="s">
        <v>33</v>
      </c>
      <c r="H387" s="5">
        <v>30</v>
      </c>
      <c r="I387" s="7">
        <v>1064.79</v>
      </c>
      <c r="J387" s="6">
        <v>45723</v>
      </c>
      <c r="K387">
        <f t="shared" ref="K387:K450" si="6">I387*H387</f>
        <v>31943.699999999997</v>
      </c>
      <c r="L387" t="str">
        <f>INDEX(Raw_Shipments!L387:L2815,MATCH(A387,Raw_Shipments!B387:B2815))</f>
        <v>No</v>
      </c>
    </row>
    <row r="388" spans="1:12" x14ac:dyDescent="0.3">
      <c r="A388" s="2" t="s">
        <v>535</v>
      </c>
      <c r="B388" s="3">
        <v>45719</v>
      </c>
      <c r="C388" s="2" t="s">
        <v>418</v>
      </c>
      <c r="D388" s="2" t="s">
        <v>45</v>
      </c>
      <c r="E388" s="2" t="s">
        <v>53</v>
      </c>
      <c r="F388" s="2" t="s">
        <v>54</v>
      </c>
      <c r="G388" s="2" t="s">
        <v>55</v>
      </c>
      <c r="H388" s="2">
        <v>43</v>
      </c>
      <c r="I388" s="4">
        <v>2055.9</v>
      </c>
      <c r="J388" s="3">
        <v>45726</v>
      </c>
      <c r="K388">
        <f t="shared" si="6"/>
        <v>88403.7</v>
      </c>
      <c r="L388" t="str">
        <f>INDEX(Raw_Shipments!L388:L2816,MATCH(A388,Raw_Shipments!B388:B2816))</f>
        <v>No</v>
      </c>
    </row>
    <row r="389" spans="1:12" x14ac:dyDescent="0.3">
      <c r="A389" s="5" t="s">
        <v>536</v>
      </c>
      <c r="B389" s="6">
        <v>45719</v>
      </c>
      <c r="C389" s="5" t="s">
        <v>71</v>
      </c>
      <c r="D389" s="5" t="s">
        <v>25</v>
      </c>
      <c r="E389" s="5" t="s">
        <v>58</v>
      </c>
      <c r="F389" s="5" t="s">
        <v>59</v>
      </c>
      <c r="G389" s="5" t="s">
        <v>55</v>
      </c>
      <c r="H389" s="5">
        <v>16</v>
      </c>
      <c r="I389" s="7">
        <v>1695.1</v>
      </c>
      <c r="J389" s="6">
        <v>45728</v>
      </c>
      <c r="K389">
        <f t="shared" si="6"/>
        <v>27121.599999999999</v>
      </c>
      <c r="L389" t="str">
        <f>INDEX(Raw_Shipments!L389:L2817,MATCH(A389,Raw_Shipments!B389:B2817))</f>
        <v>No</v>
      </c>
    </row>
    <row r="390" spans="1:12" x14ac:dyDescent="0.3">
      <c r="A390" s="2" t="s">
        <v>537</v>
      </c>
      <c r="B390" s="3">
        <v>45719</v>
      </c>
      <c r="C390" s="2" t="s">
        <v>35</v>
      </c>
      <c r="D390" s="2" t="s">
        <v>30</v>
      </c>
      <c r="E390" s="2" t="s">
        <v>66</v>
      </c>
      <c r="F390" s="2" t="s">
        <v>67</v>
      </c>
      <c r="G390" s="2" t="s">
        <v>17</v>
      </c>
      <c r="H390" s="2">
        <v>16</v>
      </c>
      <c r="I390" s="4">
        <v>850.8</v>
      </c>
      <c r="J390" s="3">
        <v>45727</v>
      </c>
      <c r="K390">
        <f t="shared" si="6"/>
        <v>13612.8</v>
      </c>
      <c r="L390" t="str">
        <f>INDEX(Raw_Shipments!L390:L2818,MATCH(A390,Raw_Shipments!B390:B2818))</f>
        <v>Yes</v>
      </c>
    </row>
    <row r="391" spans="1:12" x14ac:dyDescent="0.3">
      <c r="A391" s="5" t="s">
        <v>538</v>
      </c>
      <c r="B391" s="6">
        <v>45719</v>
      </c>
      <c r="C391" s="5" t="s">
        <v>111</v>
      </c>
      <c r="D391" s="5" t="s">
        <v>30</v>
      </c>
      <c r="E391" s="5" t="s">
        <v>20</v>
      </c>
      <c r="F391" s="5" t="s">
        <v>21</v>
      </c>
      <c r="G391" s="5" t="s">
        <v>22</v>
      </c>
      <c r="H391" s="5">
        <v>11</v>
      </c>
      <c r="I391" s="7">
        <v>2108.56</v>
      </c>
      <c r="J391" s="6">
        <v>45728</v>
      </c>
      <c r="K391">
        <f t="shared" si="6"/>
        <v>23194.16</v>
      </c>
      <c r="L391" t="str">
        <f>INDEX(Raw_Shipments!L391:L2819,MATCH(A391,Raw_Shipments!B391:B2819))</f>
        <v>Yes</v>
      </c>
    </row>
    <row r="392" spans="1:12" x14ac:dyDescent="0.3">
      <c r="A392" s="2" t="s">
        <v>539</v>
      </c>
      <c r="B392" s="3">
        <v>45719</v>
      </c>
      <c r="C392" s="2" t="s">
        <v>418</v>
      </c>
      <c r="D392" s="2" t="s">
        <v>25</v>
      </c>
      <c r="E392" s="2" t="s">
        <v>119</v>
      </c>
      <c r="F392" s="2" t="s">
        <v>120</v>
      </c>
      <c r="G392" s="2" t="s">
        <v>22</v>
      </c>
      <c r="H392" s="2">
        <v>47</v>
      </c>
      <c r="I392" s="4">
        <v>912.26</v>
      </c>
      <c r="J392" s="3">
        <v>45728</v>
      </c>
      <c r="K392">
        <f t="shared" si="6"/>
        <v>42876.22</v>
      </c>
      <c r="L392" t="str">
        <f>INDEX(Raw_Shipments!L392:L2820,MATCH(A392,Raw_Shipments!B392:B2820))</f>
        <v>Yes</v>
      </c>
    </row>
    <row r="393" spans="1:12" x14ac:dyDescent="0.3">
      <c r="A393" s="5" t="s">
        <v>540</v>
      </c>
      <c r="B393" s="6">
        <v>45720</v>
      </c>
      <c r="C393" s="5" t="s">
        <v>144</v>
      </c>
      <c r="D393" s="5" t="s">
        <v>25</v>
      </c>
      <c r="E393" s="5" t="s">
        <v>53</v>
      </c>
      <c r="F393" s="5" t="s">
        <v>54</v>
      </c>
      <c r="G393" s="5" t="s">
        <v>55</v>
      </c>
      <c r="H393" s="5">
        <v>14</v>
      </c>
      <c r="I393" s="7">
        <v>2055.9</v>
      </c>
      <c r="J393" s="6">
        <v>45730</v>
      </c>
      <c r="K393">
        <f t="shared" si="6"/>
        <v>28782.600000000002</v>
      </c>
      <c r="L393" t="str">
        <f>INDEX(Raw_Shipments!L393:L2821,MATCH(A393,Raw_Shipments!B393:B2821))</f>
        <v>No</v>
      </c>
    </row>
    <row r="394" spans="1:12" x14ac:dyDescent="0.3">
      <c r="A394" s="2" t="s">
        <v>541</v>
      </c>
      <c r="B394" s="3">
        <v>45720</v>
      </c>
      <c r="C394" s="2" t="s">
        <v>203</v>
      </c>
      <c r="D394" s="2" t="s">
        <v>25</v>
      </c>
      <c r="E394" s="2" t="s">
        <v>66</v>
      </c>
      <c r="F394" s="2" t="s">
        <v>67</v>
      </c>
      <c r="G394" s="2" t="s">
        <v>17</v>
      </c>
      <c r="H394" s="2">
        <v>22</v>
      </c>
      <c r="I394" s="4">
        <v>850.8</v>
      </c>
      <c r="J394" s="3">
        <v>45730</v>
      </c>
      <c r="K394">
        <f t="shared" si="6"/>
        <v>18717.599999999999</v>
      </c>
      <c r="L394" t="str">
        <f>INDEX(Raw_Shipments!L394:L2822,MATCH(A394,Raw_Shipments!B394:B2822))</f>
        <v>No</v>
      </c>
    </row>
    <row r="395" spans="1:12" x14ac:dyDescent="0.3">
      <c r="A395" s="5" t="s">
        <v>542</v>
      </c>
      <c r="B395" s="6">
        <v>45720</v>
      </c>
      <c r="C395" s="5" t="s">
        <v>195</v>
      </c>
      <c r="D395" s="5" t="s">
        <v>30</v>
      </c>
      <c r="E395" s="5" t="s">
        <v>15</v>
      </c>
      <c r="F395" s="5" t="s">
        <v>16</v>
      </c>
      <c r="G395" s="5" t="s">
        <v>17</v>
      </c>
      <c r="H395" s="5">
        <v>12</v>
      </c>
      <c r="I395" s="7">
        <v>183.06</v>
      </c>
      <c r="J395" s="6">
        <v>45725</v>
      </c>
      <c r="K395">
        <f t="shared" si="6"/>
        <v>2196.7200000000003</v>
      </c>
      <c r="L395" t="str">
        <f>INDEX(Raw_Shipments!L395:L2823,MATCH(A395,Raw_Shipments!B395:B2823))</f>
        <v>No</v>
      </c>
    </row>
    <row r="396" spans="1:12" x14ac:dyDescent="0.3">
      <c r="A396" s="2" t="s">
        <v>543</v>
      </c>
      <c r="B396" s="3">
        <v>45720</v>
      </c>
      <c r="C396" s="2" t="s">
        <v>13</v>
      </c>
      <c r="D396" s="2" t="s">
        <v>14</v>
      </c>
      <c r="E396" s="2" t="s">
        <v>31</v>
      </c>
      <c r="F396" s="2" t="s">
        <v>32</v>
      </c>
      <c r="G396" s="2" t="s">
        <v>33</v>
      </c>
      <c r="H396" s="2">
        <v>20</v>
      </c>
      <c r="I396" s="4">
        <v>689</v>
      </c>
      <c r="J396" s="3">
        <v>45723</v>
      </c>
      <c r="K396">
        <f t="shared" si="6"/>
        <v>13780</v>
      </c>
      <c r="L396" t="str">
        <f>INDEX(Raw_Shipments!L396:L2824,MATCH(A396,Raw_Shipments!B396:B2824))</f>
        <v>No</v>
      </c>
    </row>
    <row r="397" spans="1:12" x14ac:dyDescent="0.3">
      <c r="A397" s="5" t="s">
        <v>544</v>
      </c>
      <c r="B397" s="6">
        <v>45720</v>
      </c>
      <c r="C397" s="5" t="s">
        <v>545</v>
      </c>
      <c r="D397" s="5" t="s">
        <v>14</v>
      </c>
      <c r="E397" s="5" t="s">
        <v>36</v>
      </c>
      <c r="F397" s="5" t="s">
        <v>37</v>
      </c>
      <c r="G397" s="5" t="s">
        <v>33</v>
      </c>
      <c r="H397" s="5">
        <v>20</v>
      </c>
      <c r="I397" s="7">
        <v>1064.79</v>
      </c>
      <c r="J397" s="6">
        <v>45723</v>
      </c>
      <c r="K397">
        <f t="shared" si="6"/>
        <v>21295.8</v>
      </c>
      <c r="L397" t="str">
        <f>INDEX(Raw_Shipments!L397:L2825,MATCH(A397,Raw_Shipments!B397:B2825))</f>
        <v>No</v>
      </c>
    </row>
    <row r="398" spans="1:12" x14ac:dyDescent="0.3">
      <c r="A398" s="2" t="s">
        <v>546</v>
      </c>
      <c r="B398" s="3">
        <v>45720</v>
      </c>
      <c r="C398" s="2" t="s">
        <v>473</v>
      </c>
      <c r="D398" s="2" t="s">
        <v>25</v>
      </c>
      <c r="E398" s="2" t="s">
        <v>50</v>
      </c>
      <c r="F398" s="2" t="s">
        <v>51</v>
      </c>
      <c r="G398" s="2" t="s">
        <v>42</v>
      </c>
      <c r="H398" s="2">
        <v>13</v>
      </c>
      <c r="I398" s="4">
        <v>1952.28</v>
      </c>
      <c r="J398" s="3">
        <v>45724</v>
      </c>
      <c r="K398">
        <f t="shared" si="6"/>
        <v>25379.64</v>
      </c>
      <c r="L398" t="str">
        <f>INDEX(Raw_Shipments!L398:L2826,MATCH(A398,Raw_Shipments!B398:B2826))</f>
        <v>No</v>
      </c>
    </row>
    <row r="399" spans="1:12" x14ac:dyDescent="0.3">
      <c r="A399" s="5" t="s">
        <v>547</v>
      </c>
      <c r="B399" s="6">
        <v>45721</v>
      </c>
      <c r="C399" s="5" t="s">
        <v>109</v>
      </c>
      <c r="D399" s="5" t="s">
        <v>14</v>
      </c>
      <c r="E399" s="5" t="s">
        <v>53</v>
      </c>
      <c r="F399" s="5" t="s">
        <v>54</v>
      </c>
      <c r="G399" s="5" t="s">
        <v>55</v>
      </c>
      <c r="H399" s="5">
        <v>16</v>
      </c>
      <c r="I399" s="7">
        <v>2055.9</v>
      </c>
      <c r="J399" s="6">
        <v>45729</v>
      </c>
      <c r="K399">
        <f t="shared" si="6"/>
        <v>32894.400000000001</v>
      </c>
      <c r="L399" t="str">
        <f>INDEX(Raw_Shipments!L399:L2827,MATCH(A399,Raw_Shipments!B399:B2827))</f>
        <v>No</v>
      </c>
    </row>
    <row r="400" spans="1:12" x14ac:dyDescent="0.3">
      <c r="A400" s="2" t="s">
        <v>548</v>
      </c>
      <c r="B400" s="3">
        <v>45721</v>
      </c>
      <c r="C400" s="2" t="s">
        <v>545</v>
      </c>
      <c r="D400" s="2" t="s">
        <v>45</v>
      </c>
      <c r="E400" s="2" t="s">
        <v>58</v>
      </c>
      <c r="F400" s="2" t="s">
        <v>59</v>
      </c>
      <c r="G400" s="2" t="s">
        <v>55</v>
      </c>
      <c r="H400" s="2">
        <v>10</v>
      </c>
      <c r="I400" s="4">
        <v>1695.1</v>
      </c>
      <c r="J400" s="3">
        <v>45727</v>
      </c>
      <c r="K400">
        <f t="shared" si="6"/>
        <v>16951</v>
      </c>
      <c r="L400" t="str">
        <f>INDEX(Raw_Shipments!L400:L2828,MATCH(A400,Raw_Shipments!B400:B2828))</f>
        <v>No</v>
      </c>
    </row>
    <row r="401" spans="1:12" x14ac:dyDescent="0.3">
      <c r="A401" s="5" t="s">
        <v>549</v>
      </c>
      <c r="B401" s="6">
        <v>45721</v>
      </c>
      <c r="C401" s="5" t="s">
        <v>81</v>
      </c>
      <c r="D401" s="5" t="s">
        <v>14</v>
      </c>
      <c r="E401" s="5" t="s">
        <v>66</v>
      </c>
      <c r="F401" s="5" t="s">
        <v>67</v>
      </c>
      <c r="G401" s="5" t="s">
        <v>17</v>
      </c>
      <c r="H401" s="5">
        <v>8</v>
      </c>
      <c r="I401" s="7">
        <v>850.8</v>
      </c>
      <c r="J401" s="6">
        <v>45731</v>
      </c>
      <c r="K401">
        <f t="shared" si="6"/>
        <v>6806.4</v>
      </c>
      <c r="L401" t="str">
        <f>INDEX(Raw_Shipments!L401:L2829,MATCH(A401,Raw_Shipments!B401:B2829))</f>
        <v>Yes</v>
      </c>
    </row>
    <row r="402" spans="1:12" x14ac:dyDescent="0.3">
      <c r="A402" s="2" t="s">
        <v>550</v>
      </c>
      <c r="B402" s="3">
        <v>45721</v>
      </c>
      <c r="C402" s="2" t="s">
        <v>545</v>
      </c>
      <c r="D402" s="2" t="s">
        <v>14</v>
      </c>
      <c r="E402" s="2" t="s">
        <v>20</v>
      </c>
      <c r="F402" s="2" t="s">
        <v>21</v>
      </c>
      <c r="G402" s="2" t="s">
        <v>22</v>
      </c>
      <c r="H402" s="2">
        <v>18</v>
      </c>
      <c r="I402" s="4">
        <v>2108.56</v>
      </c>
      <c r="J402" s="3">
        <v>45725</v>
      </c>
      <c r="K402">
        <f t="shared" si="6"/>
        <v>37954.080000000002</v>
      </c>
      <c r="L402" t="str">
        <f>INDEX(Raw_Shipments!L402:L2830,MATCH(A402,Raw_Shipments!B402:B2830))</f>
        <v>No</v>
      </c>
    </row>
    <row r="403" spans="1:12" x14ac:dyDescent="0.3">
      <c r="A403" s="5" t="s">
        <v>551</v>
      </c>
      <c r="B403" s="6">
        <v>45721</v>
      </c>
      <c r="C403" s="5" t="s">
        <v>272</v>
      </c>
      <c r="D403" s="5" t="s">
        <v>45</v>
      </c>
      <c r="E403" s="5" t="s">
        <v>26</v>
      </c>
      <c r="F403" s="5" t="s">
        <v>27</v>
      </c>
      <c r="G403" s="5" t="s">
        <v>22</v>
      </c>
      <c r="H403" s="5">
        <v>20</v>
      </c>
      <c r="I403" s="7">
        <v>1646.8</v>
      </c>
      <c r="J403" s="6">
        <v>45725</v>
      </c>
      <c r="K403">
        <f t="shared" si="6"/>
        <v>32936</v>
      </c>
      <c r="L403" t="str">
        <f>INDEX(Raw_Shipments!L403:L2831,MATCH(A403,Raw_Shipments!B403:B2831))</f>
        <v>No</v>
      </c>
    </row>
    <row r="404" spans="1:12" x14ac:dyDescent="0.3">
      <c r="A404" s="2" t="s">
        <v>552</v>
      </c>
      <c r="B404" s="3">
        <v>45721</v>
      </c>
      <c r="C404" s="2" t="s">
        <v>139</v>
      </c>
      <c r="D404" s="2" t="s">
        <v>14</v>
      </c>
      <c r="E404" s="2" t="s">
        <v>31</v>
      </c>
      <c r="F404" s="2" t="s">
        <v>32</v>
      </c>
      <c r="G404" s="2" t="s">
        <v>33</v>
      </c>
      <c r="H404" s="2">
        <v>30</v>
      </c>
      <c r="I404" s="4">
        <v>689</v>
      </c>
      <c r="J404" s="3">
        <v>45730</v>
      </c>
      <c r="K404">
        <f t="shared" si="6"/>
        <v>20670</v>
      </c>
      <c r="L404" t="str">
        <f>INDEX(Raw_Shipments!L404:L2832,MATCH(A404,Raw_Shipments!B404:B2832))</f>
        <v>Yes</v>
      </c>
    </row>
    <row r="405" spans="1:12" x14ac:dyDescent="0.3">
      <c r="A405" s="5" t="s">
        <v>553</v>
      </c>
      <c r="B405" s="6">
        <v>45721</v>
      </c>
      <c r="C405" s="5" t="s">
        <v>85</v>
      </c>
      <c r="D405" s="5" t="s">
        <v>14</v>
      </c>
      <c r="E405" s="5" t="s">
        <v>40</v>
      </c>
      <c r="F405" s="5" t="s">
        <v>41</v>
      </c>
      <c r="G405" s="5" t="s">
        <v>42</v>
      </c>
      <c r="H405" s="5">
        <v>31</v>
      </c>
      <c r="I405" s="7">
        <v>2445.11</v>
      </c>
      <c r="J405" s="6">
        <v>45724</v>
      </c>
      <c r="K405">
        <f t="shared" si="6"/>
        <v>75798.41</v>
      </c>
      <c r="L405" t="str">
        <f>INDEX(Raw_Shipments!L405:L2833,MATCH(A405,Raw_Shipments!B405:B2833))</f>
        <v>No</v>
      </c>
    </row>
    <row r="406" spans="1:12" x14ac:dyDescent="0.3">
      <c r="A406" s="2" t="s">
        <v>554</v>
      </c>
      <c r="B406" s="3">
        <v>45721</v>
      </c>
      <c r="C406" s="2" t="s">
        <v>198</v>
      </c>
      <c r="D406" s="2" t="s">
        <v>30</v>
      </c>
      <c r="E406" s="2" t="s">
        <v>46</v>
      </c>
      <c r="F406" s="2" t="s">
        <v>47</v>
      </c>
      <c r="G406" s="2" t="s">
        <v>42</v>
      </c>
      <c r="H406" s="2">
        <v>6</v>
      </c>
      <c r="I406" s="4">
        <v>1833.14</v>
      </c>
      <c r="J406" s="3">
        <v>45726</v>
      </c>
      <c r="K406">
        <f t="shared" si="6"/>
        <v>10998.84</v>
      </c>
      <c r="L406" t="str">
        <f>INDEX(Raw_Shipments!L406:L2834,MATCH(A406,Raw_Shipments!B406:B2834))</f>
        <v>No</v>
      </c>
    </row>
    <row r="407" spans="1:12" x14ac:dyDescent="0.3">
      <c r="A407" s="5" t="s">
        <v>555</v>
      </c>
      <c r="B407" s="6">
        <v>45722</v>
      </c>
      <c r="C407" s="5" t="s">
        <v>158</v>
      </c>
      <c r="D407" s="5" t="s">
        <v>45</v>
      </c>
      <c r="E407" s="5" t="s">
        <v>53</v>
      </c>
      <c r="F407" s="5" t="s">
        <v>54</v>
      </c>
      <c r="G407" s="5" t="s">
        <v>55</v>
      </c>
      <c r="H407" s="5">
        <v>17</v>
      </c>
      <c r="I407" s="7">
        <v>2055.9</v>
      </c>
      <c r="J407" s="6">
        <v>45726</v>
      </c>
      <c r="K407">
        <f t="shared" si="6"/>
        <v>34950.300000000003</v>
      </c>
      <c r="L407" t="str">
        <f>INDEX(Raw_Shipments!L407:L2835,MATCH(A407,Raw_Shipments!B407:B2835))</f>
        <v>No</v>
      </c>
    </row>
    <row r="408" spans="1:12" x14ac:dyDescent="0.3">
      <c r="A408" s="2" t="s">
        <v>556</v>
      </c>
      <c r="B408" s="3">
        <v>45722</v>
      </c>
      <c r="C408" s="2" t="s">
        <v>35</v>
      </c>
      <c r="D408" s="2" t="s">
        <v>25</v>
      </c>
      <c r="E408" s="2" t="s">
        <v>62</v>
      </c>
      <c r="F408" s="2" t="s">
        <v>63</v>
      </c>
      <c r="G408" s="2" t="s">
        <v>55</v>
      </c>
      <c r="H408" s="2">
        <v>46</v>
      </c>
      <c r="I408" s="4">
        <v>2555.2199999999998</v>
      </c>
      <c r="J408" s="3">
        <v>45727</v>
      </c>
      <c r="K408">
        <f t="shared" si="6"/>
        <v>117540.12</v>
      </c>
      <c r="L408" t="str">
        <f>INDEX(Raw_Shipments!L408:L2836,MATCH(A408,Raw_Shipments!B408:B2836))</f>
        <v>No</v>
      </c>
    </row>
    <row r="409" spans="1:12" x14ac:dyDescent="0.3">
      <c r="A409" s="5" t="s">
        <v>557</v>
      </c>
      <c r="B409" s="6">
        <v>45722</v>
      </c>
      <c r="C409" s="5" t="s">
        <v>139</v>
      </c>
      <c r="D409" s="5" t="s">
        <v>45</v>
      </c>
      <c r="E409" s="5" t="s">
        <v>97</v>
      </c>
      <c r="F409" s="5" t="s">
        <v>98</v>
      </c>
      <c r="G409" s="5" t="s">
        <v>17</v>
      </c>
      <c r="H409" s="5">
        <v>25</v>
      </c>
      <c r="I409" s="7">
        <v>1110.6500000000001</v>
      </c>
      <c r="J409" s="6">
        <v>45729</v>
      </c>
      <c r="K409">
        <f t="shared" si="6"/>
        <v>27766.250000000004</v>
      </c>
      <c r="L409" t="str">
        <f>INDEX(Raw_Shipments!L409:L2837,MATCH(A409,Raw_Shipments!B409:B2837))</f>
        <v>No</v>
      </c>
    </row>
    <row r="410" spans="1:12" x14ac:dyDescent="0.3">
      <c r="A410" s="2" t="s">
        <v>558</v>
      </c>
      <c r="B410" s="3">
        <v>45722</v>
      </c>
      <c r="C410" s="2" t="s">
        <v>238</v>
      </c>
      <c r="D410" s="2" t="s">
        <v>45</v>
      </c>
      <c r="E410" s="2" t="s">
        <v>119</v>
      </c>
      <c r="F410" s="2" t="s">
        <v>120</v>
      </c>
      <c r="G410" s="2" t="s">
        <v>22</v>
      </c>
      <c r="H410" s="2">
        <v>23</v>
      </c>
      <c r="I410" s="4">
        <v>912.26</v>
      </c>
      <c r="J410" s="3">
        <v>45731</v>
      </c>
      <c r="K410">
        <f t="shared" si="6"/>
        <v>20981.98</v>
      </c>
      <c r="L410" t="str">
        <f>INDEX(Raw_Shipments!L410:L2838,MATCH(A410,Raw_Shipments!B410:B2838))</f>
        <v>No</v>
      </c>
    </row>
    <row r="411" spans="1:12" x14ac:dyDescent="0.3">
      <c r="A411" s="5" t="s">
        <v>559</v>
      </c>
      <c r="B411" s="6">
        <v>45722</v>
      </c>
      <c r="C411" s="5" t="s">
        <v>100</v>
      </c>
      <c r="D411" s="5" t="s">
        <v>14</v>
      </c>
      <c r="E411" s="5" t="s">
        <v>36</v>
      </c>
      <c r="F411" s="5" t="s">
        <v>37</v>
      </c>
      <c r="G411" s="5" t="s">
        <v>33</v>
      </c>
      <c r="H411" s="5">
        <v>37</v>
      </c>
      <c r="I411" s="7">
        <v>1064.79</v>
      </c>
      <c r="J411" s="6">
        <v>45731</v>
      </c>
      <c r="K411">
        <f t="shared" si="6"/>
        <v>39397.229999999996</v>
      </c>
      <c r="L411" t="str">
        <f>INDEX(Raw_Shipments!L411:L2839,MATCH(A411,Raw_Shipments!B411:B2839))</f>
        <v>Yes</v>
      </c>
    </row>
    <row r="412" spans="1:12" x14ac:dyDescent="0.3">
      <c r="A412" s="2" t="s">
        <v>560</v>
      </c>
      <c r="B412" s="3">
        <v>45723</v>
      </c>
      <c r="C412" s="2" t="s">
        <v>234</v>
      </c>
      <c r="D412" s="2" t="s">
        <v>14</v>
      </c>
      <c r="E412" s="2" t="s">
        <v>62</v>
      </c>
      <c r="F412" s="2" t="s">
        <v>63</v>
      </c>
      <c r="G412" s="2" t="s">
        <v>55</v>
      </c>
      <c r="H412" s="2">
        <v>45</v>
      </c>
      <c r="I412" s="4">
        <v>2555.2199999999998</v>
      </c>
      <c r="J412" s="3">
        <v>45731</v>
      </c>
      <c r="K412">
        <f t="shared" si="6"/>
        <v>114984.9</v>
      </c>
      <c r="L412" t="str">
        <f>INDEX(Raw_Shipments!L412:L2840,MATCH(A412,Raw_Shipments!B412:B2840))</f>
        <v>No</v>
      </c>
    </row>
    <row r="413" spans="1:12" x14ac:dyDescent="0.3">
      <c r="A413" s="5" t="s">
        <v>561</v>
      </c>
      <c r="B413" s="6">
        <v>45723</v>
      </c>
      <c r="C413" s="5" t="s">
        <v>170</v>
      </c>
      <c r="D413" s="5" t="s">
        <v>25</v>
      </c>
      <c r="E413" s="5" t="s">
        <v>20</v>
      </c>
      <c r="F413" s="5" t="s">
        <v>21</v>
      </c>
      <c r="G413" s="5" t="s">
        <v>22</v>
      </c>
      <c r="H413" s="5">
        <v>9</v>
      </c>
      <c r="I413" s="7">
        <v>2108.56</v>
      </c>
      <c r="J413" s="6">
        <v>45727</v>
      </c>
      <c r="K413">
        <f t="shared" si="6"/>
        <v>18977.04</v>
      </c>
      <c r="L413" t="str">
        <f>INDEX(Raw_Shipments!L413:L2841,MATCH(A413,Raw_Shipments!B413:B2841))</f>
        <v>No</v>
      </c>
    </row>
    <row r="414" spans="1:12" x14ac:dyDescent="0.3">
      <c r="A414" s="2" t="s">
        <v>562</v>
      </c>
      <c r="B414" s="3">
        <v>45723</v>
      </c>
      <c r="C414" s="2" t="s">
        <v>331</v>
      </c>
      <c r="D414" s="2" t="s">
        <v>25</v>
      </c>
      <c r="E414" s="2" t="s">
        <v>119</v>
      </c>
      <c r="F414" s="2" t="s">
        <v>120</v>
      </c>
      <c r="G414" s="2" t="s">
        <v>22</v>
      </c>
      <c r="H414" s="2">
        <v>70</v>
      </c>
      <c r="I414" s="4">
        <v>912.26</v>
      </c>
      <c r="J414" s="3">
        <v>45732</v>
      </c>
      <c r="K414">
        <f t="shared" si="6"/>
        <v>63858.2</v>
      </c>
      <c r="L414" t="str">
        <f>INDEX(Raw_Shipments!L414:L2842,MATCH(A414,Raw_Shipments!B414:B2842))</f>
        <v>No</v>
      </c>
    </row>
    <row r="415" spans="1:12" x14ac:dyDescent="0.3">
      <c r="A415" s="5" t="s">
        <v>563</v>
      </c>
      <c r="B415" s="6">
        <v>45723</v>
      </c>
      <c r="C415" s="5" t="s">
        <v>510</v>
      </c>
      <c r="D415" s="5" t="s">
        <v>14</v>
      </c>
      <c r="E415" s="5" t="s">
        <v>36</v>
      </c>
      <c r="F415" s="5" t="s">
        <v>37</v>
      </c>
      <c r="G415" s="5" t="s">
        <v>33</v>
      </c>
      <c r="H415" s="5">
        <v>23</v>
      </c>
      <c r="I415" s="7">
        <v>1064.79</v>
      </c>
      <c r="J415" s="6">
        <v>45732</v>
      </c>
      <c r="K415">
        <f t="shared" si="6"/>
        <v>24490.17</v>
      </c>
      <c r="L415" t="str">
        <f>INDEX(Raw_Shipments!L415:L2843,MATCH(A415,Raw_Shipments!B415:B2843))</f>
        <v>No</v>
      </c>
    </row>
    <row r="416" spans="1:12" x14ac:dyDescent="0.3">
      <c r="A416" s="2" t="s">
        <v>564</v>
      </c>
      <c r="B416" s="3">
        <v>45723</v>
      </c>
      <c r="C416" s="2" t="s">
        <v>438</v>
      </c>
      <c r="D416" s="2" t="s">
        <v>25</v>
      </c>
      <c r="E416" s="2" t="s">
        <v>86</v>
      </c>
      <c r="F416" s="2" t="s">
        <v>87</v>
      </c>
      <c r="G416" s="2" t="s">
        <v>33</v>
      </c>
      <c r="H416" s="2">
        <v>22</v>
      </c>
      <c r="I416" s="4">
        <v>815.88</v>
      </c>
      <c r="J416" s="3">
        <v>45729</v>
      </c>
      <c r="K416">
        <f t="shared" si="6"/>
        <v>17949.36</v>
      </c>
      <c r="L416" t="str">
        <f>INDEX(Raw_Shipments!L416:L2844,MATCH(A416,Raw_Shipments!B416:B2844))</f>
        <v>Yes</v>
      </c>
    </row>
    <row r="417" spans="1:12" x14ac:dyDescent="0.3">
      <c r="A417" s="5" t="s">
        <v>565</v>
      </c>
      <c r="B417" s="6">
        <v>45723</v>
      </c>
      <c r="C417" s="5" t="s">
        <v>318</v>
      </c>
      <c r="D417" s="5" t="s">
        <v>30</v>
      </c>
      <c r="E417" s="5" t="s">
        <v>40</v>
      </c>
      <c r="F417" s="5" t="s">
        <v>41</v>
      </c>
      <c r="G417" s="5" t="s">
        <v>42</v>
      </c>
      <c r="H417" s="5">
        <v>36</v>
      </c>
      <c r="I417" s="7">
        <v>2445.11</v>
      </c>
      <c r="J417" s="6">
        <v>45727</v>
      </c>
      <c r="K417">
        <f t="shared" si="6"/>
        <v>88023.96</v>
      </c>
      <c r="L417" t="str">
        <f>INDEX(Raw_Shipments!L417:L2845,MATCH(A417,Raw_Shipments!B417:B2845))</f>
        <v>No</v>
      </c>
    </row>
    <row r="418" spans="1:12" x14ac:dyDescent="0.3">
      <c r="A418" s="2" t="s">
        <v>566</v>
      </c>
      <c r="B418" s="3">
        <v>45724</v>
      </c>
      <c r="C418" s="2" t="s">
        <v>85</v>
      </c>
      <c r="D418" s="2" t="s">
        <v>45</v>
      </c>
      <c r="E418" s="2" t="s">
        <v>53</v>
      </c>
      <c r="F418" s="2" t="s">
        <v>54</v>
      </c>
      <c r="G418" s="2" t="s">
        <v>55</v>
      </c>
      <c r="H418" s="2">
        <v>44</v>
      </c>
      <c r="I418" s="4">
        <v>2055.9</v>
      </c>
      <c r="J418" s="3">
        <v>45734</v>
      </c>
      <c r="K418">
        <f t="shared" si="6"/>
        <v>90459.6</v>
      </c>
      <c r="L418" t="str">
        <f>INDEX(Raw_Shipments!L418:L2846,MATCH(A418,Raw_Shipments!B418:B2846))</f>
        <v>Yes</v>
      </c>
    </row>
    <row r="419" spans="1:12" x14ac:dyDescent="0.3">
      <c r="A419" s="5" t="s">
        <v>567</v>
      </c>
      <c r="B419" s="6">
        <v>45724</v>
      </c>
      <c r="C419" s="5" t="s">
        <v>13</v>
      </c>
      <c r="D419" s="5" t="s">
        <v>45</v>
      </c>
      <c r="E419" s="5" t="s">
        <v>58</v>
      </c>
      <c r="F419" s="5" t="s">
        <v>59</v>
      </c>
      <c r="G419" s="5" t="s">
        <v>55</v>
      </c>
      <c r="H419" s="5">
        <v>20</v>
      </c>
      <c r="I419" s="7">
        <v>1695.1</v>
      </c>
      <c r="J419" s="6">
        <v>45729</v>
      </c>
      <c r="K419">
        <f t="shared" si="6"/>
        <v>33902</v>
      </c>
      <c r="L419" t="str">
        <f>INDEX(Raw_Shipments!L419:L2847,MATCH(A419,Raw_Shipments!B419:B2847))</f>
        <v>No</v>
      </c>
    </row>
    <row r="420" spans="1:12" x14ac:dyDescent="0.3">
      <c r="A420" s="2" t="s">
        <v>568</v>
      </c>
      <c r="B420" s="3">
        <v>45724</v>
      </c>
      <c r="C420" s="2" t="s">
        <v>240</v>
      </c>
      <c r="D420" s="2" t="s">
        <v>25</v>
      </c>
      <c r="E420" s="2" t="s">
        <v>97</v>
      </c>
      <c r="F420" s="2" t="s">
        <v>98</v>
      </c>
      <c r="G420" s="2" t="s">
        <v>17</v>
      </c>
      <c r="H420" s="2">
        <v>38</v>
      </c>
      <c r="I420" s="4">
        <v>1110.6500000000001</v>
      </c>
      <c r="J420" s="3">
        <v>45731</v>
      </c>
      <c r="K420">
        <f t="shared" si="6"/>
        <v>42204.700000000004</v>
      </c>
      <c r="L420" t="str">
        <f>INDEX(Raw_Shipments!L420:L2848,MATCH(A420,Raw_Shipments!B420:B2848))</f>
        <v>No</v>
      </c>
    </row>
    <row r="421" spans="1:12" x14ac:dyDescent="0.3">
      <c r="A421" s="5" t="s">
        <v>569</v>
      </c>
      <c r="B421" s="6">
        <v>45724</v>
      </c>
      <c r="C421" s="5" t="s">
        <v>272</v>
      </c>
      <c r="D421" s="5" t="s">
        <v>45</v>
      </c>
      <c r="E421" s="5" t="s">
        <v>15</v>
      </c>
      <c r="F421" s="5" t="s">
        <v>16</v>
      </c>
      <c r="G421" s="5" t="s">
        <v>17</v>
      </c>
      <c r="H421" s="5">
        <v>12</v>
      </c>
      <c r="I421" s="7">
        <v>183.06</v>
      </c>
      <c r="J421" s="6">
        <v>45731</v>
      </c>
      <c r="K421">
        <f t="shared" si="6"/>
        <v>2196.7200000000003</v>
      </c>
      <c r="L421" t="str">
        <f>INDEX(Raw_Shipments!L421:L2849,MATCH(A421,Raw_Shipments!B421:B2849))</f>
        <v>No</v>
      </c>
    </row>
    <row r="422" spans="1:12" x14ac:dyDescent="0.3">
      <c r="A422" s="2" t="s">
        <v>570</v>
      </c>
      <c r="B422" s="3">
        <v>45724</v>
      </c>
      <c r="C422" s="2" t="s">
        <v>77</v>
      </c>
      <c r="D422" s="2" t="s">
        <v>45</v>
      </c>
      <c r="E422" s="2" t="s">
        <v>119</v>
      </c>
      <c r="F422" s="2" t="s">
        <v>120</v>
      </c>
      <c r="G422" s="2" t="s">
        <v>22</v>
      </c>
      <c r="H422" s="2">
        <v>44</v>
      </c>
      <c r="I422" s="4">
        <v>912.26</v>
      </c>
      <c r="J422" s="3">
        <v>45728</v>
      </c>
      <c r="K422">
        <f t="shared" si="6"/>
        <v>40139.440000000002</v>
      </c>
      <c r="L422" t="str">
        <f>INDEX(Raw_Shipments!L422:L2850,MATCH(A422,Raw_Shipments!B422:B2850))</f>
        <v>No</v>
      </c>
    </row>
    <row r="423" spans="1:12" x14ac:dyDescent="0.3">
      <c r="A423" s="5" t="s">
        <v>571</v>
      </c>
      <c r="B423" s="6">
        <v>45724</v>
      </c>
      <c r="C423" s="5" t="s">
        <v>83</v>
      </c>
      <c r="D423" s="5" t="s">
        <v>14</v>
      </c>
      <c r="E423" s="5" t="s">
        <v>36</v>
      </c>
      <c r="F423" s="5" t="s">
        <v>37</v>
      </c>
      <c r="G423" s="5" t="s">
        <v>33</v>
      </c>
      <c r="H423" s="5">
        <v>28</v>
      </c>
      <c r="I423" s="7">
        <v>1064.79</v>
      </c>
      <c r="J423" s="6">
        <v>45729</v>
      </c>
      <c r="K423">
        <f t="shared" si="6"/>
        <v>29814.12</v>
      </c>
      <c r="L423" t="str">
        <f>INDEX(Raw_Shipments!L423:L2851,MATCH(A423,Raw_Shipments!B423:B2851))</f>
        <v>No</v>
      </c>
    </row>
    <row r="424" spans="1:12" x14ac:dyDescent="0.3">
      <c r="A424" s="2" t="s">
        <v>572</v>
      </c>
      <c r="B424" s="3">
        <v>45724</v>
      </c>
      <c r="C424" s="2" t="s">
        <v>113</v>
      </c>
      <c r="D424" s="2" t="s">
        <v>45</v>
      </c>
      <c r="E424" s="2" t="s">
        <v>86</v>
      </c>
      <c r="F424" s="2" t="s">
        <v>87</v>
      </c>
      <c r="G424" s="2" t="s">
        <v>33</v>
      </c>
      <c r="H424" s="2">
        <v>35</v>
      </c>
      <c r="I424" s="4">
        <v>815.88</v>
      </c>
      <c r="J424" s="3">
        <v>45728</v>
      </c>
      <c r="K424">
        <f t="shared" si="6"/>
        <v>28555.8</v>
      </c>
      <c r="L424" t="str">
        <f>INDEX(Raw_Shipments!L424:L2852,MATCH(A424,Raw_Shipments!B424:B2852))</f>
        <v>No</v>
      </c>
    </row>
    <row r="425" spans="1:12" x14ac:dyDescent="0.3">
      <c r="A425" s="5" t="s">
        <v>573</v>
      </c>
      <c r="B425" s="6">
        <v>45724</v>
      </c>
      <c r="C425" s="5" t="s">
        <v>35</v>
      </c>
      <c r="D425" s="5" t="s">
        <v>45</v>
      </c>
      <c r="E425" s="5" t="s">
        <v>40</v>
      </c>
      <c r="F425" s="5" t="s">
        <v>41</v>
      </c>
      <c r="G425" s="5" t="s">
        <v>42</v>
      </c>
      <c r="H425" s="5">
        <v>33</v>
      </c>
      <c r="I425" s="7">
        <v>2445.11</v>
      </c>
      <c r="J425" s="6">
        <v>45727</v>
      </c>
      <c r="K425">
        <f t="shared" si="6"/>
        <v>80688.63</v>
      </c>
      <c r="L425" t="str">
        <f>INDEX(Raw_Shipments!L425:L2853,MATCH(A425,Raw_Shipments!B425:B2853))</f>
        <v>No</v>
      </c>
    </row>
    <row r="426" spans="1:12" x14ac:dyDescent="0.3">
      <c r="A426" s="2" t="s">
        <v>574</v>
      </c>
      <c r="B426" s="3">
        <v>45724</v>
      </c>
      <c r="C426" s="2" t="s">
        <v>217</v>
      </c>
      <c r="D426" s="2" t="s">
        <v>30</v>
      </c>
      <c r="E426" s="2" t="s">
        <v>50</v>
      </c>
      <c r="F426" s="2" t="s">
        <v>51</v>
      </c>
      <c r="G426" s="2" t="s">
        <v>42</v>
      </c>
      <c r="H426" s="2">
        <v>13</v>
      </c>
      <c r="I426" s="4">
        <v>1952.28</v>
      </c>
      <c r="J426" s="3">
        <v>45727</v>
      </c>
      <c r="K426">
        <f t="shared" si="6"/>
        <v>25379.64</v>
      </c>
      <c r="L426" t="str">
        <f>INDEX(Raw_Shipments!L426:L2854,MATCH(A426,Raw_Shipments!B426:B2854))</f>
        <v>No</v>
      </c>
    </row>
    <row r="427" spans="1:12" x14ac:dyDescent="0.3">
      <c r="A427" s="5" t="s">
        <v>575</v>
      </c>
      <c r="B427" s="6">
        <v>45725</v>
      </c>
      <c r="C427" s="5" t="s">
        <v>260</v>
      </c>
      <c r="D427" s="5" t="s">
        <v>25</v>
      </c>
      <c r="E427" s="5" t="s">
        <v>53</v>
      </c>
      <c r="F427" s="5" t="s">
        <v>54</v>
      </c>
      <c r="G427" s="5" t="s">
        <v>55</v>
      </c>
      <c r="H427" s="5">
        <v>55</v>
      </c>
      <c r="I427" s="7">
        <v>2055.9</v>
      </c>
      <c r="J427" s="6">
        <v>45731</v>
      </c>
      <c r="K427">
        <f t="shared" si="6"/>
        <v>113074.5</v>
      </c>
      <c r="L427" t="str">
        <f>INDEX(Raw_Shipments!L427:L2855,MATCH(A427,Raw_Shipments!B427:B2855))</f>
        <v>No</v>
      </c>
    </row>
    <row r="428" spans="1:12" x14ac:dyDescent="0.3">
      <c r="A428" s="2" t="s">
        <v>576</v>
      </c>
      <c r="B428" s="3">
        <v>45725</v>
      </c>
      <c r="C428" s="2" t="s">
        <v>107</v>
      </c>
      <c r="D428" s="2" t="s">
        <v>14</v>
      </c>
      <c r="E428" s="2" t="s">
        <v>58</v>
      </c>
      <c r="F428" s="2" t="s">
        <v>59</v>
      </c>
      <c r="G428" s="2" t="s">
        <v>55</v>
      </c>
      <c r="H428" s="2">
        <v>22</v>
      </c>
      <c r="I428" s="4">
        <v>1695.1</v>
      </c>
      <c r="J428" s="3">
        <v>45728</v>
      </c>
      <c r="K428">
        <f t="shared" si="6"/>
        <v>37292.199999999997</v>
      </c>
      <c r="L428" t="str">
        <f>INDEX(Raw_Shipments!L428:L2856,MATCH(A428,Raw_Shipments!B428:B2856))</f>
        <v>No</v>
      </c>
    </row>
    <row r="429" spans="1:12" x14ac:dyDescent="0.3">
      <c r="A429" s="5" t="s">
        <v>577</v>
      </c>
      <c r="B429" s="6">
        <v>45725</v>
      </c>
      <c r="C429" s="5" t="s">
        <v>69</v>
      </c>
      <c r="D429" s="5" t="s">
        <v>25</v>
      </c>
      <c r="E429" s="5" t="s">
        <v>15</v>
      </c>
      <c r="F429" s="5" t="s">
        <v>16</v>
      </c>
      <c r="G429" s="5" t="s">
        <v>17</v>
      </c>
      <c r="H429" s="5">
        <v>16</v>
      </c>
      <c r="I429" s="7">
        <v>183.06</v>
      </c>
      <c r="J429" s="6">
        <v>45735</v>
      </c>
      <c r="K429">
        <f t="shared" si="6"/>
        <v>2928.96</v>
      </c>
      <c r="L429" t="str">
        <f>INDEX(Raw_Shipments!L429:L2857,MATCH(A429,Raw_Shipments!B429:B2857))</f>
        <v>No</v>
      </c>
    </row>
    <row r="430" spans="1:12" x14ac:dyDescent="0.3">
      <c r="A430" s="2" t="s">
        <v>578</v>
      </c>
      <c r="B430" s="3">
        <v>45725</v>
      </c>
      <c r="C430" s="2" t="s">
        <v>238</v>
      </c>
      <c r="D430" s="2" t="s">
        <v>25</v>
      </c>
      <c r="E430" s="2" t="s">
        <v>20</v>
      </c>
      <c r="F430" s="2" t="s">
        <v>21</v>
      </c>
      <c r="G430" s="2" t="s">
        <v>22</v>
      </c>
      <c r="H430" s="2">
        <v>13</v>
      </c>
      <c r="I430" s="4">
        <v>2108.56</v>
      </c>
      <c r="J430" s="3">
        <v>45731</v>
      </c>
      <c r="K430">
        <f t="shared" si="6"/>
        <v>27411.279999999999</v>
      </c>
      <c r="L430" t="str">
        <f>INDEX(Raw_Shipments!L430:L2858,MATCH(A430,Raw_Shipments!B430:B2858))</f>
        <v>No</v>
      </c>
    </row>
    <row r="431" spans="1:12" x14ac:dyDescent="0.3">
      <c r="A431" s="5" t="s">
        <v>579</v>
      </c>
      <c r="B431" s="6">
        <v>45725</v>
      </c>
      <c r="C431" s="5" t="s">
        <v>282</v>
      </c>
      <c r="D431" s="5" t="s">
        <v>30</v>
      </c>
      <c r="E431" s="5" t="s">
        <v>26</v>
      </c>
      <c r="F431" s="5" t="s">
        <v>27</v>
      </c>
      <c r="G431" s="5" t="s">
        <v>22</v>
      </c>
      <c r="H431" s="5">
        <v>19</v>
      </c>
      <c r="I431" s="7">
        <v>1646.8</v>
      </c>
      <c r="J431" s="6">
        <v>45733</v>
      </c>
      <c r="K431">
        <f t="shared" si="6"/>
        <v>31289.200000000001</v>
      </c>
      <c r="L431" t="str">
        <f>INDEX(Raw_Shipments!L431:L2859,MATCH(A431,Raw_Shipments!B431:B2859))</f>
        <v>No</v>
      </c>
    </row>
    <row r="432" spans="1:12" x14ac:dyDescent="0.3">
      <c r="A432" s="2" t="s">
        <v>580</v>
      </c>
      <c r="B432" s="3">
        <v>45725</v>
      </c>
      <c r="C432" s="2" t="s">
        <v>144</v>
      </c>
      <c r="D432" s="2" t="s">
        <v>45</v>
      </c>
      <c r="E432" s="2" t="s">
        <v>50</v>
      </c>
      <c r="F432" s="2" t="s">
        <v>51</v>
      </c>
      <c r="G432" s="2" t="s">
        <v>42</v>
      </c>
      <c r="H432" s="2">
        <v>9</v>
      </c>
      <c r="I432" s="4">
        <v>1952.28</v>
      </c>
      <c r="J432" s="3">
        <v>45733</v>
      </c>
      <c r="K432">
        <f t="shared" si="6"/>
        <v>17570.52</v>
      </c>
      <c r="L432" t="str">
        <f>INDEX(Raw_Shipments!L432:L2860,MATCH(A432,Raw_Shipments!B432:B2860))</f>
        <v>No</v>
      </c>
    </row>
    <row r="433" spans="1:12" x14ac:dyDescent="0.3">
      <c r="A433" s="5" t="s">
        <v>581</v>
      </c>
      <c r="B433" s="6">
        <v>45726</v>
      </c>
      <c r="C433" s="5" t="s">
        <v>442</v>
      </c>
      <c r="D433" s="5" t="s">
        <v>25</v>
      </c>
      <c r="E433" s="5" t="s">
        <v>58</v>
      </c>
      <c r="F433" s="5" t="s">
        <v>59</v>
      </c>
      <c r="G433" s="5" t="s">
        <v>55</v>
      </c>
      <c r="H433" s="5">
        <v>16</v>
      </c>
      <c r="I433" s="7">
        <v>1695.1</v>
      </c>
      <c r="J433" s="6">
        <v>45735</v>
      </c>
      <c r="K433">
        <f t="shared" si="6"/>
        <v>27121.599999999999</v>
      </c>
      <c r="L433" t="str">
        <f>INDEX(Raw_Shipments!L433:L2861,MATCH(A433,Raw_Shipments!B433:B2861))</f>
        <v>No</v>
      </c>
    </row>
    <row r="434" spans="1:12" x14ac:dyDescent="0.3">
      <c r="A434" s="2" t="s">
        <v>582</v>
      </c>
      <c r="B434" s="3">
        <v>45726</v>
      </c>
      <c r="C434" s="2" t="s">
        <v>71</v>
      </c>
      <c r="D434" s="2" t="s">
        <v>14</v>
      </c>
      <c r="E434" s="2" t="s">
        <v>62</v>
      </c>
      <c r="F434" s="2" t="s">
        <v>63</v>
      </c>
      <c r="G434" s="2" t="s">
        <v>55</v>
      </c>
      <c r="H434" s="2">
        <v>26</v>
      </c>
      <c r="I434" s="4">
        <v>2555.2199999999998</v>
      </c>
      <c r="J434" s="3">
        <v>45736</v>
      </c>
      <c r="K434">
        <f t="shared" si="6"/>
        <v>66435.72</v>
      </c>
      <c r="L434" t="str">
        <f>INDEX(Raw_Shipments!L434:L2862,MATCH(A434,Raw_Shipments!B434:B2862))</f>
        <v>Yes</v>
      </c>
    </row>
    <row r="435" spans="1:12" x14ac:dyDescent="0.3">
      <c r="A435" s="5" t="s">
        <v>583</v>
      </c>
      <c r="B435" s="6">
        <v>45726</v>
      </c>
      <c r="C435" s="5" t="s">
        <v>400</v>
      </c>
      <c r="D435" s="5" t="s">
        <v>30</v>
      </c>
      <c r="E435" s="5" t="s">
        <v>97</v>
      </c>
      <c r="F435" s="5" t="s">
        <v>98</v>
      </c>
      <c r="G435" s="5" t="s">
        <v>17</v>
      </c>
      <c r="H435" s="5">
        <v>26</v>
      </c>
      <c r="I435" s="7">
        <v>1110.6500000000001</v>
      </c>
      <c r="J435" s="6">
        <v>45732</v>
      </c>
      <c r="K435">
        <f t="shared" si="6"/>
        <v>28876.9</v>
      </c>
      <c r="L435" t="str">
        <f>INDEX(Raw_Shipments!L435:L2863,MATCH(A435,Raw_Shipments!B435:B2863))</f>
        <v>No</v>
      </c>
    </row>
    <row r="436" spans="1:12" x14ac:dyDescent="0.3">
      <c r="A436" s="2" t="s">
        <v>584</v>
      </c>
      <c r="B436" s="3">
        <v>45726</v>
      </c>
      <c r="C436" s="2" t="s">
        <v>331</v>
      </c>
      <c r="D436" s="2" t="s">
        <v>14</v>
      </c>
      <c r="E436" s="2" t="s">
        <v>20</v>
      </c>
      <c r="F436" s="2" t="s">
        <v>21</v>
      </c>
      <c r="G436" s="2" t="s">
        <v>22</v>
      </c>
      <c r="H436" s="2">
        <v>15</v>
      </c>
      <c r="I436" s="4">
        <v>2108.56</v>
      </c>
      <c r="J436" s="3">
        <v>45730</v>
      </c>
      <c r="K436">
        <f t="shared" si="6"/>
        <v>31628.399999999998</v>
      </c>
      <c r="L436" t="str">
        <f>INDEX(Raw_Shipments!L436:L2864,MATCH(A436,Raw_Shipments!B436:B2864))</f>
        <v>No</v>
      </c>
    </row>
    <row r="437" spans="1:12" x14ac:dyDescent="0.3">
      <c r="A437" s="5" t="s">
        <v>585</v>
      </c>
      <c r="B437" s="6">
        <v>45726</v>
      </c>
      <c r="C437" s="5" t="s">
        <v>102</v>
      </c>
      <c r="D437" s="5" t="s">
        <v>14</v>
      </c>
      <c r="E437" s="5" t="s">
        <v>26</v>
      </c>
      <c r="F437" s="5" t="s">
        <v>27</v>
      </c>
      <c r="G437" s="5" t="s">
        <v>22</v>
      </c>
      <c r="H437" s="5">
        <v>19</v>
      </c>
      <c r="I437" s="7">
        <v>1646.8</v>
      </c>
      <c r="J437" s="6">
        <v>45729</v>
      </c>
      <c r="K437">
        <f t="shared" si="6"/>
        <v>31289.200000000001</v>
      </c>
      <c r="L437" t="str">
        <f>INDEX(Raw_Shipments!L437:L2865,MATCH(A437,Raw_Shipments!B437:B2865))</f>
        <v>No</v>
      </c>
    </row>
    <row r="438" spans="1:12" x14ac:dyDescent="0.3">
      <c r="A438" s="2" t="s">
        <v>586</v>
      </c>
      <c r="B438" s="3">
        <v>45726</v>
      </c>
      <c r="C438" s="2" t="s">
        <v>431</v>
      </c>
      <c r="D438" s="2" t="s">
        <v>25</v>
      </c>
      <c r="E438" s="2" t="s">
        <v>31</v>
      </c>
      <c r="F438" s="2" t="s">
        <v>32</v>
      </c>
      <c r="G438" s="2" t="s">
        <v>33</v>
      </c>
      <c r="H438" s="2">
        <v>37</v>
      </c>
      <c r="I438" s="4">
        <v>689</v>
      </c>
      <c r="J438" s="3">
        <v>45735</v>
      </c>
      <c r="K438">
        <f t="shared" si="6"/>
        <v>25493</v>
      </c>
      <c r="L438" t="str">
        <f>INDEX(Raw_Shipments!L438:L2866,MATCH(A438,Raw_Shipments!B438:B2866))</f>
        <v>No</v>
      </c>
    </row>
    <row r="439" spans="1:12" x14ac:dyDescent="0.3">
      <c r="A439" s="5" t="s">
        <v>587</v>
      </c>
      <c r="B439" s="6">
        <v>45726</v>
      </c>
      <c r="C439" s="5" t="s">
        <v>113</v>
      </c>
      <c r="D439" s="5" t="s">
        <v>45</v>
      </c>
      <c r="E439" s="5" t="s">
        <v>36</v>
      </c>
      <c r="F439" s="5" t="s">
        <v>37</v>
      </c>
      <c r="G439" s="5" t="s">
        <v>33</v>
      </c>
      <c r="H439" s="5">
        <v>50</v>
      </c>
      <c r="I439" s="7">
        <v>1064.79</v>
      </c>
      <c r="J439" s="6">
        <v>45733</v>
      </c>
      <c r="K439">
        <f t="shared" si="6"/>
        <v>53239.5</v>
      </c>
      <c r="L439" t="str">
        <f>INDEX(Raw_Shipments!L439:L2867,MATCH(A439,Raw_Shipments!B439:B2867))</f>
        <v>No</v>
      </c>
    </row>
    <row r="440" spans="1:12" x14ac:dyDescent="0.3">
      <c r="A440" s="2" t="s">
        <v>588</v>
      </c>
      <c r="B440" s="3">
        <v>45726</v>
      </c>
      <c r="C440" s="2" t="s">
        <v>240</v>
      </c>
      <c r="D440" s="2" t="s">
        <v>30</v>
      </c>
      <c r="E440" s="2" t="s">
        <v>40</v>
      </c>
      <c r="F440" s="2" t="s">
        <v>41</v>
      </c>
      <c r="G440" s="2" t="s">
        <v>42</v>
      </c>
      <c r="H440" s="2">
        <v>26</v>
      </c>
      <c r="I440" s="4">
        <v>2445.11</v>
      </c>
      <c r="J440" s="3">
        <v>45730</v>
      </c>
      <c r="K440">
        <f t="shared" si="6"/>
        <v>63572.86</v>
      </c>
      <c r="L440" t="str">
        <f>INDEX(Raw_Shipments!L440:L2868,MATCH(A440,Raw_Shipments!B440:B2868))</f>
        <v>No</v>
      </c>
    </row>
    <row r="441" spans="1:12" x14ac:dyDescent="0.3">
      <c r="A441" s="5" t="s">
        <v>589</v>
      </c>
      <c r="B441" s="6">
        <v>45726</v>
      </c>
      <c r="C441" s="5" t="s">
        <v>343</v>
      </c>
      <c r="D441" s="5" t="s">
        <v>14</v>
      </c>
      <c r="E441" s="5" t="s">
        <v>50</v>
      </c>
      <c r="F441" s="5" t="s">
        <v>51</v>
      </c>
      <c r="G441" s="5" t="s">
        <v>42</v>
      </c>
      <c r="H441" s="5">
        <v>7</v>
      </c>
      <c r="I441" s="7">
        <v>1952.28</v>
      </c>
      <c r="J441" s="6">
        <v>45734</v>
      </c>
      <c r="K441">
        <f t="shared" si="6"/>
        <v>13665.96</v>
      </c>
      <c r="L441" t="str">
        <f>INDEX(Raw_Shipments!L441:L2869,MATCH(A441,Raw_Shipments!B441:B2869))</f>
        <v>No</v>
      </c>
    </row>
    <row r="442" spans="1:12" x14ac:dyDescent="0.3">
      <c r="A442" s="2" t="s">
        <v>590</v>
      </c>
      <c r="B442" s="3">
        <v>45727</v>
      </c>
      <c r="C442" s="2" t="s">
        <v>456</v>
      </c>
      <c r="D442" s="2" t="s">
        <v>25</v>
      </c>
      <c r="E442" s="2" t="s">
        <v>66</v>
      </c>
      <c r="F442" s="2" t="s">
        <v>67</v>
      </c>
      <c r="G442" s="2" t="s">
        <v>17</v>
      </c>
      <c r="H442" s="2">
        <v>15</v>
      </c>
      <c r="I442" s="4">
        <v>850.8</v>
      </c>
      <c r="J442" s="3">
        <v>45730</v>
      </c>
      <c r="K442">
        <f t="shared" si="6"/>
        <v>12762</v>
      </c>
      <c r="L442" t="str">
        <f>INDEX(Raw_Shipments!L442:L2870,MATCH(A442,Raw_Shipments!B442:B2870))</f>
        <v>No</v>
      </c>
    </row>
    <row r="443" spans="1:12" x14ac:dyDescent="0.3">
      <c r="A443" s="5" t="s">
        <v>591</v>
      </c>
      <c r="B443" s="6">
        <v>45727</v>
      </c>
      <c r="C443" s="5" t="s">
        <v>183</v>
      </c>
      <c r="D443" s="5" t="s">
        <v>30</v>
      </c>
      <c r="E443" s="5" t="s">
        <v>97</v>
      </c>
      <c r="F443" s="5" t="s">
        <v>98</v>
      </c>
      <c r="G443" s="5" t="s">
        <v>17</v>
      </c>
      <c r="H443" s="5">
        <v>19</v>
      </c>
      <c r="I443" s="7">
        <v>1110.6500000000001</v>
      </c>
      <c r="J443" s="6">
        <v>45733</v>
      </c>
      <c r="K443">
        <f t="shared" si="6"/>
        <v>21102.350000000002</v>
      </c>
      <c r="L443" t="str">
        <f>INDEX(Raw_Shipments!L443:L2871,MATCH(A443,Raw_Shipments!B443:B2871))</f>
        <v>No</v>
      </c>
    </row>
    <row r="444" spans="1:12" x14ac:dyDescent="0.3">
      <c r="A444" s="2" t="s">
        <v>592</v>
      </c>
      <c r="B444" s="3">
        <v>45727</v>
      </c>
      <c r="C444" s="2" t="s">
        <v>175</v>
      </c>
      <c r="D444" s="2" t="s">
        <v>14</v>
      </c>
      <c r="E444" s="2" t="s">
        <v>119</v>
      </c>
      <c r="F444" s="2" t="s">
        <v>120</v>
      </c>
      <c r="G444" s="2" t="s">
        <v>22</v>
      </c>
      <c r="H444" s="2">
        <v>43</v>
      </c>
      <c r="I444" s="4">
        <v>912.26</v>
      </c>
      <c r="J444" s="3">
        <v>45736</v>
      </c>
      <c r="K444">
        <f t="shared" si="6"/>
        <v>39227.18</v>
      </c>
      <c r="L444" t="str">
        <f>INDEX(Raw_Shipments!L444:L2872,MATCH(A444,Raw_Shipments!B444:B2872))</f>
        <v>No</v>
      </c>
    </row>
    <row r="445" spans="1:12" x14ac:dyDescent="0.3">
      <c r="A445" s="5" t="s">
        <v>593</v>
      </c>
      <c r="B445" s="6">
        <v>45727</v>
      </c>
      <c r="C445" s="5" t="s">
        <v>158</v>
      </c>
      <c r="D445" s="5" t="s">
        <v>45</v>
      </c>
      <c r="E445" s="5" t="s">
        <v>26</v>
      </c>
      <c r="F445" s="5" t="s">
        <v>27</v>
      </c>
      <c r="G445" s="5" t="s">
        <v>22</v>
      </c>
      <c r="H445" s="5">
        <v>19</v>
      </c>
      <c r="I445" s="7">
        <v>1646.8</v>
      </c>
      <c r="J445" s="6">
        <v>45731</v>
      </c>
      <c r="K445">
        <f t="shared" si="6"/>
        <v>31289.200000000001</v>
      </c>
      <c r="L445" t="str">
        <f>INDEX(Raw_Shipments!L445:L2873,MATCH(A445,Raw_Shipments!B445:B2873))</f>
        <v>No</v>
      </c>
    </row>
    <row r="446" spans="1:12" x14ac:dyDescent="0.3">
      <c r="A446" s="2" t="s">
        <v>594</v>
      </c>
      <c r="B446" s="3">
        <v>45727</v>
      </c>
      <c r="C446" s="2" t="s">
        <v>595</v>
      </c>
      <c r="D446" s="2" t="s">
        <v>30</v>
      </c>
      <c r="E446" s="2" t="s">
        <v>31</v>
      </c>
      <c r="F446" s="2" t="s">
        <v>32</v>
      </c>
      <c r="G446" s="2" t="s">
        <v>33</v>
      </c>
      <c r="H446" s="2">
        <v>56</v>
      </c>
      <c r="I446" s="4">
        <v>689</v>
      </c>
      <c r="J446" s="3">
        <v>45732</v>
      </c>
      <c r="K446">
        <f t="shared" si="6"/>
        <v>38584</v>
      </c>
      <c r="L446" t="str">
        <f>INDEX(Raw_Shipments!L446:L2874,MATCH(A446,Raw_Shipments!B446:B2874))</f>
        <v>No</v>
      </c>
    </row>
    <row r="447" spans="1:12" x14ac:dyDescent="0.3">
      <c r="A447" s="5" t="s">
        <v>596</v>
      </c>
      <c r="B447" s="6">
        <v>45727</v>
      </c>
      <c r="C447" s="5" t="s">
        <v>504</v>
      </c>
      <c r="D447" s="5" t="s">
        <v>25</v>
      </c>
      <c r="E447" s="5" t="s">
        <v>36</v>
      </c>
      <c r="F447" s="5" t="s">
        <v>37</v>
      </c>
      <c r="G447" s="5" t="s">
        <v>33</v>
      </c>
      <c r="H447" s="5">
        <v>5</v>
      </c>
      <c r="I447" s="7">
        <v>1064.79</v>
      </c>
      <c r="J447" s="6">
        <v>45731</v>
      </c>
      <c r="K447">
        <f t="shared" si="6"/>
        <v>5323.95</v>
      </c>
      <c r="L447" t="str">
        <f>INDEX(Raw_Shipments!L447:L2875,MATCH(A447,Raw_Shipments!B447:B2875))</f>
        <v>No</v>
      </c>
    </row>
    <row r="448" spans="1:12" x14ac:dyDescent="0.3">
      <c r="A448" s="2" t="s">
        <v>597</v>
      </c>
      <c r="B448" s="3">
        <v>45727</v>
      </c>
      <c r="C448" s="2" t="s">
        <v>268</v>
      </c>
      <c r="D448" s="2" t="s">
        <v>45</v>
      </c>
      <c r="E448" s="2" t="s">
        <v>40</v>
      </c>
      <c r="F448" s="2" t="s">
        <v>41</v>
      </c>
      <c r="G448" s="2" t="s">
        <v>42</v>
      </c>
      <c r="H448" s="2">
        <v>32</v>
      </c>
      <c r="I448" s="4">
        <v>2445.11</v>
      </c>
      <c r="J448" s="3">
        <v>45737</v>
      </c>
      <c r="K448">
        <f t="shared" si="6"/>
        <v>78243.520000000004</v>
      </c>
      <c r="L448" t="str">
        <f>INDEX(Raw_Shipments!L448:L2876,MATCH(A448,Raw_Shipments!B448:B2876))</f>
        <v>No</v>
      </c>
    </row>
    <row r="449" spans="1:12" x14ac:dyDescent="0.3">
      <c r="A449" s="5" t="s">
        <v>598</v>
      </c>
      <c r="B449" s="6">
        <v>45728</v>
      </c>
      <c r="C449" s="5" t="s">
        <v>156</v>
      </c>
      <c r="D449" s="5" t="s">
        <v>45</v>
      </c>
      <c r="E449" s="5" t="s">
        <v>53</v>
      </c>
      <c r="F449" s="5" t="s">
        <v>54</v>
      </c>
      <c r="G449" s="5" t="s">
        <v>55</v>
      </c>
      <c r="H449" s="5">
        <v>33</v>
      </c>
      <c r="I449" s="7">
        <v>2055.9</v>
      </c>
      <c r="J449" s="6">
        <v>45731</v>
      </c>
      <c r="K449">
        <f t="shared" si="6"/>
        <v>67844.7</v>
      </c>
      <c r="L449" t="str">
        <f>INDEX(Raw_Shipments!L449:L2877,MATCH(A449,Raw_Shipments!B449:B2877))</f>
        <v>No</v>
      </c>
    </row>
    <row r="450" spans="1:12" x14ac:dyDescent="0.3">
      <c r="A450" s="2" t="s">
        <v>599</v>
      </c>
      <c r="B450" s="3">
        <v>45728</v>
      </c>
      <c r="C450" s="2" t="s">
        <v>337</v>
      </c>
      <c r="D450" s="2" t="s">
        <v>45</v>
      </c>
      <c r="E450" s="2" t="s">
        <v>58</v>
      </c>
      <c r="F450" s="2" t="s">
        <v>59</v>
      </c>
      <c r="G450" s="2" t="s">
        <v>55</v>
      </c>
      <c r="H450" s="2">
        <v>7</v>
      </c>
      <c r="I450" s="4">
        <v>1695.1</v>
      </c>
      <c r="J450" s="3">
        <v>45737</v>
      </c>
      <c r="K450">
        <f t="shared" si="6"/>
        <v>11865.699999999999</v>
      </c>
      <c r="L450" t="str">
        <f>INDEX(Raw_Shipments!L450:L2878,MATCH(A450,Raw_Shipments!B450:B2878))</f>
        <v>Yes</v>
      </c>
    </row>
    <row r="451" spans="1:12" x14ac:dyDescent="0.3">
      <c r="A451" s="5" t="s">
        <v>600</v>
      </c>
      <c r="B451" s="6">
        <v>45728</v>
      </c>
      <c r="C451" s="5" t="s">
        <v>107</v>
      </c>
      <c r="D451" s="5" t="s">
        <v>25</v>
      </c>
      <c r="E451" s="5" t="s">
        <v>62</v>
      </c>
      <c r="F451" s="5" t="s">
        <v>63</v>
      </c>
      <c r="G451" s="5" t="s">
        <v>55</v>
      </c>
      <c r="H451" s="5">
        <v>25</v>
      </c>
      <c r="I451" s="7">
        <v>2555.2199999999998</v>
      </c>
      <c r="J451" s="6">
        <v>45737</v>
      </c>
      <c r="K451">
        <f t="shared" ref="K451:K514" si="7">I451*H451</f>
        <v>63880.499999999993</v>
      </c>
      <c r="L451" t="str">
        <f>INDEX(Raw_Shipments!L451:L2879,MATCH(A451,Raw_Shipments!B451:B2879))</f>
        <v>Yes</v>
      </c>
    </row>
    <row r="452" spans="1:12" x14ac:dyDescent="0.3">
      <c r="A452" s="2" t="s">
        <v>601</v>
      </c>
      <c r="B452" s="3">
        <v>45728</v>
      </c>
      <c r="C452" s="2" t="s">
        <v>24</v>
      </c>
      <c r="D452" s="2" t="s">
        <v>14</v>
      </c>
      <c r="E452" s="2" t="s">
        <v>66</v>
      </c>
      <c r="F452" s="2" t="s">
        <v>67</v>
      </c>
      <c r="G452" s="2" t="s">
        <v>17</v>
      </c>
      <c r="H452" s="2">
        <v>15</v>
      </c>
      <c r="I452" s="4">
        <v>850.8</v>
      </c>
      <c r="J452" s="3">
        <v>45733</v>
      </c>
      <c r="K452">
        <f t="shared" si="7"/>
        <v>12762</v>
      </c>
      <c r="L452" t="str">
        <f>INDEX(Raw_Shipments!L452:L2880,MATCH(A452,Raw_Shipments!B452:B2880))</f>
        <v>No</v>
      </c>
    </row>
    <row r="453" spans="1:12" x14ac:dyDescent="0.3">
      <c r="A453" s="5" t="s">
        <v>602</v>
      </c>
      <c r="B453" s="6">
        <v>45728</v>
      </c>
      <c r="C453" s="5" t="s">
        <v>158</v>
      </c>
      <c r="D453" s="5" t="s">
        <v>30</v>
      </c>
      <c r="E453" s="5" t="s">
        <v>26</v>
      </c>
      <c r="F453" s="5" t="s">
        <v>27</v>
      </c>
      <c r="G453" s="5" t="s">
        <v>22</v>
      </c>
      <c r="H453" s="5">
        <v>24</v>
      </c>
      <c r="I453" s="7">
        <v>1646.8</v>
      </c>
      <c r="J453" s="6">
        <v>45737</v>
      </c>
      <c r="K453">
        <f t="shared" si="7"/>
        <v>39523.199999999997</v>
      </c>
      <c r="L453" t="str">
        <f>INDEX(Raw_Shipments!L453:L2881,MATCH(A453,Raw_Shipments!B453:B2881))</f>
        <v>No</v>
      </c>
    </row>
    <row r="454" spans="1:12" x14ac:dyDescent="0.3">
      <c r="A454" s="2" t="s">
        <v>603</v>
      </c>
      <c r="B454" s="3">
        <v>45728</v>
      </c>
      <c r="C454" s="2" t="s">
        <v>111</v>
      </c>
      <c r="D454" s="2" t="s">
        <v>25</v>
      </c>
      <c r="E454" s="2" t="s">
        <v>31</v>
      </c>
      <c r="F454" s="2" t="s">
        <v>32</v>
      </c>
      <c r="G454" s="2" t="s">
        <v>33</v>
      </c>
      <c r="H454" s="2">
        <v>50</v>
      </c>
      <c r="I454" s="4">
        <v>689</v>
      </c>
      <c r="J454" s="3">
        <v>45731</v>
      </c>
      <c r="K454">
        <f t="shared" si="7"/>
        <v>34450</v>
      </c>
      <c r="L454" t="str">
        <f>INDEX(Raw_Shipments!L454:L2882,MATCH(A454,Raw_Shipments!B454:B2882))</f>
        <v>No</v>
      </c>
    </row>
    <row r="455" spans="1:12" x14ac:dyDescent="0.3">
      <c r="A455" s="5" t="s">
        <v>604</v>
      </c>
      <c r="B455" s="6">
        <v>45728</v>
      </c>
      <c r="C455" s="5" t="s">
        <v>227</v>
      </c>
      <c r="D455" s="5" t="s">
        <v>25</v>
      </c>
      <c r="E455" s="5" t="s">
        <v>40</v>
      </c>
      <c r="F455" s="5" t="s">
        <v>41</v>
      </c>
      <c r="G455" s="5" t="s">
        <v>42</v>
      </c>
      <c r="H455" s="5">
        <v>18</v>
      </c>
      <c r="I455" s="7">
        <v>2445.11</v>
      </c>
      <c r="J455" s="6">
        <v>45736</v>
      </c>
      <c r="K455">
        <f t="shared" si="7"/>
        <v>44011.98</v>
      </c>
      <c r="L455" t="str">
        <f>INDEX(Raw_Shipments!L455:L2883,MATCH(A455,Raw_Shipments!B455:B2883))</f>
        <v>No</v>
      </c>
    </row>
    <row r="456" spans="1:12" x14ac:dyDescent="0.3">
      <c r="A456" s="2" t="s">
        <v>605</v>
      </c>
      <c r="B456" s="3">
        <v>45728</v>
      </c>
      <c r="C456" s="2" t="s">
        <v>71</v>
      </c>
      <c r="D456" s="2" t="s">
        <v>30</v>
      </c>
      <c r="E456" s="2" t="s">
        <v>46</v>
      </c>
      <c r="F456" s="2" t="s">
        <v>47</v>
      </c>
      <c r="G456" s="2" t="s">
        <v>42</v>
      </c>
      <c r="H456" s="2">
        <v>5</v>
      </c>
      <c r="I456" s="4">
        <v>1833.14</v>
      </c>
      <c r="J456" s="3">
        <v>45735</v>
      </c>
      <c r="K456">
        <f t="shared" si="7"/>
        <v>9165.7000000000007</v>
      </c>
      <c r="L456" t="str">
        <f>INDEX(Raw_Shipments!L456:L2884,MATCH(A456,Raw_Shipments!B456:B2884))</f>
        <v>No</v>
      </c>
    </row>
    <row r="457" spans="1:12" x14ac:dyDescent="0.3">
      <c r="A457" s="5" t="s">
        <v>606</v>
      </c>
      <c r="B457" s="6">
        <v>45729</v>
      </c>
      <c r="C457" s="5" t="s">
        <v>203</v>
      </c>
      <c r="D457" s="5" t="s">
        <v>45</v>
      </c>
      <c r="E457" s="5" t="s">
        <v>66</v>
      </c>
      <c r="F457" s="5" t="s">
        <v>67</v>
      </c>
      <c r="G457" s="5" t="s">
        <v>17</v>
      </c>
      <c r="H457" s="5">
        <v>17</v>
      </c>
      <c r="I457" s="7">
        <v>850.8</v>
      </c>
      <c r="J457" s="6">
        <v>45735</v>
      </c>
      <c r="K457">
        <f t="shared" si="7"/>
        <v>14463.599999999999</v>
      </c>
      <c r="L457" t="str">
        <f>INDEX(Raw_Shipments!L457:L2885,MATCH(A457,Raw_Shipments!B457:B2885))</f>
        <v>No</v>
      </c>
    </row>
    <row r="458" spans="1:12" x14ac:dyDescent="0.3">
      <c r="A458" s="2" t="s">
        <v>607</v>
      </c>
      <c r="B458" s="3">
        <v>45729</v>
      </c>
      <c r="C458" s="2" t="s">
        <v>107</v>
      </c>
      <c r="D458" s="2" t="s">
        <v>14</v>
      </c>
      <c r="E458" s="2" t="s">
        <v>26</v>
      </c>
      <c r="F458" s="2" t="s">
        <v>27</v>
      </c>
      <c r="G458" s="2" t="s">
        <v>22</v>
      </c>
      <c r="H458" s="2">
        <v>38</v>
      </c>
      <c r="I458" s="4">
        <v>1646.8</v>
      </c>
      <c r="J458" s="3">
        <v>45734</v>
      </c>
      <c r="K458">
        <f t="shared" si="7"/>
        <v>62578.400000000001</v>
      </c>
      <c r="L458" t="str">
        <f>INDEX(Raw_Shipments!L458:L2886,MATCH(A458,Raw_Shipments!B458:B2886))</f>
        <v>No</v>
      </c>
    </row>
    <row r="459" spans="1:12" x14ac:dyDescent="0.3">
      <c r="A459" s="5" t="s">
        <v>608</v>
      </c>
      <c r="B459" s="6">
        <v>45729</v>
      </c>
      <c r="C459" s="5" t="s">
        <v>195</v>
      </c>
      <c r="D459" s="5" t="s">
        <v>14</v>
      </c>
      <c r="E459" s="5" t="s">
        <v>46</v>
      </c>
      <c r="F459" s="5" t="s">
        <v>47</v>
      </c>
      <c r="G459" s="5" t="s">
        <v>42</v>
      </c>
      <c r="H459" s="5">
        <v>3</v>
      </c>
      <c r="I459" s="7">
        <v>1833.14</v>
      </c>
      <c r="J459" s="6">
        <v>45737</v>
      </c>
      <c r="K459">
        <f t="shared" si="7"/>
        <v>5499.42</v>
      </c>
      <c r="L459" t="str">
        <f>INDEX(Raw_Shipments!L459:L2887,MATCH(A459,Raw_Shipments!B459:B2887))</f>
        <v>No</v>
      </c>
    </row>
    <row r="460" spans="1:12" x14ac:dyDescent="0.3">
      <c r="A460" s="2" t="s">
        <v>609</v>
      </c>
      <c r="B460" s="3">
        <v>45730</v>
      </c>
      <c r="C460" s="2" t="s">
        <v>234</v>
      </c>
      <c r="D460" s="2" t="s">
        <v>25</v>
      </c>
      <c r="E460" s="2" t="s">
        <v>53</v>
      </c>
      <c r="F460" s="2" t="s">
        <v>54</v>
      </c>
      <c r="G460" s="2" t="s">
        <v>55</v>
      </c>
      <c r="H460" s="2">
        <v>57</v>
      </c>
      <c r="I460" s="4">
        <v>2055.9</v>
      </c>
      <c r="J460" s="3">
        <v>45740</v>
      </c>
      <c r="K460">
        <f t="shared" si="7"/>
        <v>117186.3</v>
      </c>
      <c r="L460" t="str">
        <f>INDEX(Raw_Shipments!L460:L2888,MATCH(A460,Raw_Shipments!B460:B2888))</f>
        <v>Yes</v>
      </c>
    </row>
    <row r="461" spans="1:12" x14ac:dyDescent="0.3">
      <c r="A461" s="5" t="s">
        <v>610</v>
      </c>
      <c r="B461" s="6">
        <v>45730</v>
      </c>
      <c r="C461" s="5" t="s">
        <v>250</v>
      </c>
      <c r="D461" s="5" t="s">
        <v>45</v>
      </c>
      <c r="E461" s="5" t="s">
        <v>58</v>
      </c>
      <c r="F461" s="5" t="s">
        <v>59</v>
      </c>
      <c r="G461" s="5" t="s">
        <v>55</v>
      </c>
      <c r="H461" s="5">
        <v>16</v>
      </c>
      <c r="I461" s="7">
        <v>1695.1</v>
      </c>
      <c r="J461" s="6">
        <v>45733</v>
      </c>
      <c r="K461">
        <f t="shared" si="7"/>
        <v>27121.599999999999</v>
      </c>
      <c r="L461" t="str">
        <f>INDEX(Raw_Shipments!L461:L2889,MATCH(A461,Raw_Shipments!B461:B2889))</f>
        <v>No</v>
      </c>
    </row>
    <row r="462" spans="1:12" x14ac:dyDescent="0.3">
      <c r="A462" s="2" t="s">
        <v>611</v>
      </c>
      <c r="B462" s="3">
        <v>45730</v>
      </c>
      <c r="C462" s="2" t="s">
        <v>146</v>
      </c>
      <c r="D462" s="2" t="s">
        <v>14</v>
      </c>
      <c r="E462" s="2" t="s">
        <v>62</v>
      </c>
      <c r="F462" s="2" t="s">
        <v>63</v>
      </c>
      <c r="G462" s="2" t="s">
        <v>55</v>
      </c>
      <c r="H462" s="2">
        <v>38</v>
      </c>
      <c r="I462" s="4">
        <v>2555.2199999999998</v>
      </c>
      <c r="J462" s="3">
        <v>45733</v>
      </c>
      <c r="K462">
        <f t="shared" si="7"/>
        <v>97098.359999999986</v>
      </c>
      <c r="L462" t="str">
        <f>INDEX(Raw_Shipments!L462:L2890,MATCH(A462,Raw_Shipments!B462:B2890))</f>
        <v>No</v>
      </c>
    </row>
    <row r="463" spans="1:12" x14ac:dyDescent="0.3">
      <c r="A463" s="5" t="s">
        <v>612</v>
      </c>
      <c r="B463" s="6">
        <v>45730</v>
      </c>
      <c r="C463" s="5" t="s">
        <v>128</v>
      </c>
      <c r="D463" s="5" t="s">
        <v>45</v>
      </c>
      <c r="E463" s="5" t="s">
        <v>97</v>
      </c>
      <c r="F463" s="5" t="s">
        <v>98</v>
      </c>
      <c r="G463" s="5" t="s">
        <v>17</v>
      </c>
      <c r="H463" s="5">
        <v>38</v>
      </c>
      <c r="I463" s="7">
        <v>1110.6500000000001</v>
      </c>
      <c r="J463" s="6">
        <v>45735</v>
      </c>
      <c r="K463">
        <f t="shared" si="7"/>
        <v>42204.700000000004</v>
      </c>
      <c r="L463" t="str">
        <f>INDEX(Raw_Shipments!L463:L2891,MATCH(A463,Raw_Shipments!B463:B2891))</f>
        <v>No</v>
      </c>
    </row>
    <row r="464" spans="1:12" x14ac:dyDescent="0.3">
      <c r="A464" s="2" t="s">
        <v>613</v>
      </c>
      <c r="B464" s="3">
        <v>45730</v>
      </c>
      <c r="C464" s="2" t="s">
        <v>304</v>
      </c>
      <c r="D464" s="2" t="s">
        <v>25</v>
      </c>
      <c r="E464" s="2" t="s">
        <v>15</v>
      </c>
      <c r="F464" s="2" t="s">
        <v>16</v>
      </c>
      <c r="G464" s="2" t="s">
        <v>17</v>
      </c>
      <c r="H464" s="2">
        <v>5</v>
      </c>
      <c r="I464" s="4">
        <v>183.06</v>
      </c>
      <c r="J464" s="3">
        <v>45734</v>
      </c>
      <c r="K464">
        <f t="shared" si="7"/>
        <v>915.3</v>
      </c>
      <c r="L464" t="str">
        <f>INDEX(Raw_Shipments!L464:L2892,MATCH(A464,Raw_Shipments!B464:B2892))</f>
        <v>No</v>
      </c>
    </row>
    <row r="465" spans="1:12" x14ac:dyDescent="0.3">
      <c r="A465" s="5" t="s">
        <v>614</v>
      </c>
      <c r="B465" s="6">
        <v>45730</v>
      </c>
      <c r="C465" s="5" t="s">
        <v>282</v>
      </c>
      <c r="D465" s="5" t="s">
        <v>45</v>
      </c>
      <c r="E465" s="5" t="s">
        <v>119</v>
      </c>
      <c r="F465" s="5" t="s">
        <v>120</v>
      </c>
      <c r="G465" s="5" t="s">
        <v>22</v>
      </c>
      <c r="H465" s="5">
        <v>24</v>
      </c>
      <c r="I465" s="7">
        <v>912.26</v>
      </c>
      <c r="J465" s="6">
        <v>45739</v>
      </c>
      <c r="K465">
        <f t="shared" si="7"/>
        <v>21894.239999999998</v>
      </c>
      <c r="L465" t="str">
        <f>INDEX(Raw_Shipments!L465:L2893,MATCH(A465,Raw_Shipments!B465:B2893))</f>
        <v>No</v>
      </c>
    </row>
    <row r="466" spans="1:12" x14ac:dyDescent="0.3">
      <c r="A466" s="2" t="s">
        <v>615</v>
      </c>
      <c r="B466" s="3">
        <v>45730</v>
      </c>
      <c r="C466" s="2" t="s">
        <v>144</v>
      </c>
      <c r="D466" s="2" t="s">
        <v>30</v>
      </c>
      <c r="E466" s="2" t="s">
        <v>26</v>
      </c>
      <c r="F466" s="2" t="s">
        <v>27</v>
      </c>
      <c r="G466" s="2" t="s">
        <v>22</v>
      </c>
      <c r="H466" s="2">
        <v>11</v>
      </c>
      <c r="I466" s="4">
        <v>1646.8</v>
      </c>
      <c r="J466" s="3">
        <v>45739</v>
      </c>
      <c r="K466">
        <f t="shared" si="7"/>
        <v>18114.8</v>
      </c>
      <c r="L466" t="str">
        <f>INDEX(Raw_Shipments!L466:L2894,MATCH(A466,Raw_Shipments!B466:B2894))</f>
        <v>No</v>
      </c>
    </row>
    <row r="467" spans="1:12" x14ac:dyDescent="0.3">
      <c r="A467" s="5" t="s">
        <v>616</v>
      </c>
      <c r="B467" s="6">
        <v>45730</v>
      </c>
      <c r="C467" s="5" t="s">
        <v>248</v>
      </c>
      <c r="D467" s="5" t="s">
        <v>14</v>
      </c>
      <c r="E467" s="5" t="s">
        <v>36</v>
      </c>
      <c r="F467" s="5" t="s">
        <v>37</v>
      </c>
      <c r="G467" s="5" t="s">
        <v>33</v>
      </c>
      <c r="H467" s="5">
        <v>71</v>
      </c>
      <c r="I467" s="7">
        <v>1064.79</v>
      </c>
      <c r="J467" s="6">
        <v>45738</v>
      </c>
      <c r="K467">
        <f t="shared" si="7"/>
        <v>75600.09</v>
      </c>
      <c r="L467" t="str">
        <f>INDEX(Raw_Shipments!L467:L2895,MATCH(A467,Raw_Shipments!B467:B2895))</f>
        <v>Yes</v>
      </c>
    </row>
    <row r="468" spans="1:12" x14ac:dyDescent="0.3">
      <c r="A468" s="2" t="s">
        <v>617</v>
      </c>
      <c r="B468" s="3">
        <v>45730</v>
      </c>
      <c r="C468" s="2" t="s">
        <v>272</v>
      </c>
      <c r="D468" s="2" t="s">
        <v>45</v>
      </c>
      <c r="E468" s="2" t="s">
        <v>86</v>
      </c>
      <c r="F468" s="2" t="s">
        <v>87</v>
      </c>
      <c r="G468" s="2" t="s">
        <v>33</v>
      </c>
      <c r="H468" s="2">
        <v>25</v>
      </c>
      <c r="I468" s="4">
        <v>815.88</v>
      </c>
      <c r="J468" s="3">
        <v>45735</v>
      </c>
      <c r="K468">
        <f t="shared" si="7"/>
        <v>20397</v>
      </c>
      <c r="L468" t="str">
        <f>INDEX(Raw_Shipments!L468:L2896,MATCH(A468,Raw_Shipments!B468:B2896))</f>
        <v>No</v>
      </c>
    </row>
    <row r="469" spans="1:12" x14ac:dyDescent="0.3">
      <c r="A469" s="5" t="s">
        <v>618</v>
      </c>
      <c r="B469" s="6">
        <v>45730</v>
      </c>
      <c r="C469" s="5" t="s">
        <v>420</v>
      </c>
      <c r="D469" s="5" t="s">
        <v>25</v>
      </c>
      <c r="E469" s="5" t="s">
        <v>50</v>
      </c>
      <c r="F469" s="5" t="s">
        <v>51</v>
      </c>
      <c r="G469" s="5" t="s">
        <v>42</v>
      </c>
      <c r="H469" s="5">
        <v>6</v>
      </c>
      <c r="I469" s="7">
        <v>1952.28</v>
      </c>
      <c r="J469" s="6">
        <v>45733</v>
      </c>
      <c r="K469">
        <f t="shared" si="7"/>
        <v>11713.68</v>
      </c>
      <c r="L469" t="str">
        <f>INDEX(Raw_Shipments!L469:L2897,MATCH(A469,Raw_Shipments!B469:B2897))</f>
        <v>No</v>
      </c>
    </row>
    <row r="470" spans="1:12" x14ac:dyDescent="0.3">
      <c r="A470" s="2" t="s">
        <v>619</v>
      </c>
      <c r="B470" s="3">
        <v>45731</v>
      </c>
      <c r="C470" s="2" t="s">
        <v>146</v>
      </c>
      <c r="D470" s="2" t="s">
        <v>45</v>
      </c>
      <c r="E470" s="2" t="s">
        <v>62</v>
      </c>
      <c r="F470" s="2" t="s">
        <v>63</v>
      </c>
      <c r="G470" s="2" t="s">
        <v>55</v>
      </c>
      <c r="H470" s="2">
        <v>9</v>
      </c>
      <c r="I470" s="4">
        <v>2555.2199999999998</v>
      </c>
      <c r="J470" s="3">
        <v>45736</v>
      </c>
      <c r="K470">
        <f t="shared" si="7"/>
        <v>22996.98</v>
      </c>
      <c r="L470" t="str">
        <f>INDEX(Raw_Shipments!L470:L2898,MATCH(A470,Raw_Shipments!B470:B2898))</f>
        <v>No</v>
      </c>
    </row>
    <row r="471" spans="1:12" x14ac:dyDescent="0.3">
      <c r="A471" s="5" t="s">
        <v>620</v>
      </c>
      <c r="B471" s="6">
        <v>45731</v>
      </c>
      <c r="C471" s="5" t="s">
        <v>240</v>
      </c>
      <c r="D471" s="5" t="s">
        <v>45</v>
      </c>
      <c r="E471" s="5" t="s">
        <v>66</v>
      </c>
      <c r="F471" s="5" t="s">
        <v>67</v>
      </c>
      <c r="G471" s="5" t="s">
        <v>17</v>
      </c>
      <c r="H471" s="5">
        <v>9</v>
      </c>
      <c r="I471" s="7">
        <v>850.8</v>
      </c>
      <c r="J471" s="6">
        <v>45739</v>
      </c>
      <c r="K471">
        <f t="shared" si="7"/>
        <v>7657.2</v>
      </c>
      <c r="L471" t="str">
        <f>INDEX(Raw_Shipments!L471:L2899,MATCH(A471,Raw_Shipments!B471:B2899))</f>
        <v>No</v>
      </c>
    </row>
    <row r="472" spans="1:12" x14ac:dyDescent="0.3">
      <c r="A472" s="2" t="s">
        <v>621</v>
      </c>
      <c r="B472" s="3">
        <v>45731</v>
      </c>
      <c r="C472" s="2" t="s">
        <v>208</v>
      </c>
      <c r="D472" s="2" t="s">
        <v>25</v>
      </c>
      <c r="E472" s="2" t="s">
        <v>119</v>
      </c>
      <c r="F472" s="2" t="s">
        <v>120</v>
      </c>
      <c r="G472" s="2" t="s">
        <v>22</v>
      </c>
      <c r="H472" s="2">
        <v>49</v>
      </c>
      <c r="I472" s="4">
        <v>912.26</v>
      </c>
      <c r="J472" s="3">
        <v>45735</v>
      </c>
      <c r="K472">
        <f t="shared" si="7"/>
        <v>44700.74</v>
      </c>
      <c r="L472" t="str">
        <f>INDEX(Raw_Shipments!L472:L2900,MATCH(A472,Raw_Shipments!B472:B2900))</f>
        <v>No</v>
      </c>
    </row>
    <row r="473" spans="1:12" x14ac:dyDescent="0.3">
      <c r="A473" s="5" t="s">
        <v>622</v>
      </c>
      <c r="B473" s="6">
        <v>45731</v>
      </c>
      <c r="C473" s="5" t="s">
        <v>272</v>
      </c>
      <c r="D473" s="5" t="s">
        <v>30</v>
      </c>
      <c r="E473" s="5" t="s">
        <v>36</v>
      </c>
      <c r="F473" s="5" t="s">
        <v>37</v>
      </c>
      <c r="G473" s="5" t="s">
        <v>33</v>
      </c>
      <c r="H473" s="5">
        <v>39</v>
      </c>
      <c r="I473" s="7">
        <v>1064.79</v>
      </c>
      <c r="J473" s="6">
        <v>45741</v>
      </c>
      <c r="K473">
        <f t="shared" si="7"/>
        <v>41526.81</v>
      </c>
      <c r="L473" t="str">
        <f>INDEX(Raw_Shipments!L473:L2901,MATCH(A473,Raw_Shipments!B473:B2901))</f>
        <v>Yes</v>
      </c>
    </row>
    <row r="474" spans="1:12" x14ac:dyDescent="0.3">
      <c r="A474" s="2" t="s">
        <v>623</v>
      </c>
      <c r="B474" s="3">
        <v>45731</v>
      </c>
      <c r="C474" s="2" t="s">
        <v>191</v>
      </c>
      <c r="D474" s="2" t="s">
        <v>14</v>
      </c>
      <c r="E474" s="2" t="s">
        <v>50</v>
      </c>
      <c r="F474" s="2" t="s">
        <v>51</v>
      </c>
      <c r="G474" s="2" t="s">
        <v>42</v>
      </c>
      <c r="H474" s="2">
        <v>7</v>
      </c>
      <c r="I474" s="4">
        <v>1952.28</v>
      </c>
      <c r="J474" s="3">
        <v>45741</v>
      </c>
      <c r="K474">
        <f t="shared" si="7"/>
        <v>13665.96</v>
      </c>
      <c r="L474" t="str">
        <f>INDEX(Raw_Shipments!L474:L2902,MATCH(A474,Raw_Shipments!B474:B2902))</f>
        <v>No</v>
      </c>
    </row>
    <row r="475" spans="1:12" x14ac:dyDescent="0.3">
      <c r="A475" s="5" t="s">
        <v>624</v>
      </c>
      <c r="B475" s="6">
        <v>45732</v>
      </c>
      <c r="C475" s="5" t="s">
        <v>24</v>
      </c>
      <c r="D475" s="5" t="s">
        <v>25</v>
      </c>
      <c r="E475" s="5" t="s">
        <v>53</v>
      </c>
      <c r="F475" s="5" t="s">
        <v>54</v>
      </c>
      <c r="G475" s="5" t="s">
        <v>55</v>
      </c>
      <c r="H475" s="5">
        <v>32</v>
      </c>
      <c r="I475" s="7">
        <v>2055.9</v>
      </c>
      <c r="J475" s="6">
        <v>45736</v>
      </c>
      <c r="K475">
        <f t="shared" si="7"/>
        <v>65788.800000000003</v>
      </c>
      <c r="L475" t="str">
        <f>INDEX(Raw_Shipments!L475:L2903,MATCH(A475,Raw_Shipments!B475:B2903))</f>
        <v>No</v>
      </c>
    </row>
    <row r="476" spans="1:12" x14ac:dyDescent="0.3">
      <c r="A476" s="2" t="s">
        <v>625</v>
      </c>
      <c r="B476" s="3">
        <v>45732</v>
      </c>
      <c r="C476" s="2" t="s">
        <v>240</v>
      </c>
      <c r="D476" s="2" t="s">
        <v>30</v>
      </c>
      <c r="E476" s="2" t="s">
        <v>58</v>
      </c>
      <c r="F476" s="2" t="s">
        <v>59</v>
      </c>
      <c r="G476" s="2" t="s">
        <v>55</v>
      </c>
      <c r="H476" s="2">
        <v>17</v>
      </c>
      <c r="I476" s="4">
        <v>1695.1</v>
      </c>
      <c r="J476" s="3">
        <v>45740</v>
      </c>
      <c r="K476">
        <f t="shared" si="7"/>
        <v>28816.699999999997</v>
      </c>
      <c r="L476" t="str">
        <f>INDEX(Raw_Shipments!L476:L2904,MATCH(A476,Raw_Shipments!B476:B2904))</f>
        <v>No</v>
      </c>
    </row>
    <row r="477" spans="1:12" x14ac:dyDescent="0.3">
      <c r="A477" s="5" t="s">
        <v>626</v>
      </c>
      <c r="B477" s="6">
        <v>45732</v>
      </c>
      <c r="C477" s="5" t="s">
        <v>217</v>
      </c>
      <c r="D477" s="5" t="s">
        <v>45</v>
      </c>
      <c r="E477" s="5" t="s">
        <v>62</v>
      </c>
      <c r="F477" s="5" t="s">
        <v>63</v>
      </c>
      <c r="G477" s="5" t="s">
        <v>55</v>
      </c>
      <c r="H477" s="5">
        <v>41</v>
      </c>
      <c r="I477" s="7">
        <v>2555.2199999999998</v>
      </c>
      <c r="J477" s="6">
        <v>45736</v>
      </c>
      <c r="K477">
        <f t="shared" si="7"/>
        <v>104764.01999999999</v>
      </c>
      <c r="L477" t="str">
        <f>INDEX(Raw_Shipments!L477:L2905,MATCH(A477,Raw_Shipments!B477:B2905))</f>
        <v>No</v>
      </c>
    </row>
    <row r="478" spans="1:12" x14ac:dyDescent="0.3">
      <c r="A478" s="2" t="s">
        <v>627</v>
      </c>
      <c r="B478" s="3">
        <v>45732</v>
      </c>
      <c r="C478" s="2" t="s">
        <v>102</v>
      </c>
      <c r="D478" s="2" t="s">
        <v>14</v>
      </c>
      <c r="E478" s="2" t="s">
        <v>66</v>
      </c>
      <c r="F478" s="2" t="s">
        <v>67</v>
      </c>
      <c r="G478" s="2" t="s">
        <v>17</v>
      </c>
      <c r="H478" s="2">
        <v>24</v>
      </c>
      <c r="I478" s="4">
        <v>850.8</v>
      </c>
      <c r="J478" s="3">
        <v>45735</v>
      </c>
      <c r="K478">
        <f t="shared" si="7"/>
        <v>20419.199999999997</v>
      </c>
      <c r="L478" t="str">
        <f>INDEX(Raw_Shipments!L478:L2906,MATCH(A478,Raw_Shipments!B478:B2906))</f>
        <v>No</v>
      </c>
    </row>
    <row r="479" spans="1:12" x14ac:dyDescent="0.3">
      <c r="A479" s="5" t="s">
        <v>628</v>
      </c>
      <c r="B479" s="6">
        <v>45732</v>
      </c>
      <c r="C479" s="5" t="s">
        <v>229</v>
      </c>
      <c r="D479" s="5" t="s">
        <v>25</v>
      </c>
      <c r="E479" s="5" t="s">
        <v>15</v>
      </c>
      <c r="F479" s="5" t="s">
        <v>16</v>
      </c>
      <c r="G479" s="5" t="s">
        <v>17</v>
      </c>
      <c r="H479" s="5">
        <v>13</v>
      </c>
      <c r="I479" s="7">
        <v>183.06</v>
      </c>
      <c r="J479" s="6">
        <v>45735</v>
      </c>
      <c r="K479">
        <f t="shared" si="7"/>
        <v>2379.7800000000002</v>
      </c>
      <c r="L479" t="str">
        <f>INDEX(Raw_Shipments!L479:L2907,MATCH(A479,Raw_Shipments!B479:B2907))</f>
        <v>No</v>
      </c>
    </row>
    <row r="480" spans="1:12" x14ac:dyDescent="0.3">
      <c r="A480" s="2" t="s">
        <v>629</v>
      </c>
      <c r="B480" s="3">
        <v>45732</v>
      </c>
      <c r="C480" s="2" t="s">
        <v>39</v>
      </c>
      <c r="D480" s="2" t="s">
        <v>25</v>
      </c>
      <c r="E480" s="2" t="s">
        <v>20</v>
      </c>
      <c r="F480" s="2" t="s">
        <v>21</v>
      </c>
      <c r="G480" s="2" t="s">
        <v>22</v>
      </c>
      <c r="H480" s="2">
        <v>16</v>
      </c>
      <c r="I480" s="4">
        <v>2108.56</v>
      </c>
      <c r="J480" s="3">
        <v>45739</v>
      </c>
      <c r="K480">
        <f t="shared" si="7"/>
        <v>33736.959999999999</v>
      </c>
      <c r="L480" t="str">
        <f>INDEX(Raw_Shipments!L480:L2908,MATCH(A480,Raw_Shipments!B480:B2908))</f>
        <v>No</v>
      </c>
    </row>
    <row r="481" spans="1:12" x14ac:dyDescent="0.3">
      <c r="A481" s="5" t="s">
        <v>630</v>
      </c>
      <c r="B481" s="6">
        <v>45732</v>
      </c>
      <c r="C481" s="5" t="s">
        <v>141</v>
      </c>
      <c r="D481" s="5" t="s">
        <v>30</v>
      </c>
      <c r="E481" s="5" t="s">
        <v>119</v>
      </c>
      <c r="F481" s="5" t="s">
        <v>120</v>
      </c>
      <c r="G481" s="5" t="s">
        <v>22</v>
      </c>
      <c r="H481" s="5">
        <v>60</v>
      </c>
      <c r="I481" s="7">
        <v>912.26</v>
      </c>
      <c r="J481" s="6">
        <v>45736</v>
      </c>
      <c r="K481">
        <f t="shared" si="7"/>
        <v>54735.6</v>
      </c>
      <c r="L481" t="str">
        <f>INDEX(Raw_Shipments!L481:L2909,MATCH(A481,Raw_Shipments!B481:B2909))</f>
        <v>No</v>
      </c>
    </row>
    <row r="482" spans="1:12" x14ac:dyDescent="0.3">
      <c r="A482" s="2" t="s">
        <v>631</v>
      </c>
      <c r="B482" s="3">
        <v>45732</v>
      </c>
      <c r="C482" s="2" t="s">
        <v>39</v>
      </c>
      <c r="D482" s="2" t="s">
        <v>30</v>
      </c>
      <c r="E482" s="2" t="s">
        <v>36</v>
      </c>
      <c r="F482" s="2" t="s">
        <v>37</v>
      </c>
      <c r="G482" s="2" t="s">
        <v>33</v>
      </c>
      <c r="H482" s="2">
        <v>29</v>
      </c>
      <c r="I482" s="4">
        <v>1064.79</v>
      </c>
      <c r="J482" s="3">
        <v>45739</v>
      </c>
      <c r="K482">
        <f t="shared" si="7"/>
        <v>30878.91</v>
      </c>
      <c r="L482" t="str">
        <f>INDEX(Raw_Shipments!L482:L2910,MATCH(A482,Raw_Shipments!B482:B2910))</f>
        <v>No</v>
      </c>
    </row>
    <row r="483" spans="1:12" x14ac:dyDescent="0.3">
      <c r="A483" s="5" t="s">
        <v>632</v>
      </c>
      <c r="B483" s="6">
        <v>45732</v>
      </c>
      <c r="C483" s="5" t="s">
        <v>131</v>
      </c>
      <c r="D483" s="5" t="s">
        <v>14</v>
      </c>
      <c r="E483" s="5" t="s">
        <v>86</v>
      </c>
      <c r="F483" s="5" t="s">
        <v>87</v>
      </c>
      <c r="G483" s="5" t="s">
        <v>33</v>
      </c>
      <c r="H483" s="5">
        <v>33</v>
      </c>
      <c r="I483" s="7">
        <v>815.88</v>
      </c>
      <c r="J483" s="6">
        <v>45735</v>
      </c>
      <c r="K483">
        <f t="shared" si="7"/>
        <v>26924.04</v>
      </c>
      <c r="L483" t="str">
        <f>INDEX(Raw_Shipments!L483:L2911,MATCH(A483,Raw_Shipments!B483:B2911))</f>
        <v>No</v>
      </c>
    </row>
    <row r="484" spans="1:12" x14ac:dyDescent="0.3">
      <c r="A484" s="2" t="s">
        <v>633</v>
      </c>
      <c r="B484" s="3">
        <v>45733</v>
      </c>
      <c r="C484" s="2" t="s">
        <v>250</v>
      </c>
      <c r="D484" s="2" t="s">
        <v>30</v>
      </c>
      <c r="E484" s="2" t="s">
        <v>53</v>
      </c>
      <c r="F484" s="2" t="s">
        <v>54</v>
      </c>
      <c r="G484" s="2" t="s">
        <v>55</v>
      </c>
      <c r="H484" s="2">
        <v>36</v>
      </c>
      <c r="I484" s="4">
        <v>2055.9</v>
      </c>
      <c r="J484" s="3">
        <v>45740</v>
      </c>
      <c r="K484">
        <f t="shared" si="7"/>
        <v>74012.400000000009</v>
      </c>
      <c r="L484" t="str">
        <f>INDEX(Raw_Shipments!L484:L2912,MATCH(A484,Raw_Shipments!B484:B2912))</f>
        <v>Yes</v>
      </c>
    </row>
    <row r="485" spans="1:12" x14ac:dyDescent="0.3">
      <c r="A485" s="5" t="s">
        <v>634</v>
      </c>
      <c r="B485" s="6">
        <v>45733</v>
      </c>
      <c r="C485" s="5" t="s">
        <v>83</v>
      </c>
      <c r="D485" s="5" t="s">
        <v>14</v>
      </c>
      <c r="E485" s="5" t="s">
        <v>58</v>
      </c>
      <c r="F485" s="5" t="s">
        <v>59</v>
      </c>
      <c r="G485" s="5" t="s">
        <v>55</v>
      </c>
      <c r="H485" s="5">
        <v>10</v>
      </c>
      <c r="I485" s="7">
        <v>1695.1</v>
      </c>
      <c r="J485" s="6">
        <v>45742</v>
      </c>
      <c r="K485">
        <f t="shared" si="7"/>
        <v>16951</v>
      </c>
      <c r="L485" t="str">
        <f>INDEX(Raw_Shipments!L485:L2913,MATCH(A485,Raw_Shipments!B485:B2913))</f>
        <v>No</v>
      </c>
    </row>
    <row r="486" spans="1:12" x14ac:dyDescent="0.3">
      <c r="A486" s="2" t="s">
        <v>635</v>
      </c>
      <c r="B486" s="3">
        <v>45733</v>
      </c>
      <c r="C486" s="2" t="s">
        <v>203</v>
      </c>
      <c r="D486" s="2" t="s">
        <v>45</v>
      </c>
      <c r="E486" s="2" t="s">
        <v>62</v>
      </c>
      <c r="F486" s="2" t="s">
        <v>63</v>
      </c>
      <c r="G486" s="2" t="s">
        <v>55</v>
      </c>
      <c r="H486" s="2">
        <v>34</v>
      </c>
      <c r="I486" s="4">
        <v>2555.2199999999998</v>
      </c>
      <c r="J486" s="3">
        <v>45739</v>
      </c>
      <c r="K486">
        <f t="shared" si="7"/>
        <v>86877.48</v>
      </c>
      <c r="L486" t="str">
        <f>INDEX(Raw_Shipments!L486:L2914,MATCH(A486,Raw_Shipments!B486:B2914))</f>
        <v>No</v>
      </c>
    </row>
    <row r="487" spans="1:12" x14ac:dyDescent="0.3">
      <c r="A487" s="5" t="s">
        <v>636</v>
      </c>
      <c r="B487" s="6">
        <v>45733</v>
      </c>
      <c r="C487" s="5" t="s">
        <v>510</v>
      </c>
      <c r="D487" s="5" t="s">
        <v>25</v>
      </c>
      <c r="E487" s="5" t="s">
        <v>66</v>
      </c>
      <c r="F487" s="5" t="s">
        <v>67</v>
      </c>
      <c r="G487" s="5" t="s">
        <v>17</v>
      </c>
      <c r="H487" s="5">
        <v>19</v>
      </c>
      <c r="I487" s="7">
        <v>850.8</v>
      </c>
      <c r="J487" s="6">
        <v>45737</v>
      </c>
      <c r="K487">
        <f t="shared" si="7"/>
        <v>16165.199999999999</v>
      </c>
      <c r="L487" t="str">
        <f>INDEX(Raw_Shipments!L487:L2915,MATCH(A487,Raw_Shipments!B487:B2915))</f>
        <v>No</v>
      </c>
    </row>
    <row r="488" spans="1:12" x14ac:dyDescent="0.3">
      <c r="A488" s="2" t="s">
        <v>637</v>
      </c>
      <c r="B488" s="3">
        <v>45733</v>
      </c>
      <c r="C488" s="2" t="s">
        <v>227</v>
      </c>
      <c r="D488" s="2" t="s">
        <v>30</v>
      </c>
      <c r="E488" s="2" t="s">
        <v>15</v>
      </c>
      <c r="F488" s="2" t="s">
        <v>16</v>
      </c>
      <c r="G488" s="2" t="s">
        <v>17</v>
      </c>
      <c r="H488" s="2">
        <v>14</v>
      </c>
      <c r="I488" s="4">
        <v>183.06</v>
      </c>
      <c r="J488" s="3">
        <v>45736</v>
      </c>
      <c r="K488">
        <f t="shared" si="7"/>
        <v>2562.84</v>
      </c>
      <c r="L488" t="str">
        <f>INDEX(Raw_Shipments!L488:L2916,MATCH(A488,Raw_Shipments!B488:B2916))</f>
        <v>No</v>
      </c>
    </row>
    <row r="489" spans="1:12" x14ac:dyDescent="0.3">
      <c r="A489" s="5" t="s">
        <v>638</v>
      </c>
      <c r="B489" s="6">
        <v>45733</v>
      </c>
      <c r="C489" s="5" t="s">
        <v>510</v>
      </c>
      <c r="D489" s="5" t="s">
        <v>30</v>
      </c>
      <c r="E489" s="5" t="s">
        <v>36</v>
      </c>
      <c r="F489" s="5" t="s">
        <v>37</v>
      </c>
      <c r="G489" s="5" t="s">
        <v>33</v>
      </c>
      <c r="H489" s="5">
        <v>29</v>
      </c>
      <c r="I489" s="7">
        <v>1064.79</v>
      </c>
      <c r="J489" s="6">
        <v>45740</v>
      </c>
      <c r="K489">
        <f t="shared" si="7"/>
        <v>30878.91</v>
      </c>
      <c r="L489" t="str">
        <f>INDEX(Raw_Shipments!L489:L2917,MATCH(A489,Raw_Shipments!B489:B2917))</f>
        <v>Yes</v>
      </c>
    </row>
    <row r="490" spans="1:12" x14ac:dyDescent="0.3">
      <c r="A490" s="2" t="s">
        <v>639</v>
      </c>
      <c r="B490" s="3">
        <v>45734</v>
      </c>
      <c r="C490" s="2" t="s">
        <v>456</v>
      </c>
      <c r="D490" s="2" t="s">
        <v>14</v>
      </c>
      <c r="E490" s="2" t="s">
        <v>66</v>
      </c>
      <c r="F490" s="2" t="s">
        <v>67</v>
      </c>
      <c r="G490" s="2" t="s">
        <v>17</v>
      </c>
      <c r="H490" s="2">
        <v>14</v>
      </c>
      <c r="I490" s="4">
        <v>850.8</v>
      </c>
      <c r="J490" s="3">
        <v>45739</v>
      </c>
      <c r="K490">
        <f t="shared" si="7"/>
        <v>11911.199999999999</v>
      </c>
      <c r="L490" t="str">
        <f>INDEX(Raw_Shipments!L490:L2918,MATCH(A490,Raw_Shipments!B490:B2918))</f>
        <v>No</v>
      </c>
    </row>
    <row r="491" spans="1:12" x14ac:dyDescent="0.3">
      <c r="A491" s="5" t="s">
        <v>640</v>
      </c>
      <c r="B491" s="6">
        <v>45734</v>
      </c>
      <c r="C491" s="5" t="s">
        <v>510</v>
      </c>
      <c r="D491" s="5" t="s">
        <v>30</v>
      </c>
      <c r="E491" s="5" t="s">
        <v>97</v>
      </c>
      <c r="F491" s="5" t="s">
        <v>98</v>
      </c>
      <c r="G491" s="5" t="s">
        <v>17</v>
      </c>
      <c r="H491" s="5">
        <v>21</v>
      </c>
      <c r="I491" s="7">
        <v>1110.6500000000001</v>
      </c>
      <c r="J491" s="6">
        <v>45743</v>
      </c>
      <c r="K491">
        <f t="shared" si="7"/>
        <v>23323.65</v>
      </c>
      <c r="L491" t="str">
        <f>INDEX(Raw_Shipments!L491:L2919,MATCH(A491,Raw_Shipments!B491:B2919))</f>
        <v>Yes</v>
      </c>
    </row>
    <row r="492" spans="1:12" x14ac:dyDescent="0.3">
      <c r="A492" s="2" t="s">
        <v>641</v>
      </c>
      <c r="B492" s="3">
        <v>45734</v>
      </c>
      <c r="C492" s="2" t="s">
        <v>185</v>
      </c>
      <c r="D492" s="2" t="s">
        <v>45</v>
      </c>
      <c r="E492" s="2" t="s">
        <v>15</v>
      </c>
      <c r="F492" s="2" t="s">
        <v>16</v>
      </c>
      <c r="G492" s="2" t="s">
        <v>17</v>
      </c>
      <c r="H492" s="2">
        <v>15</v>
      </c>
      <c r="I492" s="4">
        <v>183.06</v>
      </c>
      <c r="J492" s="3">
        <v>45741</v>
      </c>
      <c r="K492">
        <f t="shared" si="7"/>
        <v>2745.9</v>
      </c>
      <c r="L492" t="str">
        <f>INDEX(Raw_Shipments!L492:L2920,MATCH(A492,Raw_Shipments!B492:B2920))</f>
        <v>Yes</v>
      </c>
    </row>
    <row r="493" spans="1:12" x14ac:dyDescent="0.3">
      <c r="A493" s="5" t="s">
        <v>642</v>
      </c>
      <c r="B493" s="6">
        <v>45734</v>
      </c>
      <c r="C493" s="5" t="s">
        <v>217</v>
      </c>
      <c r="D493" s="5" t="s">
        <v>25</v>
      </c>
      <c r="E493" s="5" t="s">
        <v>20</v>
      </c>
      <c r="F493" s="5" t="s">
        <v>21</v>
      </c>
      <c r="G493" s="5" t="s">
        <v>22</v>
      </c>
      <c r="H493" s="5">
        <v>11</v>
      </c>
      <c r="I493" s="7">
        <v>2108.56</v>
      </c>
      <c r="J493" s="6">
        <v>45743</v>
      </c>
      <c r="K493">
        <f t="shared" si="7"/>
        <v>23194.16</v>
      </c>
      <c r="L493" t="str">
        <f>INDEX(Raw_Shipments!L493:L2921,MATCH(A493,Raw_Shipments!B493:B2921))</f>
        <v>No</v>
      </c>
    </row>
    <row r="494" spans="1:12" x14ac:dyDescent="0.3">
      <c r="A494" s="2" t="s">
        <v>643</v>
      </c>
      <c r="B494" s="3">
        <v>45734</v>
      </c>
      <c r="C494" s="2" t="s">
        <v>100</v>
      </c>
      <c r="D494" s="2" t="s">
        <v>30</v>
      </c>
      <c r="E494" s="2" t="s">
        <v>36</v>
      </c>
      <c r="F494" s="2" t="s">
        <v>37</v>
      </c>
      <c r="G494" s="2" t="s">
        <v>33</v>
      </c>
      <c r="H494" s="2">
        <v>33</v>
      </c>
      <c r="I494" s="4">
        <v>1064.79</v>
      </c>
      <c r="J494" s="3">
        <v>45743</v>
      </c>
      <c r="K494">
        <f t="shared" si="7"/>
        <v>35138.07</v>
      </c>
      <c r="L494" t="str">
        <f>INDEX(Raw_Shipments!L494:L2922,MATCH(A494,Raw_Shipments!B494:B2922))</f>
        <v>Yes</v>
      </c>
    </row>
    <row r="495" spans="1:12" x14ac:dyDescent="0.3">
      <c r="A495" s="5" t="s">
        <v>644</v>
      </c>
      <c r="B495" s="6">
        <v>45734</v>
      </c>
      <c r="C495" s="5" t="s">
        <v>49</v>
      </c>
      <c r="D495" s="5" t="s">
        <v>45</v>
      </c>
      <c r="E495" s="5" t="s">
        <v>86</v>
      </c>
      <c r="F495" s="5" t="s">
        <v>87</v>
      </c>
      <c r="G495" s="5" t="s">
        <v>33</v>
      </c>
      <c r="H495" s="5">
        <v>14</v>
      </c>
      <c r="I495" s="7">
        <v>815.88</v>
      </c>
      <c r="J495" s="6">
        <v>45738</v>
      </c>
      <c r="K495">
        <f t="shared" si="7"/>
        <v>11422.32</v>
      </c>
      <c r="L495" t="str">
        <f>INDEX(Raw_Shipments!L495:L2923,MATCH(A495,Raw_Shipments!B495:B2923))</f>
        <v>No</v>
      </c>
    </row>
    <row r="496" spans="1:12" x14ac:dyDescent="0.3">
      <c r="A496" s="2" t="s">
        <v>645</v>
      </c>
      <c r="B496" s="3">
        <v>45735</v>
      </c>
      <c r="C496" s="2" t="s">
        <v>24</v>
      </c>
      <c r="D496" s="2" t="s">
        <v>14</v>
      </c>
      <c r="E496" s="2" t="s">
        <v>58</v>
      </c>
      <c r="F496" s="2" t="s">
        <v>59</v>
      </c>
      <c r="G496" s="2" t="s">
        <v>55</v>
      </c>
      <c r="H496" s="2">
        <v>13</v>
      </c>
      <c r="I496" s="4">
        <v>1695.1</v>
      </c>
      <c r="J496" s="3">
        <v>45745</v>
      </c>
      <c r="K496">
        <f t="shared" si="7"/>
        <v>22036.3</v>
      </c>
      <c r="L496" t="str">
        <f>INDEX(Raw_Shipments!L496:L2924,MATCH(A496,Raw_Shipments!B496:B2924))</f>
        <v>No</v>
      </c>
    </row>
    <row r="497" spans="1:12" x14ac:dyDescent="0.3">
      <c r="A497" s="5" t="s">
        <v>646</v>
      </c>
      <c r="B497" s="6">
        <v>45735</v>
      </c>
      <c r="C497" s="5" t="s">
        <v>75</v>
      </c>
      <c r="D497" s="5" t="s">
        <v>30</v>
      </c>
      <c r="E497" s="5" t="s">
        <v>62</v>
      </c>
      <c r="F497" s="5" t="s">
        <v>63</v>
      </c>
      <c r="G497" s="5" t="s">
        <v>55</v>
      </c>
      <c r="H497" s="5">
        <v>22</v>
      </c>
      <c r="I497" s="7">
        <v>2555.2199999999998</v>
      </c>
      <c r="J497" s="6">
        <v>45740</v>
      </c>
      <c r="K497">
        <f t="shared" si="7"/>
        <v>56214.84</v>
      </c>
      <c r="L497" t="str">
        <f>INDEX(Raw_Shipments!L497:L2925,MATCH(A497,Raw_Shipments!B497:B2925))</f>
        <v>No</v>
      </c>
    </row>
    <row r="498" spans="1:12" x14ac:dyDescent="0.3">
      <c r="A498" s="2" t="s">
        <v>647</v>
      </c>
      <c r="B498" s="3">
        <v>45735</v>
      </c>
      <c r="C498" s="2" t="s">
        <v>141</v>
      </c>
      <c r="D498" s="2" t="s">
        <v>30</v>
      </c>
      <c r="E498" s="2" t="s">
        <v>66</v>
      </c>
      <c r="F498" s="2" t="s">
        <v>67</v>
      </c>
      <c r="G498" s="2" t="s">
        <v>17</v>
      </c>
      <c r="H498" s="2">
        <v>17</v>
      </c>
      <c r="I498" s="4">
        <v>850.8</v>
      </c>
      <c r="J498" s="3">
        <v>45741</v>
      </c>
      <c r="K498">
        <f t="shared" si="7"/>
        <v>14463.599999999999</v>
      </c>
      <c r="L498" t="str">
        <f>INDEX(Raw_Shipments!L498:L2926,MATCH(A498,Raw_Shipments!B498:B2926))</f>
        <v>No</v>
      </c>
    </row>
    <row r="499" spans="1:12" x14ac:dyDescent="0.3">
      <c r="A499" s="5" t="s">
        <v>648</v>
      </c>
      <c r="B499" s="6">
        <v>45735</v>
      </c>
      <c r="C499" s="5" t="s">
        <v>318</v>
      </c>
      <c r="D499" s="5" t="s">
        <v>25</v>
      </c>
      <c r="E499" s="5" t="s">
        <v>20</v>
      </c>
      <c r="F499" s="5" t="s">
        <v>21</v>
      </c>
      <c r="G499" s="5" t="s">
        <v>22</v>
      </c>
      <c r="H499" s="5">
        <v>11</v>
      </c>
      <c r="I499" s="7">
        <v>2108.56</v>
      </c>
      <c r="J499" s="6">
        <v>45742</v>
      </c>
      <c r="K499">
        <f t="shared" si="7"/>
        <v>23194.16</v>
      </c>
      <c r="L499" t="str">
        <f>INDEX(Raw_Shipments!L499:L2927,MATCH(A499,Raw_Shipments!B499:B2927))</f>
        <v>No</v>
      </c>
    </row>
    <row r="500" spans="1:12" x14ac:dyDescent="0.3">
      <c r="A500" s="2" t="s">
        <v>649</v>
      </c>
      <c r="B500" s="3">
        <v>45735</v>
      </c>
      <c r="C500" s="2" t="s">
        <v>203</v>
      </c>
      <c r="D500" s="2" t="s">
        <v>30</v>
      </c>
      <c r="E500" s="2" t="s">
        <v>86</v>
      </c>
      <c r="F500" s="2" t="s">
        <v>87</v>
      </c>
      <c r="G500" s="2" t="s">
        <v>33</v>
      </c>
      <c r="H500" s="2">
        <v>21</v>
      </c>
      <c r="I500" s="4">
        <v>815.88</v>
      </c>
      <c r="J500" s="3">
        <v>45743</v>
      </c>
      <c r="K500">
        <f t="shared" si="7"/>
        <v>17133.48</v>
      </c>
      <c r="L500" t="str">
        <f>INDEX(Raw_Shipments!L500:L2928,MATCH(A500,Raw_Shipments!B500:B2928))</f>
        <v>No</v>
      </c>
    </row>
    <row r="501" spans="1:12" x14ac:dyDescent="0.3">
      <c r="A501" s="5" t="s">
        <v>650</v>
      </c>
      <c r="B501" s="6">
        <v>45735</v>
      </c>
      <c r="C501" s="5" t="s">
        <v>456</v>
      </c>
      <c r="D501" s="5" t="s">
        <v>30</v>
      </c>
      <c r="E501" s="5" t="s">
        <v>46</v>
      </c>
      <c r="F501" s="5" t="s">
        <v>47</v>
      </c>
      <c r="G501" s="5" t="s">
        <v>42</v>
      </c>
      <c r="H501" s="5">
        <v>9</v>
      </c>
      <c r="I501" s="7">
        <v>1833.14</v>
      </c>
      <c r="J501" s="6">
        <v>45745</v>
      </c>
      <c r="K501">
        <f t="shared" si="7"/>
        <v>16498.260000000002</v>
      </c>
      <c r="L501" t="str">
        <f>INDEX(Raw_Shipments!L501:L2929,MATCH(A501,Raw_Shipments!B501:B2929))</f>
        <v>No</v>
      </c>
    </row>
    <row r="502" spans="1:12" x14ac:dyDescent="0.3">
      <c r="A502" s="2" t="s">
        <v>651</v>
      </c>
      <c r="B502" s="3">
        <v>45736</v>
      </c>
      <c r="C502" s="2" t="s">
        <v>139</v>
      </c>
      <c r="D502" s="2" t="s">
        <v>45</v>
      </c>
      <c r="E502" s="2" t="s">
        <v>97</v>
      </c>
      <c r="F502" s="2" t="s">
        <v>98</v>
      </c>
      <c r="G502" s="2" t="s">
        <v>17</v>
      </c>
      <c r="H502" s="2">
        <v>23</v>
      </c>
      <c r="I502" s="4">
        <v>1110.6500000000001</v>
      </c>
      <c r="J502" s="3">
        <v>45741</v>
      </c>
      <c r="K502">
        <f t="shared" si="7"/>
        <v>25544.95</v>
      </c>
      <c r="L502" t="str">
        <f>INDEX(Raw_Shipments!L502:L2930,MATCH(A502,Raw_Shipments!B502:B2930))</f>
        <v>No</v>
      </c>
    </row>
    <row r="503" spans="1:12" x14ac:dyDescent="0.3">
      <c r="A503" s="5" t="s">
        <v>652</v>
      </c>
      <c r="B503" s="6">
        <v>45736</v>
      </c>
      <c r="C503" s="5" t="s">
        <v>71</v>
      </c>
      <c r="D503" s="5" t="s">
        <v>14</v>
      </c>
      <c r="E503" s="5" t="s">
        <v>15</v>
      </c>
      <c r="F503" s="5" t="s">
        <v>16</v>
      </c>
      <c r="G503" s="5" t="s">
        <v>17</v>
      </c>
      <c r="H503" s="5">
        <v>19</v>
      </c>
      <c r="I503" s="7">
        <v>183.06</v>
      </c>
      <c r="J503" s="6">
        <v>45742</v>
      </c>
      <c r="K503">
        <f t="shared" si="7"/>
        <v>3478.14</v>
      </c>
      <c r="L503" t="str">
        <f>INDEX(Raw_Shipments!L503:L2931,MATCH(A503,Raw_Shipments!B503:B2931))</f>
        <v>No</v>
      </c>
    </row>
    <row r="504" spans="1:12" x14ac:dyDescent="0.3">
      <c r="A504" s="2" t="s">
        <v>653</v>
      </c>
      <c r="B504" s="3">
        <v>45736</v>
      </c>
      <c r="C504" s="2" t="s">
        <v>29</v>
      </c>
      <c r="D504" s="2" t="s">
        <v>25</v>
      </c>
      <c r="E504" s="2" t="s">
        <v>20</v>
      </c>
      <c r="F504" s="2" t="s">
        <v>21</v>
      </c>
      <c r="G504" s="2" t="s">
        <v>22</v>
      </c>
      <c r="H504" s="2">
        <v>18</v>
      </c>
      <c r="I504" s="4">
        <v>2108.56</v>
      </c>
      <c r="J504" s="3">
        <v>45742</v>
      </c>
      <c r="K504">
        <f t="shared" si="7"/>
        <v>37954.080000000002</v>
      </c>
      <c r="L504" t="str">
        <f>INDEX(Raw_Shipments!L504:L2932,MATCH(A504,Raw_Shipments!B504:B2932))</f>
        <v>Yes</v>
      </c>
    </row>
    <row r="505" spans="1:12" x14ac:dyDescent="0.3">
      <c r="A505" s="5" t="s">
        <v>654</v>
      </c>
      <c r="B505" s="6">
        <v>45736</v>
      </c>
      <c r="C505" s="5" t="s">
        <v>262</v>
      </c>
      <c r="D505" s="5" t="s">
        <v>25</v>
      </c>
      <c r="E505" s="5" t="s">
        <v>36</v>
      </c>
      <c r="F505" s="5" t="s">
        <v>37</v>
      </c>
      <c r="G505" s="5" t="s">
        <v>33</v>
      </c>
      <c r="H505" s="5">
        <v>42</v>
      </c>
      <c r="I505" s="7">
        <v>1064.79</v>
      </c>
      <c r="J505" s="6">
        <v>45739</v>
      </c>
      <c r="K505">
        <f t="shared" si="7"/>
        <v>44721.18</v>
      </c>
      <c r="L505" t="str">
        <f>INDEX(Raw_Shipments!L505:L2933,MATCH(A505,Raw_Shipments!B505:B2933))</f>
        <v>No</v>
      </c>
    </row>
    <row r="506" spans="1:12" x14ac:dyDescent="0.3">
      <c r="A506" s="2" t="s">
        <v>655</v>
      </c>
      <c r="B506" s="3">
        <v>45736</v>
      </c>
      <c r="C506" s="2" t="s">
        <v>208</v>
      </c>
      <c r="D506" s="2" t="s">
        <v>14</v>
      </c>
      <c r="E506" s="2" t="s">
        <v>40</v>
      </c>
      <c r="F506" s="2" t="s">
        <v>41</v>
      </c>
      <c r="G506" s="2" t="s">
        <v>42</v>
      </c>
      <c r="H506" s="2">
        <v>35</v>
      </c>
      <c r="I506" s="4">
        <v>2445.11</v>
      </c>
      <c r="J506" s="3">
        <v>45744</v>
      </c>
      <c r="K506">
        <f t="shared" si="7"/>
        <v>85578.85</v>
      </c>
      <c r="L506" t="str">
        <f>INDEX(Raw_Shipments!L506:L2934,MATCH(A506,Raw_Shipments!B506:B2934))</f>
        <v>No</v>
      </c>
    </row>
    <row r="507" spans="1:12" x14ac:dyDescent="0.3">
      <c r="A507" s="5" t="s">
        <v>656</v>
      </c>
      <c r="B507" s="6">
        <v>45736</v>
      </c>
      <c r="C507" s="5" t="s">
        <v>69</v>
      </c>
      <c r="D507" s="5" t="s">
        <v>45</v>
      </c>
      <c r="E507" s="5" t="s">
        <v>50</v>
      </c>
      <c r="F507" s="5" t="s">
        <v>51</v>
      </c>
      <c r="G507" s="5" t="s">
        <v>42</v>
      </c>
      <c r="H507" s="5">
        <v>8</v>
      </c>
      <c r="I507" s="7">
        <v>1952.28</v>
      </c>
      <c r="J507" s="6">
        <v>45740</v>
      </c>
      <c r="K507">
        <f t="shared" si="7"/>
        <v>15618.24</v>
      </c>
      <c r="L507" t="str">
        <f>INDEX(Raw_Shipments!L507:L2935,MATCH(A507,Raw_Shipments!B507:B2935))</f>
        <v>No</v>
      </c>
    </row>
    <row r="508" spans="1:12" x14ac:dyDescent="0.3">
      <c r="A508" s="2" t="s">
        <v>657</v>
      </c>
      <c r="B508" s="3">
        <v>45737</v>
      </c>
      <c r="C508" s="2" t="s">
        <v>248</v>
      </c>
      <c r="D508" s="2" t="s">
        <v>14</v>
      </c>
      <c r="E508" s="2" t="s">
        <v>53</v>
      </c>
      <c r="F508" s="2" t="s">
        <v>54</v>
      </c>
      <c r="G508" s="2" t="s">
        <v>55</v>
      </c>
      <c r="H508" s="2">
        <v>41</v>
      </c>
      <c r="I508" s="4">
        <v>2055.9</v>
      </c>
      <c r="J508" s="3">
        <v>45743</v>
      </c>
      <c r="K508">
        <f t="shared" si="7"/>
        <v>84291.900000000009</v>
      </c>
      <c r="L508" t="str">
        <f>INDEX(Raw_Shipments!L508:L2936,MATCH(A508,Raw_Shipments!B508:B2936))</f>
        <v>No</v>
      </c>
    </row>
    <row r="509" spans="1:12" x14ac:dyDescent="0.3">
      <c r="A509" s="5" t="s">
        <v>658</v>
      </c>
      <c r="B509" s="6">
        <v>45737</v>
      </c>
      <c r="C509" s="5" t="s">
        <v>418</v>
      </c>
      <c r="D509" s="5" t="s">
        <v>45</v>
      </c>
      <c r="E509" s="5" t="s">
        <v>62</v>
      </c>
      <c r="F509" s="5" t="s">
        <v>63</v>
      </c>
      <c r="G509" s="5" t="s">
        <v>55</v>
      </c>
      <c r="H509" s="5">
        <v>49</v>
      </c>
      <c r="I509" s="7">
        <v>2555.2199999999998</v>
      </c>
      <c r="J509" s="6">
        <v>45746</v>
      </c>
      <c r="K509">
        <f t="shared" si="7"/>
        <v>125205.77999999998</v>
      </c>
      <c r="L509" t="str">
        <f>INDEX(Raw_Shipments!L509:L2937,MATCH(A509,Raw_Shipments!B509:B2937))</f>
        <v>No</v>
      </c>
    </row>
    <row r="510" spans="1:12" x14ac:dyDescent="0.3">
      <c r="A510" s="2" t="s">
        <v>659</v>
      </c>
      <c r="B510" s="3">
        <v>45737</v>
      </c>
      <c r="C510" s="2" t="s">
        <v>93</v>
      </c>
      <c r="D510" s="2" t="s">
        <v>25</v>
      </c>
      <c r="E510" s="2" t="s">
        <v>119</v>
      </c>
      <c r="F510" s="2" t="s">
        <v>120</v>
      </c>
      <c r="G510" s="2" t="s">
        <v>22</v>
      </c>
      <c r="H510" s="2">
        <v>52</v>
      </c>
      <c r="I510" s="4">
        <v>912.26</v>
      </c>
      <c r="J510" s="3">
        <v>45743</v>
      </c>
      <c r="K510">
        <f t="shared" si="7"/>
        <v>47437.52</v>
      </c>
      <c r="L510" t="str">
        <f>INDEX(Raw_Shipments!L510:L2938,MATCH(A510,Raw_Shipments!B510:B2938))</f>
        <v>Yes</v>
      </c>
    </row>
    <row r="511" spans="1:12" x14ac:dyDescent="0.3">
      <c r="A511" s="5" t="s">
        <v>660</v>
      </c>
      <c r="B511" s="6">
        <v>45737</v>
      </c>
      <c r="C511" s="5" t="s">
        <v>208</v>
      </c>
      <c r="D511" s="5" t="s">
        <v>30</v>
      </c>
      <c r="E511" s="5" t="s">
        <v>36</v>
      </c>
      <c r="F511" s="5" t="s">
        <v>37</v>
      </c>
      <c r="G511" s="5" t="s">
        <v>33</v>
      </c>
      <c r="H511" s="5">
        <v>60</v>
      </c>
      <c r="I511" s="7">
        <v>1064.79</v>
      </c>
      <c r="J511" s="6">
        <v>45746</v>
      </c>
      <c r="K511">
        <f t="shared" si="7"/>
        <v>63887.399999999994</v>
      </c>
      <c r="L511" t="str">
        <f>INDEX(Raw_Shipments!L511:L2939,MATCH(A511,Raw_Shipments!B511:B2939))</f>
        <v>Yes</v>
      </c>
    </row>
    <row r="512" spans="1:12" x14ac:dyDescent="0.3">
      <c r="A512" s="2" t="s">
        <v>661</v>
      </c>
      <c r="B512" s="3">
        <v>45737</v>
      </c>
      <c r="C512" s="2" t="s">
        <v>504</v>
      </c>
      <c r="D512" s="2" t="s">
        <v>45</v>
      </c>
      <c r="E512" s="2" t="s">
        <v>86</v>
      </c>
      <c r="F512" s="2" t="s">
        <v>87</v>
      </c>
      <c r="G512" s="2" t="s">
        <v>33</v>
      </c>
      <c r="H512" s="2">
        <v>13</v>
      </c>
      <c r="I512" s="4">
        <v>815.88</v>
      </c>
      <c r="J512" s="3">
        <v>45746</v>
      </c>
      <c r="K512">
        <f t="shared" si="7"/>
        <v>10606.44</v>
      </c>
      <c r="L512" t="str">
        <f>INDEX(Raw_Shipments!L512:L2940,MATCH(A512,Raw_Shipments!B512:B2940))</f>
        <v>Yes</v>
      </c>
    </row>
    <row r="513" spans="1:12" x14ac:dyDescent="0.3">
      <c r="A513" s="5" t="s">
        <v>662</v>
      </c>
      <c r="B513" s="6">
        <v>45737</v>
      </c>
      <c r="C513" s="5" t="s">
        <v>178</v>
      </c>
      <c r="D513" s="5" t="s">
        <v>25</v>
      </c>
      <c r="E513" s="5" t="s">
        <v>40</v>
      </c>
      <c r="F513" s="5" t="s">
        <v>41</v>
      </c>
      <c r="G513" s="5" t="s">
        <v>42</v>
      </c>
      <c r="H513" s="5">
        <v>28</v>
      </c>
      <c r="I513" s="7">
        <v>2445.11</v>
      </c>
      <c r="J513" s="6">
        <v>45745</v>
      </c>
      <c r="K513">
        <f t="shared" si="7"/>
        <v>68463.08</v>
      </c>
      <c r="L513" t="str">
        <f>INDEX(Raw_Shipments!L513:L2941,MATCH(A513,Raw_Shipments!B513:B2941))</f>
        <v>No</v>
      </c>
    </row>
    <row r="514" spans="1:12" x14ac:dyDescent="0.3">
      <c r="A514" s="2" t="s">
        <v>663</v>
      </c>
      <c r="B514" s="3">
        <v>45737</v>
      </c>
      <c r="C514" s="2" t="s">
        <v>144</v>
      </c>
      <c r="D514" s="2" t="s">
        <v>25</v>
      </c>
      <c r="E514" s="2" t="s">
        <v>46</v>
      </c>
      <c r="F514" s="2" t="s">
        <v>47</v>
      </c>
      <c r="G514" s="2" t="s">
        <v>42</v>
      </c>
      <c r="H514" s="2">
        <v>7</v>
      </c>
      <c r="I514" s="4">
        <v>1833.14</v>
      </c>
      <c r="J514" s="3">
        <v>45744</v>
      </c>
      <c r="K514">
        <f t="shared" si="7"/>
        <v>12831.980000000001</v>
      </c>
      <c r="L514" t="str">
        <f>INDEX(Raw_Shipments!L514:L2942,MATCH(A514,Raw_Shipments!B514:B2942))</f>
        <v>No</v>
      </c>
    </row>
    <row r="515" spans="1:12" x14ac:dyDescent="0.3">
      <c r="A515" s="5" t="s">
        <v>664</v>
      </c>
      <c r="B515" s="6">
        <v>45738</v>
      </c>
      <c r="C515" s="5" t="s">
        <v>213</v>
      </c>
      <c r="D515" s="5" t="s">
        <v>14</v>
      </c>
      <c r="E515" s="5" t="s">
        <v>53</v>
      </c>
      <c r="F515" s="5" t="s">
        <v>54</v>
      </c>
      <c r="G515" s="5" t="s">
        <v>55</v>
      </c>
      <c r="H515" s="5">
        <v>36</v>
      </c>
      <c r="I515" s="7">
        <v>2055.9</v>
      </c>
      <c r="J515" s="6">
        <v>45745</v>
      </c>
      <c r="K515">
        <f t="shared" ref="K515:K578" si="8">I515*H515</f>
        <v>74012.400000000009</v>
      </c>
      <c r="L515" t="str">
        <f>INDEX(Raw_Shipments!L515:L2943,MATCH(A515,Raw_Shipments!B515:B2943))</f>
        <v>No</v>
      </c>
    </row>
    <row r="516" spans="1:12" x14ac:dyDescent="0.3">
      <c r="A516" s="2" t="s">
        <v>665</v>
      </c>
      <c r="B516" s="3">
        <v>45738</v>
      </c>
      <c r="C516" s="2" t="s">
        <v>39</v>
      </c>
      <c r="D516" s="2" t="s">
        <v>25</v>
      </c>
      <c r="E516" s="2" t="s">
        <v>62</v>
      </c>
      <c r="F516" s="2" t="s">
        <v>63</v>
      </c>
      <c r="G516" s="2" t="s">
        <v>55</v>
      </c>
      <c r="H516" s="2">
        <v>58</v>
      </c>
      <c r="I516" s="4">
        <v>2555.2199999999998</v>
      </c>
      <c r="J516" s="3">
        <v>45747</v>
      </c>
      <c r="K516">
        <f t="shared" si="8"/>
        <v>148202.75999999998</v>
      </c>
      <c r="L516" t="str">
        <f>INDEX(Raw_Shipments!L516:L2944,MATCH(A516,Raw_Shipments!B516:B2944))</f>
        <v>No</v>
      </c>
    </row>
    <row r="517" spans="1:12" x14ac:dyDescent="0.3">
      <c r="A517" s="5" t="s">
        <v>666</v>
      </c>
      <c r="B517" s="6">
        <v>45738</v>
      </c>
      <c r="C517" s="5" t="s">
        <v>115</v>
      </c>
      <c r="D517" s="5" t="s">
        <v>30</v>
      </c>
      <c r="E517" s="5" t="s">
        <v>119</v>
      </c>
      <c r="F517" s="5" t="s">
        <v>120</v>
      </c>
      <c r="G517" s="5" t="s">
        <v>22</v>
      </c>
      <c r="H517" s="5">
        <v>50</v>
      </c>
      <c r="I517" s="7">
        <v>912.26</v>
      </c>
      <c r="J517" s="6">
        <v>45747</v>
      </c>
      <c r="K517">
        <f t="shared" si="8"/>
        <v>45613</v>
      </c>
      <c r="L517" t="str">
        <f>INDEX(Raw_Shipments!L517:L2945,MATCH(A517,Raw_Shipments!B517:B2945))</f>
        <v>No</v>
      </c>
    </row>
    <row r="518" spans="1:12" x14ac:dyDescent="0.3">
      <c r="A518" s="2" t="s">
        <v>667</v>
      </c>
      <c r="B518" s="3">
        <v>45738</v>
      </c>
      <c r="C518" s="2" t="s">
        <v>109</v>
      </c>
      <c r="D518" s="2" t="s">
        <v>25</v>
      </c>
      <c r="E518" s="2" t="s">
        <v>40</v>
      </c>
      <c r="F518" s="2" t="s">
        <v>41</v>
      </c>
      <c r="G518" s="2" t="s">
        <v>42</v>
      </c>
      <c r="H518" s="2">
        <v>22</v>
      </c>
      <c r="I518" s="4">
        <v>2445.11</v>
      </c>
      <c r="J518" s="3">
        <v>45748</v>
      </c>
      <c r="K518">
        <f t="shared" si="8"/>
        <v>53792.420000000006</v>
      </c>
      <c r="L518" t="str">
        <f>INDEX(Raw_Shipments!L518:L2946,MATCH(A518,Raw_Shipments!B518:B2946))</f>
        <v>No</v>
      </c>
    </row>
    <row r="519" spans="1:12" x14ac:dyDescent="0.3">
      <c r="A519" s="5" t="s">
        <v>668</v>
      </c>
      <c r="B519" s="6">
        <v>45739</v>
      </c>
      <c r="C519" s="5" t="s">
        <v>220</v>
      </c>
      <c r="D519" s="5" t="s">
        <v>14</v>
      </c>
      <c r="E519" s="5" t="s">
        <v>62</v>
      </c>
      <c r="F519" s="5" t="s">
        <v>63</v>
      </c>
      <c r="G519" s="5" t="s">
        <v>55</v>
      </c>
      <c r="H519" s="5">
        <v>17</v>
      </c>
      <c r="I519" s="7">
        <v>2555.2199999999998</v>
      </c>
      <c r="J519" s="6">
        <v>45743</v>
      </c>
      <c r="K519">
        <f t="shared" si="8"/>
        <v>43438.74</v>
      </c>
      <c r="L519" t="str">
        <f>INDEX(Raw_Shipments!L519:L2947,MATCH(A519,Raw_Shipments!B519:B2947))</f>
        <v>No</v>
      </c>
    </row>
    <row r="520" spans="1:12" x14ac:dyDescent="0.3">
      <c r="A520" s="2" t="s">
        <v>669</v>
      </c>
      <c r="B520" s="3">
        <v>45739</v>
      </c>
      <c r="C520" s="2" t="s">
        <v>146</v>
      </c>
      <c r="D520" s="2" t="s">
        <v>25</v>
      </c>
      <c r="E520" s="2" t="s">
        <v>36</v>
      </c>
      <c r="F520" s="2" t="s">
        <v>37</v>
      </c>
      <c r="G520" s="2" t="s">
        <v>33</v>
      </c>
      <c r="H520" s="2">
        <v>43</v>
      </c>
      <c r="I520" s="4">
        <v>1064.79</v>
      </c>
      <c r="J520" s="3">
        <v>45748</v>
      </c>
      <c r="K520">
        <f t="shared" si="8"/>
        <v>45785.97</v>
      </c>
      <c r="L520" t="str">
        <f>INDEX(Raw_Shipments!L520:L2948,MATCH(A520,Raw_Shipments!B520:B2948))</f>
        <v>Yes</v>
      </c>
    </row>
    <row r="521" spans="1:12" x14ac:dyDescent="0.3">
      <c r="A521" s="5" t="s">
        <v>670</v>
      </c>
      <c r="B521" s="6">
        <v>45739</v>
      </c>
      <c r="C521" s="5" t="s">
        <v>156</v>
      </c>
      <c r="D521" s="5" t="s">
        <v>45</v>
      </c>
      <c r="E521" s="5" t="s">
        <v>86</v>
      </c>
      <c r="F521" s="5" t="s">
        <v>87</v>
      </c>
      <c r="G521" s="5" t="s">
        <v>33</v>
      </c>
      <c r="H521" s="5">
        <v>44</v>
      </c>
      <c r="I521" s="7">
        <v>815.88</v>
      </c>
      <c r="J521" s="6">
        <v>45746</v>
      </c>
      <c r="K521">
        <f t="shared" si="8"/>
        <v>35898.720000000001</v>
      </c>
      <c r="L521" t="str">
        <f>INDEX(Raw_Shipments!L521:L2949,MATCH(A521,Raw_Shipments!B521:B2949))</f>
        <v>Yes</v>
      </c>
    </row>
    <row r="522" spans="1:12" x14ac:dyDescent="0.3">
      <c r="A522" s="2" t="s">
        <v>671</v>
      </c>
      <c r="B522" s="3">
        <v>45740</v>
      </c>
      <c r="C522" s="2" t="s">
        <v>304</v>
      </c>
      <c r="D522" s="2" t="s">
        <v>25</v>
      </c>
      <c r="E522" s="2" t="s">
        <v>58</v>
      </c>
      <c r="F522" s="2" t="s">
        <v>59</v>
      </c>
      <c r="G522" s="2" t="s">
        <v>55</v>
      </c>
      <c r="H522" s="2">
        <v>22</v>
      </c>
      <c r="I522" s="4">
        <v>1695.1</v>
      </c>
      <c r="J522" s="3">
        <v>45749</v>
      </c>
      <c r="K522">
        <f t="shared" si="8"/>
        <v>37292.199999999997</v>
      </c>
      <c r="L522" t="str">
        <f>INDEX(Raw_Shipments!L522:L2950,MATCH(A522,Raw_Shipments!B522:B2950))</f>
        <v>Yes</v>
      </c>
    </row>
    <row r="523" spans="1:12" x14ac:dyDescent="0.3">
      <c r="A523" s="5" t="s">
        <v>672</v>
      </c>
      <c r="B523" s="6">
        <v>45740</v>
      </c>
      <c r="C523" s="5" t="s">
        <v>158</v>
      </c>
      <c r="D523" s="5" t="s">
        <v>14</v>
      </c>
      <c r="E523" s="5" t="s">
        <v>62</v>
      </c>
      <c r="F523" s="5" t="s">
        <v>63</v>
      </c>
      <c r="G523" s="5" t="s">
        <v>55</v>
      </c>
      <c r="H523" s="5">
        <v>26</v>
      </c>
      <c r="I523" s="7">
        <v>2555.2199999999998</v>
      </c>
      <c r="J523" s="6">
        <v>45745</v>
      </c>
      <c r="K523">
        <f t="shared" si="8"/>
        <v>66435.72</v>
      </c>
      <c r="L523" t="str">
        <f>INDEX(Raw_Shipments!L523:L2951,MATCH(A523,Raw_Shipments!B523:B2951))</f>
        <v>No</v>
      </c>
    </row>
    <row r="524" spans="1:12" x14ac:dyDescent="0.3">
      <c r="A524" s="2" t="s">
        <v>673</v>
      </c>
      <c r="B524" s="3">
        <v>45740</v>
      </c>
      <c r="C524" s="2" t="s">
        <v>135</v>
      </c>
      <c r="D524" s="2" t="s">
        <v>25</v>
      </c>
      <c r="E524" s="2" t="s">
        <v>66</v>
      </c>
      <c r="F524" s="2" t="s">
        <v>67</v>
      </c>
      <c r="G524" s="2" t="s">
        <v>17</v>
      </c>
      <c r="H524" s="2">
        <v>24</v>
      </c>
      <c r="I524" s="4">
        <v>850.8</v>
      </c>
      <c r="J524" s="3">
        <v>45750</v>
      </c>
      <c r="K524">
        <f t="shared" si="8"/>
        <v>20419.199999999997</v>
      </c>
      <c r="L524" t="str">
        <f>INDEX(Raw_Shipments!L524:L2952,MATCH(A524,Raw_Shipments!B524:B2952))</f>
        <v>Yes</v>
      </c>
    </row>
    <row r="525" spans="1:12" x14ac:dyDescent="0.3">
      <c r="A525" s="5" t="s">
        <v>674</v>
      </c>
      <c r="B525" s="6">
        <v>45740</v>
      </c>
      <c r="C525" s="5" t="s">
        <v>527</v>
      </c>
      <c r="D525" s="5" t="s">
        <v>25</v>
      </c>
      <c r="E525" s="5" t="s">
        <v>15</v>
      </c>
      <c r="F525" s="5" t="s">
        <v>16</v>
      </c>
      <c r="G525" s="5" t="s">
        <v>17</v>
      </c>
      <c r="H525" s="5">
        <v>13</v>
      </c>
      <c r="I525" s="7">
        <v>183.06</v>
      </c>
      <c r="J525" s="6">
        <v>45744</v>
      </c>
      <c r="K525">
        <f t="shared" si="8"/>
        <v>2379.7800000000002</v>
      </c>
      <c r="L525" t="str">
        <f>INDEX(Raw_Shipments!L525:L2953,MATCH(A525,Raw_Shipments!B525:B2953))</f>
        <v>No</v>
      </c>
    </row>
    <row r="526" spans="1:12" x14ac:dyDescent="0.3">
      <c r="A526" s="2" t="s">
        <v>675</v>
      </c>
      <c r="B526" s="3">
        <v>45740</v>
      </c>
      <c r="C526" s="2" t="s">
        <v>131</v>
      </c>
      <c r="D526" s="2" t="s">
        <v>14</v>
      </c>
      <c r="E526" s="2" t="s">
        <v>119</v>
      </c>
      <c r="F526" s="2" t="s">
        <v>120</v>
      </c>
      <c r="G526" s="2" t="s">
        <v>22</v>
      </c>
      <c r="H526" s="2">
        <v>39</v>
      </c>
      <c r="I526" s="4">
        <v>912.26</v>
      </c>
      <c r="J526" s="3">
        <v>45747</v>
      </c>
      <c r="K526">
        <f t="shared" si="8"/>
        <v>35578.14</v>
      </c>
      <c r="L526" t="str">
        <f>INDEX(Raw_Shipments!L526:L2954,MATCH(A526,Raw_Shipments!B526:B2954))</f>
        <v>No</v>
      </c>
    </row>
    <row r="527" spans="1:12" x14ac:dyDescent="0.3">
      <c r="A527" s="5" t="s">
        <v>676</v>
      </c>
      <c r="B527" s="6">
        <v>45740</v>
      </c>
      <c r="C527" s="5" t="s">
        <v>268</v>
      </c>
      <c r="D527" s="5" t="s">
        <v>30</v>
      </c>
      <c r="E527" s="5" t="s">
        <v>31</v>
      </c>
      <c r="F527" s="5" t="s">
        <v>32</v>
      </c>
      <c r="G527" s="5" t="s">
        <v>33</v>
      </c>
      <c r="H527" s="5">
        <v>37</v>
      </c>
      <c r="I527" s="7">
        <v>689</v>
      </c>
      <c r="J527" s="6">
        <v>45744</v>
      </c>
      <c r="K527">
        <f t="shared" si="8"/>
        <v>25493</v>
      </c>
      <c r="L527" t="str">
        <f>INDEX(Raw_Shipments!L527:L2955,MATCH(A527,Raw_Shipments!B527:B2955))</f>
        <v>No</v>
      </c>
    </row>
    <row r="528" spans="1:12" x14ac:dyDescent="0.3">
      <c r="A528" s="2" t="s">
        <v>677</v>
      </c>
      <c r="B528" s="3">
        <v>45740</v>
      </c>
      <c r="C528" s="2" t="s">
        <v>152</v>
      </c>
      <c r="D528" s="2" t="s">
        <v>14</v>
      </c>
      <c r="E528" s="2" t="s">
        <v>86</v>
      </c>
      <c r="F528" s="2" t="s">
        <v>87</v>
      </c>
      <c r="G528" s="2" t="s">
        <v>33</v>
      </c>
      <c r="H528" s="2">
        <v>35</v>
      </c>
      <c r="I528" s="4">
        <v>815.88</v>
      </c>
      <c r="J528" s="3">
        <v>45743</v>
      </c>
      <c r="K528">
        <f t="shared" si="8"/>
        <v>28555.8</v>
      </c>
      <c r="L528" t="str">
        <f>INDEX(Raw_Shipments!L528:L2956,MATCH(A528,Raw_Shipments!B528:B2956))</f>
        <v>No</v>
      </c>
    </row>
    <row r="529" spans="1:12" x14ac:dyDescent="0.3">
      <c r="A529" s="5" t="s">
        <v>678</v>
      </c>
      <c r="B529" s="6">
        <v>45741</v>
      </c>
      <c r="C529" s="5" t="s">
        <v>447</v>
      </c>
      <c r="D529" s="5" t="s">
        <v>14</v>
      </c>
      <c r="E529" s="5" t="s">
        <v>62</v>
      </c>
      <c r="F529" s="5" t="s">
        <v>63</v>
      </c>
      <c r="G529" s="5" t="s">
        <v>55</v>
      </c>
      <c r="H529" s="5">
        <v>33</v>
      </c>
      <c r="I529" s="7">
        <v>2555.2199999999998</v>
      </c>
      <c r="J529" s="6">
        <v>45744</v>
      </c>
      <c r="K529">
        <f t="shared" si="8"/>
        <v>84322.26</v>
      </c>
      <c r="L529" t="str">
        <f>INDEX(Raw_Shipments!L529:L2957,MATCH(A529,Raw_Shipments!B529:B2957))</f>
        <v>No</v>
      </c>
    </row>
    <row r="530" spans="1:12" x14ac:dyDescent="0.3">
      <c r="A530" s="2" t="s">
        <v>679</v>
      </c>
      <c r="B530" s="3">
        <v>45741</v>
      </c>
      <c r="C530" s="2" t="s">
        <v>227</v>
      </c>
      <c r="D530" s="2" t="s">
        <v>25</v>
      </c>
      <c r="E530" s="2" t="s">
        <v>66</v>
      </c>
      <c r="F530" s="2" t="s">
        <v>67</v>
      </c>
      <c r="G530" s="2" t="s">
        <v>17</v>
      </c>
      <c r="H530" s="2">
        <v>17</v>
      </c>
      <c r="I530" s="4">
        <v>850.8</v>
      </c>
      <c r="J530" s="3">
        <v>45745</v>
      </c>
      <c r="K530">
        <f t="shared" si="8"/>
        <v>14463.599999999999</v>
      </c>
      <c r="L530" t="str">
        <f>INDEX(Raw_Shipments!L530:L2958,MATCH(A530,Raw_Shipments!B530:B2958))</f>
        <v>No</v>
      </c>
    </row>
    <row r="531" spans="1:12" x14ac:dyDescent="0.3">
      <c r="A531" s="5" t="s">
        <v>680</v>
      </c>
      <c r="B531" s="6">
        <v>45741</v>
      </c>
      <c r="C531" s="5" t="s">
        <v>451</v>
      </c>
      <c r="D531" s="5" t="s">
        <v>25</v>
      </c>
      <c r="E531" s="5" t="s">
        <v>97</v>
      </c>
      <c r="F531" s="5" t="s">
        <v>98</v>
      </c>
      <c r="G531" s="5" t="s">
        <v>17</v>
      </c>
      <c r="H531" s="5">
        <v>21</v>
      </c>
      <c r="I531" s="7">
        <v>1110.6500000000001</v>
      </c>
      <c r="J531" s="6">
        <v>45744</v>
      </c>
      <c r="K531">
        <f t="shared" si="8"/>
        <v>23323.65</v>
      </c>
      <c r="L531" t="str">
        <f>INDEX(Raw_Shipments!L531:L2959,MATCH(A531,Raw_Shipments!B531:B2959))</f>
        <v>No</v>
      </c>
    </row>
    <row r="532" spans="1:12" x14ac:dyDescent="0.3">
      <c r="A532" s="2" t="s">
        <v>681</v>
      </c>
      <c r="B532" s="3">
        <v>45741</v>
      </c>
      <c r="C532" s="2" t="s">
        <v>183</v>
      </c>
      <c r="D532" s="2" t="s">
        <v>14</v>
      </c>
      <c r="E532" s="2" t="s">
        <v>26</v>
      </c>
      <c r="F532" s="2" t="s">
        <v>27</v>
      </c>
      <c r="G532" s="2" t="s">
        <v>22</v>
      </c>
      <c r="H532" s="2">
        <v>18</v>
      </c>
      <c r="I532" s="4">
        <v>1646.8</v>
      </c>
      <c r="J532" s="3">
        <v>45751</v>
      </c>
      <c r="K532">
        <f t="shared" si="8"/>
        <v>29642.399999999998</v>
      </c>
      <c r="L532" t="str">
        <f>INDEX(Raw_Shipments!L532:L2960,MATCH(A532,Raw_Shipments!B532:B2960))</f>
        <v>Yes</v>
      </c>
    </row>
    <row r="533" spans="1:12" x14ac:dyDescent="0.3">
      <c r="A533" s="5" t="s">
        <v>682</v>
      </c>
      <c r="B533" s="6">
        <v>45741</v>
      </c>
      <c r="C533" s="5" t="s">
        <v>19</v>
      </c>
      <c r="D533" s="5" t="s">
        <v>14</v>
      </c>
      <c r="E533" s="5" t="s">
        <v>31</v>
      </c>
      <c r="F533" s="5" t="s">
        <v>32</v>
      </c>
      <c r="G533" s="5" t="s">
        <v>33</v>
      </c>
      <c r="H533" s="5">
        <v>31</v>
      </c>
      <c r="I533" s="7">
        <v>689</v>
      </c>
      <c r="J533" s="6">
        <v>45750</v>
      </c>
      <c r="K533">
        <f t="shared" si="8"/>
        <v>21359</v>
      </c>
      <c r="L533" t="str">
        <f>INDEX(Raw_Shipments!L533:L2961,MATCH(A533,Raw_Shipments!B533:B2961))</f>
        <v>Yes</v>
      </c>
    </row>
    <row r="534" spans="1:12" x14ac:dyDescent="0.3">
      <c r="A534" s="2" t="s">
        <v>683</v>
      </c>
      <c r="B534" s="3">
        <v>45741</v>
      </c>
      <c r="C534" s="2" t="s">
        <v>282</v>
      </c>
      <c r="D534" s="2" t="s">
        <v>14</v>
      </c>
      <c r="E534" s="2" t="s">
        <v>36</v>
      </c>
      <c r="F534" s="2" t="s">
        <v>37</v>
      </c>
      <c r="G534" s="2" t="s">
        <v>33</v>
      </c>
      <c r="H534" s="2">
        <v>47</v>
      </c>
      <c r="I534" s="4">
        <v>1064.79</v>
      </c>
      <c r="J534" s="3">
        <v>45744</v>
      </c>
      <c r="K534">
        <f t="shared" si="8"/>
        <v>50045.13</v>
      </c>
      <c r="L534" t="str">
        <f>INDEX(Raw_Shipments!L534:L2962,MATCH(A534,Raw_Shipments!B534:B2962))</f>
        <v>No</v>
      </c>
    </row>
    <row r="535" spans="1:12" x14ac:dyDescent="0.3">
      <c r="A535" s="5" t="s">
        <v>684</v>
      </c>
      <c r="B535" s="6">
        <v>45741</v>
      </c>
      <c r="C535" s="5" t="s">
        <v>111</v>
      </c>
      <c r="D535" s="5" t="s">
        <v>25</v>
      </c>
      <c r="E535" s="5" t="s">
        <v>86</v>
      </c>
      <c r="F535" s="5" t="s">
        <v>87</v>
      </c>
      <c r="G535" s="5" t="s">
        <v>33</v>
      </c>
      <c r="H535" s="5">
        <v>25</v>
      </c>
      <c r="I535" s="7">
        <v>815.88</v>
      </c>
      <c r="J535" s="6">
        <v>45744</v>
      </c>
      <c r="K535">
        <f t="shared" si="8"/>
        <v>20397</v>
      </c>
      <c r="L535" t="str">
        <f>INDEX(Raw_Shipments!L535:L2963,MATCH(A535,Raw_Shipments!B535:B2963))</f>
        <v>No</v>
      </c>
    </row>
    <row r="536" spans="1:12" x14ac:dyDescent="0.3">
      <c r="A536" s="2" t="s">
        <v>685</v>
      </c>
      <c r="B536" s="3">
        <v>45742</v>
      </c>
      <c r="C536" s="2" t="s">
        <v>363</v>
      </c>
      <c r="D536" s="2" t="s">
        <v>45</v>
      </c>
      <c r="E536" s="2" t="s">
        <v>53</v>
      </c>
      <c r="F536" s="2" t="s">
        <v>54</v>
      </c>
      <c r="G536" s="2" t="s">
        <v>55</v>
      </c>
      <c r="H536" s="2">
        <v>50</v>
      </c>
      <c r="I536" s="4">
        <v>2055.9</v>
      </c>
      <c r="J536" s="3">
        <v>45745</v>
      </c>
      <c r="K536">
        <f t="shared" si="8"/>
        <v>102795</v>
      </c>
      <c r="L536" t="str">
        <f>INDEX(Raw_Shipments!L536:L2964,MATCH(A536,Raw_Shipments!B536:B2964))</f>
        <v>No</v>
      </c>
    </row>
    <row r="537" spans="1:12" x14ac:dyDescent="0.3">
      <c r="A537" s="5" t="s">
        <v>686</v>
      </c>
      <c r="B537" s="6">
        <v>45742</v>
      </c>
      <c r="C537" s="5" t="s">
        <v>13</v>
      </c>
      <c r="D537" s="5" t="s">
        <v>25</v>
      </c>
      <c r="E537" s="5" t="s">
        <v>58</v>
      </c>
      <c r="F537" s="5" t="s">
        <v>59</v>
      </c>
      <c r="G537" s="5" t="s">
        <v>55</v>
      </c>
      <c r="H537" s="5">
        <v>24</v>
      </c>
      <c r="I537" s="7">
        <v>1695.1</v>
      </c>
      <c r="J537" s="6">
        <v>45751</v>
      </c>
      <c r="K537">
        <f t="shared" si="8"/>
        <v>40682.399999999994</v>
      </c>
      <c r="L537" t="str">
        <f>INDEX(Raw_Shipments!L537:L2965,MATCH(A537,Raw_Shipments!B537:B2965))</f>
        <v>Yes</v>
      </c>
    </row>
    <row r="538" spans="1:12" x14ac:dyDescent="0.3">
      <c r="A538" s="2" t="s">
        <v>687</v>
      </c>
      <c r="B538" s="3">
        <v>45742</v>
      </c>
      <c r="C538" s="2" t="s">
        <v>260</v>
      </c>
      <c r="D538" s="2" t="s">
        <v>45</v>
      </c>
      <c r="E538" s="2" t="s">
        <v>66</v>
      </c>
      <c r="F538" s="2" t="s">
        <v>67</v>
      </c>
      <c r="G538" s="2" t="s">
        <v>17</v>
      </c>
      <c r="H538" s="2">
        <v>11</v>
      </c>
      <c r="I538" s="4">
        <v>850.8</v>
      </c>
      <c r="J538" s="3">
        <v>45749</v>
      </c>
      <c r="K538">
        <f t="shared" si="8"/>
        <v>9358.7999999999993</v>
      </c>
      <c r="L538" t="str">
        <f>INDEX(Raw_Shipments!L538:L2966,MATCH(A538,Raw_Shipments!B538:B2966))</f>
        <v>Yes</v>
      </c>
    </row>
    <row r="539" spans="1:12" x14ac:dyDescent="0.3">
      <c r="A539" s="5" t="s">
        <v>688</v>
      </c>
      <c r="B539" s="6">
        <v>45742</v>
      </c>
      <c r="C539" s="5" t="s">
        <v>260</v>
      </c>
      <c r="D539" s="5" t="s">
        <v>45</v>
      </c>
      <c r="E539" s="5" t="s">
        <v>15</v>
      </c>
      <c r="F539" s="5" t="s">
        <v>16</v>
      </c>
      <c r="G539" s="5" t="s">
        <v>17</v>
      </c>
      <c r="H539" s="5">
        <v>7</v>
      </c>
      <c r="I539" s="7">
        <v>183.06</v>
      </c>
      <c r="J539" s="6">
        <v>45747</v>
      </c>
      <c r="K539">
        <f t="shared" si="8"/>
        <v>1281.42</v>
      </c>
      <c r="L539" t="str">
        <f>INDEX(Raw_Shipments!L539:L2967,MATCH(A539,Raw_Shipments!B539:B2967))</f>
        <v>No</v>
      </c>
    </row>
    <row r="540" spans="1:12" x14ac:dyDescent="0.3">
      <c r="A540" s="2" t="s">
        <v>689</v>
      </c>
      <c r="B540" s="3">
        <v>45742</v>
      </c>
      <c r="C540" s="2" t="s">
        <v>139</v>
      </c>
      <c r="D540" s="2" t="s">
        <v>25</v>
      </c>
      <c r="E540" s="2" t="s">
        <v>26</v>
      </c>
      <c r="F540" s="2" t="s">
        <v>27</v>
      </c>
      <c r="G540" s="2" t="s">
        <v>22</v>
      </c>
      <c r="H540" s="2">
        <v>21</v>
      </c>
      <c r="I540" s="4">
        <v>1646.8</v>
      </c>
      <c r="J540" s="3">
        <v>45748</v>
      </c>
      <c r="K540">
        <f t="shared" si="8"/>
        <v>34582.799999999996</v>
      </c>
      <c r="L540" t="str">
        <f>INDEX(Raw_Shipments!L540:L2968,MATCH(A540,Raw_Shipments!B540:B2968))</f>
        <v>Yes</v>
      </c>
    </row>
    <row r="541" spans="1:12" x14ac:dyDescent="0.3">
      <c r="A541" s="5" t="s">
        <v>690</v>
      </c>
      <c r="B541" s="6">
        <v>45742</v>
      </c>
      <c r="C541" s="5" t="s">
        <v>238</v>
      </c>
      <c r="D541" s="5" t="s">
        <v>14</v>
      </c>
      <c r="E541" s="5" t="s">
        <v>86</v>
      </c>
      <c r="F541" s="5" t="s">
        <v>87</v>
      </c>
      <c r="G541" s="5" t="s">
        <v>33</v>
      </c>
      <c r="H541" s="5">
        <v>16</v>
      </c>
      <c r="I541" s="7">
        <v>815.88</v>
      </c>
      <c r="J541" s="6">
        <v>45751</v>
      </c>
      <c r="K541">
        <f t="shared" si="8"/>
        <v>13054.08</v>
      </c>
      <c r="L541" t="str">
        <f>INDEX(Raw_Shipments!L541:L2969,MATCH(A541,Raw_Shipments!B541:B2969))</f>
        <v>No</v>
      </c>
    </row>
    <row r="542" spans="1:12" x14ac:dyDescent="0.3">
      <c r="A542" s="2" t="s">
        <v>691</v>
      </c>
      <c r="B542" s="3">
        <v>45742</v>
      </c>
      <c r="C542" s="2" t="s">
        <v>146</v>
      </c>
      <c r="D542" s="2" t="s">
        <v>14</v>
      </c>
      <c r="E542" s="2" t="s">
        <v>40</v>
      </c>
      <c r="F542" s="2" t="s">
        <v>41</v>
      </c>
      <c r="G542" s="2" t="s">
        <v>42</v>
      </c>
      <c r="H542" s="2">
        <v>19</v>
      </c>
      <c r="I542" s="4">
        <v>2445.11</v>
      </c>
      <c r="J542" s="3">
        <v>45752</v>
      </c>
      <c r="K542">
        <f t="shared" si="8"/>
        <v>46457.090000000004</v>
      </c>
      <c r="L542" t="str">
        <f>INDEX(Raw_Shipments!L542:L2970,MATCH(A542,Raw_Shipments!B542:B2970))</f>
        <v>No</v>
      </c>
    </row>
    <row r="543" spans="1:12" x14ac:dyDescent="0.3">
      <c r="A543" s="5" t="s">
        <v>692</v>
      </c>
      <c r="B543" s="6">
        <v>45742</v>
      </c>
      <c r="C543" s="5" t="s">
        <v>100</v>
      </c>
      <c r="D543" s="5" t="s">
        <v>30</v>
      </c>
      <c r="E543" s="5" t="s">
        <v>46</v>
      </c>
      <c r="F543" s="5" t="s">
        <v>47</v>
      </c>
      <c r="G543" s="5" t="s">
        <v>42</v>
      </c>
      <c r="H543" s="5">
        <v>6</v>
      </c>
      <c r="I543" s="7">
        <v>1833.14</v>
      </c>
      <c r="J543" s="6">
        <v>45746</v>
      </c>
      <c r="K543">
        <f t="shared" si="8"/>
        <v>10998.84</v>
      </c>
      <c r="L543" t="str">
        <f>INDEX(Raw_Shipments!L543:L2971,MATCH(A543,Raw_Shipments!B543:B2971))</f>
        <v>No</v>
      </c>
    </row>
    <row r="544" spans="1:12" x14ac:dyDescent="0.3">
      <c r="A544" s="2" t="s">
        <v>693</v>
      </c>
      <c r="B544" s="3">
        <v>45742</v>
      </c>
      <c r="C544" s="2" t="s">
        <v>93</v>
      </c>
      <c r="D544" s="2" t="s">
        <v>14</v>
      </c>
      <c r="E544" s="2" t="s">
        <v>50</v>
      </c>
      <c r="F544" s="2" t="s">
        <v>51</v>
      </c>
      <c r="G544" s="2" t="s">
        <v>42</v>
      </c>
      <c r="H544" s="2">
        <v>12</v>
      </c>
      <c r="I544" s="4">
        <v>1952.28</v>
      </c>
      <c r="J544" s="3">
        <v>45746</v>
      </c>
      <c r="K544">
        <f t="shared" si="8"/>
        <v>23427.360000000001</v>
      </c>
      <c r="L544" t="str">
        <f>INDEX(Raw_Shipments!L544:L2972,MATCH(A544,Raw_Shipments!B544:B2972))</f>
        <v>No</v>
      </c>
    </row>
    <row r="545" spans="1:12" x14ac:dyDescent="0.3">
      <c r="A545" s="5" t="s">
        <v>694</v>
      </c>
      <c r="B545" s="6">
        <v>45743</v>
      </c>
      <c r="C545" s="5" t="s">
        <v>229</v>
      </c>
      <c r="D545" s="5" t="s">
        <v>14</v>
      </c>
      <c r="E545" s="5" t="s">
        <v>62</v>
      </c>
      <c r="F545" s="5" t="s">
        <v>63</v>
      </c>
      <c r="G545" s="5" t="s">
        <v>55</v>
      </c>
      <c r="H545" s="5">
        <v>43</v>
      </c>
      <c r="I545" s="7">
        <v>2555.2199999999998</v>
      </c>
      <c r="J545" s="6">
        <v>45746</v>
      </c>
      <c r="K545">
        <f t="shared" si="8"/>
        <v>109874.45999999999</v>
      </c>
      <c r="L545" t="str">
        <f>INDEX(Raw_Shipments!L545:L2973,MATCH(A545,Raw_Shipments!B545:B2973))</f>
        <v>No</v>
      </c>
    </row>
    <row r="546" spans="1:12" x14ac:dyDescent="0.3">
      <c r="A546" s="2" t="s">
        <v>695</v>
      </c>
      <c r="B546" s="3">
        <v>45743</v>
      </c>
      <c r="C546" s="2" t="s">
        <v>229</v>
      </c>
      <c r="D546" s="2" t="s">
        <v>45</v>
      </c>
      <c r="E546" s="2" t="s">
        <v>15</v>
      </c>
      <c r="F546" s="2" t="s">
        <v>16</v>
      </c>
      <c r="G546" s="2" t="s">
        <v>17</v>
      </c>
      <c r="H546" s="2">
        <v>11</v>
      </c>
      <c r="I546" s="4">
        <v>183.06</v>
      </c>
      <c r="J546" s="3">
        <v>45747</v>
      </c>
      <c r="K546">
        <f t="shared" si="8"/>
        <v>2013.66</v>
      </c>
      <c r="L546" t="str">
        <f>INDEX(Raw_Shipments!L546:L2974,MATCH(A546,Raw_Shipments!B546:B2974))</f>
        <v>No</v>
      </c>
    </row>
    <row r="547" spans="1:12" x14ac:dyDescent="0.3">
      <c r="A547" s="5" t="s">
        <v>696</v>
      </c>
      <c r="B547" s="6">
        <v>45743</v>
      </c>
      <c r="C547" s="5" t="s">
        <v>39</v>
      </c>
      <c r="D547" s="5" t="s">
        <v>14</v>
      </c>
      <c r="E547" s="5" t="s">
        <v>20</v>
      </c>
      <c r="F547" s="5" t="s">
        <v>21</v>
      </c>
      <c r="G547" s="5" t="s">
        <v>22</v>
      </c>
      <c r="H547" s="5">
        <v>9</v>
      </c>
      <c r="I547" s="7">
        <v>2108.56</v>
      </c>
      <c r="J547" s="6">
        <v>45748</v>
      </c>
      <c r="K547">
        <f t="shared" si="8"/>
        <v>18977.04</v>
      </c>
      <c r="L547" t="str">
        <f>INDEX(Raw_Shipments!L547:L2975,MATCH(A547,Raw_Shipments!B547:B2975))</f>
        <v>No</v>
      </c>
    </row>
    <row r="548" spans="1:12" x14ac:dyDescent="0.3">
      <c r="A548" s="2" t="s">
        <v>697</v>
      </c>
      <c r="B548" s="3">
        <v>45743</v>
      </c>
      <c r="C548" s="2" t="s">
        <v>272</v>
      </c>
      <c r="D548" s="2" t="s">
        <v>45</v>
      </c>
      <c r="E548" s="2" t="s">
        <v>119</v>
      </c>
      <c r="F548" s="2" t="s">
        <v>120</v>
      </c>
      <c r="G548" s="2" t="s">
        <v>22</v>
      </c>
      <c r="H548" s="2">
        <v>67</v>
      </c>
      <c r="I548" s="4">
        <v>912.26</v>
      </c>
      <c r="J548" s="3">
        <v>45750</v>
      </c>
      <c r="K548">
        <f t="shared" si="8"/>
        <v>61121.42</v>
      </c>
      <c r="L548" t="str">
        <f>INDEX(Raw_Shipments!L548:L2976,MATCH(A548,Raw_Shipments!B548:B2976))</f>
        <v>No</v>
      </c>
    </row>
    <row r="549" spans="1:12" x14ac:dyDescent="0.3">
      <c r="A549" s="5" t="s">
        <v>698</v>
      </c>
      <c r="B549" s="6">
        <v>45743</v>
      </c>
      <c r="C549" s="5" t="s">
        <v>420</v>
      </c>
      <c r="D549" s="5" t="s">
        <v>45</v>
      </c>
      <c r="E549" s="5" t="s">
        <v>26</v>
      </c>
      <c r="F549" s="5" t="s">
        <v>27</v>
      </c>
      <c r="G549" s="5" t="s">
        <v>22</v>
      </c>
      <c r="H549" s="5">
        <v>9</v>
      </c>
      <c r="I549" s="7">
        <v>1646.8</v>
      </c>
      <c r="J549" s="6">
        <v>45751</v>
      </c>
      <c r="K549">
        <f t="shared" si="8"/>
        <v>14821.199999999999</v>
      </c>
      <c r="L549" t="str">
        <f>INDEX(Raw_Shipments!L549:L2977,MATCH(A549,Raw_Shipments!B549:B2977))</f>
        <v>No</v>
      </c>
    </row>
    <row r="550" spans="1:12" x14ac:dyDescent="0.3">
      <c r="A550" s="2" t="s">
        <v>699</v>
      </c>
      <c r="B550" s="3">
        <v>45743</v>
      </c>
      <c r="C550" s="2" t="s">
        <v>363</v>
      </c>
      <c r="D550" s="2" t="s">
        <v>30</v>
      </c>
      <c r="E550" s="2" t="s">
        <v>31</v>
      </c>
      <c r="F550" s="2" t="s">
        <v>32</v>
      </c>
      <c r="G550" s="2" t="s">
        <v>33</v>
      </c>
      <c r="H550" s="2">
        <v>48</v>
      </c>
      <c r="I550" s="4">
        <v>689</v>
      </c>
      <c r="J550" s="3">
        <v>45752</v>
      </c>
      <c r="K550">
        <f t="shared" si="8"/>
        <v>33072</v>
      </c>
      <c r="L550" t="str">
        <f>INDEX(Raw_Shipments!L550:L2978,MATCH(A550,Raw_Shipments!B550:B2978))</f>
        <v>Yes</v>
      </c>
    </row>
    <row r="551" spans="1:12" x14ac:dyDescent="0.3">
      <c r="A551" s="5" t="s">
        <v>700</v>
      </c>
      <c r="B551" s="6">
        <v>45743</v>
      </c>
      <c r="C551" s="5" t="s">
        <v>96</v>
      </c>
      <c r="D551" s="5" t="s">
        <v>45</v>
      </c>
      <c r="E551" s="5" t="s">
        <v>46</v>
      </c>
      <c r="F551" s="5" t="s">
        <v>47</v>
      </c>
      <c r="G551" s="5" t="s">
        <v>42</v>
      </c>
      <c r="H551" s="5">
        <v>6</v>
      </c>
      <c r="I551" s="7">
        <v>1833.14</v>
      </c>
      <c r="J551" s="6">
        <v>45746</v>
      </c>
      <c r="K551">
        <f t="shared" si="8"/>
        <v>10998.84</v>
      </c>
      <c r="L551" t="str">
        <f>INDEX(Raw_Shipments!L551:L2979,MATCH(A551,Raw_Shipments!B551:B2979))</f>
        <v>No</v>
      </c>
    </row>
    <row r="552" spans="1:12" x14ac:dyDescent="0.3">
      <c r="A552" s="2" t="s">
        <v>701</v>
      </c>
      <c r="B552" s="3">
        <v>45743</v>
      </c>
      <c r="C552" s="2" t="s">
        <v>420</v>
      </c>
      <c r="D552" s="2" t="s">
        <v>30</v>
      </c>
      <c r="E552" s="2" t="s">
        <v>50</v>
      </c>
      <c r="F552" s="2" t="s">
        <v>51</v>
      </c>
      <c r="G552" s="2" t="s">
        <v>42</v>
      </c>
      <c r="H552" s="2">
        <v>4</v>
      </c>
      <c r="I552" s="4">
        <v>1952.28</v>
      </c>
      <c r="J552" s="3">
        <v>45753</v>
      </c>
      <c r="K552">
        <f t="shared" si="8"/>
        <v>7809.12</v>
      </c>
      <c r="L552" t="str">
        <f>INDEX(Raw_Shipments!L552:L2980,MATCH(A552,Raw_Shipments!B552:B2980))</f>
        <v>No</v>
      </c>
    </row>
    <row r="553" spans="1:12" x14ac:dyDescent="0.3">
      <c r="A553" s="5" t="s">
        <v>702</v>
      </c>
      <c r="B553" s="6">
        <v>45744</v>
      </c>
      <c r="C553" s="5" t="s">
        <v>77</v>
      </c>
      <c r="D553" s="5" t="s">
        <v>25</v>
      </c>
      <c r="E553" s="5" t="s">
        <v>31</v>
      </c>
      <c r="F553" s="5" t="s">
        <v>32</v>
      </c>
      <c r="G553" s="5" t="s">
        <v>33</v>
      </c>
      <c r="H553" s="5">
        <v>25</v>
      </c>
      <c r="I553" s="7">
        <v>689</v>
      </c>
      <c r="J553" s="6">
        <v>45748</v>
      </c>
      <c r="K553">
        <f t="shared" si="8"/>
        <v>17225</v>
      </c>
      <c r="L553" t="str">
        <f>INDEX(Raw_Shipments!L553:L2981,MATCH(A553,Raw_Shipments!B553:B2981))</f>
        <v>No</v>
      </c>
    </row>
    <row r="554" spans="1:12" x14ac:dyDescent="0.3">
      <c r="A554" s="2" t="s">
        <v>703</v>
      </c>
      <c r="B554" s="3">
        <v>45744</v>
      </c>
      <c r="C554" s="2" t="s">
        <v>109</v>
      </c>
      <c r="D554" s="2" t="s">
        <v>25</v>
      </c>
      <c r="E554" s="2" t="s">
        <v>36</v>
      </c>
      <c r="F554" s="2" t="s">
        <v>37</v>
      </c>
      <c r="G554" s="2" t="s">
        <v>33</v>
      </c>
      <c r="H554" s="2">
        <v>49</v>
      </c>
      <c r="I554" s="4">
        <v>1064.79</v>
      </c>
      <c r="J554" s="3">
        <v>45750</v>
      </c>
      <c r="K554">
        <f t="shared" si="8"/>
        <v>52174.71</v>
      </c>
      <c r="L554" t="str">
        <f>INDEX(Raw_Shipments!L554:L2982,MATCH(A554,Raw_Shipments!B554:B2982))</f>
        <v>No</v>
      </c>
    </row>
    <row r="555" spans="1:12" x14ac:dyDescent="0.3">
      <c r="A555" s="5" t="s">
        <v>704</v>
      </c>
      <c r="B555" s="6">
        <v>45744</v>
      </c>
      <c r="C555" s="5" t="s">
        <v>65</v>
      </c>
      <c r="D555" s="5" t="s">
        <v>25</v>
      </c>
      <c r="E555" s="5" t="s">
        <v>50</v>
      </c>
      <c r="F555" s="5" t="s">
        <v>51</v>
      </c>
      <c r="G555" s="5" t="s">
        <v>42</v>
      </c>
      <c r="H555" s="5">
        <v>6</v>
      </c>
      <c r="I555" s="7">
        <v>1952.28</v>
      </c>
      <c r="J555" s="6">
        <v>45750</v>
      </c>
      <c r="K555">
        <f t="shared" si="8"/>
        <v>11713.68</v>
      </c>
      <c r="L555" t="str">
        <f>INDEX(Raw_Shipments!L555:L2983,MATCH(A555,Raw_Shipments!B555:B2983))</f>
        <v>No</v>
      </c>
    </row>
    <row r="556" spans="1:12" x14ac:dyDescent="0.3">
      <c r="A556" s="2" t="s">
        <v>705</v>
      </c>
      <c r="B556" s="3">
        <v>45745</v>
      </c>
      <c r="C556" s="2" t="s">
        <v>170</v>
      </c>
      <c r="D556" s="2" t="s">
        <v>14</v>
      </c>
      <c r="E556" s="2" t="s">
        <v>62</v>
      </c>
      <c r="F556" s="2" t="s">
        <v>63</v>
      </c>
      <c r="G556" s="2" t="s">
        <v>55</v>
      </c>
      <c r="H556" s="2">
        <v>47</v>
      </c>
      <c r="I556" s="4">
        <v>2555.2199999999998</v>
      </c>
      <c r="J556" s="3">
        <v>45748</v>
      </c>
      <c r="K556">
        <f t="shared" si="8"/>
        <v>120095.34</v>
      </c>
      <c r="L556" t="str">
        <f>INDEX(Raw_Shipments!L556:L2984,MATCH(A556,Raw_Shipments!B556:B2984))</f>
        <v>No</v>
      </c>
    </row>
    <row r="557" spans="1:12" x14ac:dyDescent="0.3">
      <c r="A557" s="5" t="s">
        <v>706</v>
      </c>
      <c r="B557" s="6">
        <v>45745</v>
      </c>
      <c r="C557" s="5" t="s">
        <v>128</v>
      </c>
      <c r="D557" s="5" t="s">
        <v>14</v>
      </c>
      <c r="E557" s="5" t="s">
        <v>20</v>
      </c>
      <c r="F557" s="5" t="s">
        <v>21</v>
      </c>
      <c r="G557" s="5" t="s">
        <v>22</v>
      </c>
      <c r="H557" s="5">
        <v>5</v>
      </c>
      <c r="I557" s="7">
        <v>2108.56</v>
      </c>
      <c r="J557" s="6">
        <v>45755</v>
      </c>
      <c r="K557">
        <f t="shared" si="8"/>
        <v>10542.8</v>
      </c>
      <c r="L557" t="str">
        <f>INDEX(Raw_Shipments!L557:L2985,MATCH(A557,Raw_Shipments!B557:B2985))</f>
        <v>No</v>
      </c>
    </row>
    <row r="558" spans="1:12" x14ac:dyDescent="0.3">
      <c r="A558" s="2" t="s">
        <v>707</v>
      </c>
      <c r="B558" s="3">
        <v>45745</v>
      </c>
      <c r="C558" s="2" t="s">
        <v>115</v>
      </c>
      <c r="D558" s="2" t="s">
        <v>14</v>
      </c>
      <c r="E558" s="2" t="s">
        <v>119</v>
      </c>
      <c r="F558" s="2" t="s">
        <v>120</v>
      </c>
      <c r="G558" s="2" t="s">
        <v>22</v>
      </c>
      <c r="H558" s="2">
        <v>37</v>
      </c>
      <c r="I558" s="4">
        <v>912.26</v>
      </c>
      <c r="J558" s="3">
        <v>45754</v>
      </c>
      <c r="K558">
        <f t="shared" si="8"/>
        <v>33753.620000000003</v>
      </c>
      <c r="L558" t="str">
        <f>INDEX(Raw_Shipments!L558:L2986,MATCH(A558,Raw_Shipments!B558:B2986))</f>
        <v>Yes</v>
      </c>
    </row>
    <row r="559" spans="1:12" x14ac:dyDescent="0.3">
      <c r="A559" s="5" t="s">
        <v>708</v>
      </c>
      <c r="B559" s="6">
        <v>45745</v>
      </c>
      <c r="C559" s="5" t="s">
        <v>191</v>
      </c>
      <c r="D559" s="5" t="s">
        <v>30</v>
      </c>
      <c r="E559" s="5" t="s">
        <v>26</v>
      </c>
      <c r="F559" s="5" t="s">
        <v>27</v>
      </c>
      <c r="G559" s="5" t="s">
        <v>22</v>
      </c>
      <c r="H559" s="5">
        <v>27</v>
      </c>
      <c r="I559" s="7">
        <v>1646.8</v>
      </c>
      <c r="J559" s="6">
        <v>45755</v>
      </c>
      <c r="K559">
        <f t="shared" si="8"/>
        <v>44463.6</v>
      </c>
      <c r="L559" t="str">
        <f>INDEX(Raw_Shipments!L559:L2987,MATCH(A559,Raw_Shipments!B559:B2987))</f>
        <v>No</v>
      </c>
    </row>
    <row r="560" spans="1:12" x14ac:dyDescent="0.3">
      <c r="A560" s="2" t="s">
        <v>709</v>
      </c>
      <c r="B560" s="3">
        <v>45745</v>
      </c>
      <c r="C560" s="2" t="s">
        <v>89</v>
      </c>
      <c r="D560" s="2" t="s">
        <v>45</v>
      </c>
      <c r="E560" s="2" t="s">
        <v>31</v>
      </c>
      <c r="F560" s="2" t="s">
        <v>32</v>
      </c>
      <c r="G560" s="2" t="s">
        <v>33</v>
      </c>
      <c r="H560" s="2">
        <v>26</v>
      </c>
      <c r="I560" s="4">
        <v>689</v>
      </c>
      <c r="J560" s="3">
        <v>45755</v>
      </c>
      <c r="K560">
        <f t="shared" si="8"/>
        <v>17914</v>
      </c>
      <c r="L560" t="str">
        <f>INDEX(Raw_Shipments!L560:L2988,MATCH(A560,Raw_Shipments!B560:B2988))</f>
        <v>No</v>
      </c>
    </row>
    <row r="561" spans="1:12" x14ac:dyDescent="0.3">
      <c r="A561" s="5" t="s">
        <v>710</v>
      </c>
      <c r="B561" s="6">
        <v>45745</v>
      </c>
      <c r="C561" s="5" t="s">
        <v>24</v>
      </c>
      <c r="D561" s="5" t="s">
        <v>45</v>
      </c>
      <c r="E561" s="5" t="s">
        <v>36</v>
      </c>
      <c r="F561" s="5" t="s">
        <v>37</v>
      </c>
      <c r="G561" s="5" t="s">
        <v>33</v>
      </c>
      <c r="H561" s="5">
        <v>38</v>
      </c>
      <c r="I561" s="7">
        <v>1064.79</v>
      </c>
      <c r="J561" s="6">
        <v>45754</v>
      </c>
      <c r="K561">
        <f t="shared" si="8"/>
        <v>40462.019999999997</v>
      </c>
      <c r="L561" t="str">
        <f>INDEX(Raw_Shipments!L561:L2989,MATCH(A561,Raw_Shipments!B561:B2989))</f>
        <v>No</v>
      </c>
    </row>
    <row r="562" spans="1:12" x14ac:dyDescent="0.3">
      <c r="A562" s="2" t="s">
        <v>711</v>
      </c>
      <c r="B562" s="3">
        <v>45746</v>
      </c>
      <c r="C562" s="2" t="s">
        <v>146</v>
      </c>
      <c r="D562" s="2" t="s">
        <v>30</v>
      </c>
      <c r="E562" s="2" t="s">
        <v>97</v>
      </c>
      <c r="F562" s="2" t="s">
        <v>98</v>
      </c>
      <c r="G562" s="2" t="s">
        <v>17</v>
      </c>
      <c r="H562" s="2">
        <v>35</v>
      </c>
      <c r="I562" s="4">
        <v>1110.6500000000001</v>
      </c>
      <c r="J562" s="3">
        <v>45756</v>
      </c>
      <c r="K562">
        <f t="shared" si="8"/>
        <v>38872.75</v>
      </c>
      <c r="L562" t="str">
        <f>INDEX(Raw_Shipments!L562:L2990,MATCH(A562,Raw_Shipments!B562:B2990))</f>
        <v>No</v>
      </c>
    </row>
    <row r="563" spans="1:12" x14ac:dyDescent="0.3">
      <c r="A563" s="5" t="s">
        <v>712</v>
      </c>
      <c r="B563" s="6">
        <v>45746</v>
      </c>
      <c r="C563" s="5" t="s">
        <v>100</v>
      </c>
      <c r="D563" s="5" t="s">
        <v>45</v>
      </c>
      <c r="E563" s="5" t="s">
        <v>20</v>
      </c>
      <c r="F563" s="5" t="s">
        <v>21</v>
      </c>
      <c r="G563" s="5" t="s">
        <v>22</v>
      </c>
      <c r="H563" s="5">
        <v>6</v>
      </c>
      <c r="I563" s="7">
        <v>2108.56</v>
      </c>
      <c r="J563" s="6">
        <v>45756</v>
      </c>
      <c r="K563">
        <f t="shared" si="8"/>
        <v>12651.36</v>
      </c>
      <c r="L563" t="str">
        <f>INDEX(Raw_Shipments!L563:L2991,MATCH(A563,Raw_Shipments!B563:B2991))</f>
        <v>No</v>
      </c>
    </row>
    <row r="564" spans="1:12" x14ac:dyDescent="0.3">
      <c r="A564" s="2" t="s">
        <v>713</v>
      </c>
      <c r="B564" s="3">
        <v>45746</v>
      </c>
      <c r="C564" s="2" t="s">
        <v>217</v>
      </c>
      <c r="D564" s="2" t="s">
        <v>25</v>
      </c>
      <c r="E564" s="2" t="s">
        <v>26</v>
      </c>
      <c r="F564" s="2" t="s">
        <v>27</v>
      </c>
      <c r="G564" s="2" t="s">
        <v>22</v>
      </c>
      <c r="H564" s="2">
        <v>12</v>
      </c>
      <c r="I564" s="4">
        <v>1646.8</v>
      </c>
      <c r="J564" s="3">
        <v>45753</v>
      </c>
      <c r="K564">
        <f t="shared" si="8"/>
        <v>19761.599999999999</v>
      </c>
      <c r="L564" t="str">
        <f>INDEX(Raw_Shipments!L564:L2992,MATCH(A564,Raw_Shipments!B564:B2992))</f>
        <v>No</v>
      </c>
    </row>
    <row r="565" spans="1:12" x14ac:dyDescent="0.3">
      <c r="A565" s="5" t="s">
        <v>714</v>
      </c>
      <c r="B565" s="6">
        <v>45746</v>
      </c>
      <c r="C565" s="5" t="s">
        <v>337</v>
      </c>
      <c r="D565" s="5" t="s">
        <v>14</v>
      </c>
      <c r="E565" s="5" t="s">
        <v>36</v>
      </c>
      <c r="F565" s="5" t="s">
        <v>37</v>
      </c>
      <c r="G565" s="5" t="s">
        <v>33</v>
      </c>
      <c r="H565" s="5">
        <v>59</v>
      </c>
      <c r="I565" s="7">
        <v>1064.79</v>
      </c>
      <c r="J565" s="6">
        <v>45751</v>
      </c>
      <c r="K565">
        <f t="shared" si="8"/>
        <v>62822.61</v>
      </c>
      <c r="L565" t="str">
        <f>INDEX(Raw_Shipments!L565:L2993,MATCH(A565,Raw_Shipments!B565:B2993))</f>
        <v>No</v>
      </c>
    </row>
    <row r="566" spans="1:12" x14ac:dyDescent="0.3">
      <c r="A566" s="2" t="s">
        <v>715</v>
      </c>
      <c r="B566" s="3">
        <v>45746</v>
      </c>
      <c r="C566" s="2" t="s">
        <v>166</v>
      </c>
      <c r="D566" s="2" t="s">
        <v>14</v>
      </c>
      <c r="E566" s="2" t="s">
        <v>46</v>
      </c>
      <c r="F566" s="2" t="s">
        <v>47</v>
      </c>
      <c r="G566" s="2" t="s">
        <v>42</v>
      </c>
      <c r="H566" s="2">
        <v>6</v>
      </c>
      <c r="I566" s="4">
        <v>1833.14</v>
      </c>
      <c r="J566" s="3">
        <v>45750</v>
      </c>
      <c r="K566">
        <f t="shared" si="8"/>
        <v>10998.84</v>
      </c>
      <c r="L566" t="str">
        <f>INDEX(Raw_Shipments!L566:L2994,MATCH(A566,Raw_Shipments!B566:B2994))</f>
        <v>No</v>
      </c>
    </row>
    <row r="567" spans="1:12" x14ac:dyDescent="0.3">
      <c r="A567" s="5" t="s">
        <v>716</v>
      </c>
      <c r="B567" s="6">
        <v>45747</v>
      </c>
      <c r="C567" s="5" t="s">
        <v>104</v>
      </c>
      <c r="D567" s="5" t="s">
        <v>45</v>
      </c>
      <c r="E567" s="5" t="s">
        <v>62</v>
      </c>
      <c r="F567" s="5" t="s">
        <v>63</v>
      </c>
      <c r="G567" s="5" t="s">
        <v>55</v>
      </c>
      <c r="H567" s="5">
        <v>43</v>
      </c>
      <c r="I567" s="7">
        <v>2555.2199999999998</v>
      </c>
      <c r="J567" s="6">
        <v>45756</v>
      </c>
      <c r="K567">
        <f t="shared" si="8"/>
        <v>109874.45999999999</v>
      </c>
      <c r="L567" t="str">
        <f>INDEX(Raw_Shipments!L567:L2995,MATCH(A567,Raw_Shipments!B567:B2995))</f>
        <v>No</v>
      </c>
    </row>
    <row r="568" spans="1:12" x14ac:dyDescent="0.3">
      <c r="A568" s="2" t="s">
        <v>717</v>
      </c>
      <c r="B568" s="3">
        <v>45747</v>
      </c>
      <c r="C568" s="2" t="s">
        <v>217</v>
      </c>
      <c r="D568" s="2" t="s">
        <v>30</v>
      </c>
      <c r="E568" s="2" t="s">
        <v>119</v>
      </c>
      <c r="F568" s="2" t="s">
        <v>120</v>
      </c>
      <c r="G568" s="2" t="s">
        <v>22</v>
      </c>
      <c r="H568" s="2">
        <v>23</v>
      </c>
      <c r="I568" s="4">
        <v>912.26</v>
      </c>
      <c r="J568" s="3">
        <v>45750</v>
      </c>
      <c r="K568">
        <f t="shared" si="8"/>
        <v>20981.98</v>
      </c>
      <c r="L568" t="str">
        <f>INDEX(Raw_Shipments!L568:L2996,MATCH(A568,Raw_Shipments!B568:B2996))</f>
        <v>No</v>
      </c>
    </row>
    <row r="569" spans="1:12" x14ac:dyDescent="0.3">
      <c r="A569" s="5" t="s">
        <v>718</v>
      </c>
      <c r="B569" s="6">
        <v>45747</v>
      </c>
      <c r="C569" s="5" t="s">
        <v>272</v>
      </c>
      <c r="D569" s="5" t="s">
        <v>14</v>
      </c>
      <c r="E569" s="5" t="s">
        <v>40</v>
      </c>
      <c r="F569" s="5" t="s">
        <v>41</v>
      </c>
      <c r="G569" s="5" t="s">
        <v>42</v>
      </c>
      <c r="H569" s="5">
        <v>26</v>
      </c>
      <c r="I569" s="7">
        <v>2445.11</v>
      </c>
      <c r="J569" s="6">
        <v>45752</v>
      </c>
      <c r="K569">
        <f t="shared" si="8"/>
        <v>63572.86</v>
      </c>
      <c r="L569" t="str">
        <f>INDEX(Raw_Shipments!L569:L2997,MATCH(A569,Raw_Shipments!B569:B2997))</f>
        <v>No</v>
      </c>
    </row>
    <row r="570" spans="1:12" x14ac:dyDescent="0.3">
      <c r="A570" s="2" t="s">
        <v>719</v>
      </c>
      <c r="B570" s="3">
        <v>45747</v>
      </c>
      <c r="C570" s="2" t="s">
        <v>331</v>
      </c>
      <c r="D570" s="2" t="s">
        <v>30</v>
      </c>
      <c r="E570" s="2" t="s">
        <v>46</v>
      </c>
      <c r="F570" s="2" t="s">
        <v>47</v>
      </c>
      <c r="G570" s="2" t="s">
        <v>42</v>
      </c>
      <c r="H570" s="2">
        <v>5</v>
      </c>
      <c r="I570" s="4">
        <v>1833.14</v>
      </c>
      <c r="J570" s="3">
        <v>45755</v>
      </c>
      <c r="K570">
        <f t="shared" si="8"/>
        <v>9165.7000000000007</v>
      </c>
      <c r="L570" t="str">
        <f>INDEX(Raw_Shipments!L570:L2998,MATCH(A570,Raw_Shipments!B570:B2998))</f>
        <v>No</v>
      </c>
    </row>
    <row r="571" spans="1:12" x14ac:dyDescent="0.3">
      <c r="A571" s="5" t="s">
        <v>720</v>
      </c>
      <c r="B571" s="6">
        <v>45747</v>
      </c>
      <c r="C571" s="5" t="s">
        <v>29</v>
      </c>
      <c r="D571" s="5" t="s">
        <v>30</v>
      </c>
      <c r="E571" s="5" t="s">
        <v>50</v>
      </c>
      <c r="F571" s="5" t="s">
        <v>51</v>
      </c>
      <c r="G571" s="5" t="s">
        <v>42</v>
      </c>
      <c r="H571" s="5">
        <v>5</v>
      </c>
      <c r="I571" s="7">
        <v>1952.28</v>
      </c>
      <c r="J571" s="6">
        <v>45753</v>
      </c>
      <c r="K571">
        <f t="shared" si="8"/>
        <v>9761.4</v>
      </c>
      <c r="L571" t="str">
        <f>INDEX(Raw_Shipments!L571:L2999,MATCH(A571,Raw_Shipments!B571:B2999))</f>
        <v>No</v>
      </c>
    </row>
    <row r="572" spans="1:12" x14ac:dyDescent="0.3">
      <c r="A572" s="2" t="s">
        <v>721</v>
      </c>
      <c r="B572" s="3">
        <v>45748</v>
      </c>
      <c r="C572" s="2" t="s">
        <v>431</v>
      </c>
      <c r="D572" s="2" t="s">
        <v>25</v>
      </c>
      <c r="E572" s="2" t="s">
        <v>66</v>
      </c>
      <c r="F572" s="2" t="s">
        <v>67</v>
      </c>
      <c r="G572" s="2" t="s">
        <v>17</v>
      </c>
      <c r="H572" s="2">
        <v>7</v>
      </c>
      <c r="I572" s="4">
        <v>850.8</v>
      </c>
      <c r="J572" s="3">
        <v>45755</v>
      </c>
      <c r="K572">
        <f t="shared" si="8"/>
        <v>5955.5999999999995</v>
      </c>
      <c r="L572" t="str">
        <f>INDEX(Raw_Shipments!L572:L3000,MATCH(A572,Raw_Shipments!B572:B3000))</f>
        <v>No</v>
      </c>
    </row>
    <row r="573" spans="1:12" x14ac:dyDescent="0.3">
      <c r="A573" s="5" t="s">
        <v>722</v>
      </c>
      <c r="B573" s="6">
        <v>45748</v>
      </c>
      <c r="C573" s="5" t="s">
        <v>279</v>
      </c>
      <c r="D573" s="5" t="s">
        <v>25</v>
      </c>
      <c r="E573" s="5" t="s">
        <v>119</v>
      </c>
      <c r="F573" s="5" t="s">
        <v>120</v>
      </c>
      <c r="G573" s="5" t="s">
        <v>22</v>
      </c>
      <c r="H573" s="5">
        <v>51</v>
      </c>
      <c r="I573" s="7">
        <v>912.26</v>
      </c>
      <c r="J573" s="6">
        <v>45755</v>
      </c>
      <c r="K573">
        <f t="shared" si="8"/>
        <v>46525.26</v>
      </c>
      <c r="L573" t="str">
        <f>INDEX(Raw_Shipments!L573:L3001,MATCH(A573,Raw_Shipments!B573:B3001))</f>
        <v>No</v>
      </c>
    </row>
    <row r="574" spans="1:12" x14ac:dyDescent="0.3">
      <c r="A574" s="2" t="s">
        <v>723</v>
      </c>
      <c r="B574" s="3">
        <v>45748</v>
      </c>
      <c r="C574" s="2" t="s">
        <v>331</v>
      </c>
      <c r="D574" s="2" t="s">
        <v>25</v>
      </c>
      <c r="E574" s="2" t="s">
        <v>31</v>
      </c>
      <c r="F574" s="2" t="s">
        <v>32</v>
      </c>
      <c r="G574" s="2" t="s">
        <v>33</v>
      </c>
      <c r="H574" s="2">
        <v>29</v>
      </c>
      <c r="I574" s="4">
        <v>689</v>
      </c>
      <c r="J574" s="3">
        <v>45753</v>
      </c>
      <c r="K574">
        <f t="shared" si="8"/>
        <v>19981</v>
      </c>
      <c r="L574" t="str">
        <f>INDEX(Raw_Shipments!L574:L3002,MATCH(A574,Raw_Shipments!B574:B3002))</f>
        <v>No</v>
      </c>
    </row>
    <row r="575" spans="1:12" x14ac:dyDescent="0.3">
      <c r="A575" s="5" t="s">
        <v>724</v>
      </c>
      <c r="B575" s="6">
        <v>45749</v>
      </c>
      <c r="C575" s="5" t="s">
        <v>400</v>
      </c>
      <c r="D575" s="5" t="s">
        <v>45</v>
      </c>
      <c r="E575" s="5" t="s">
        <v>15</v>
      </c>
      <c r="F575" s="5" t="s">
        <v>16</v>
      </c>
      <c r="G575" s="5" t="s">
        <v>17</v>
      </c>
      <c r="H575" s="5">
        <v>1</v>
      </c>
      <c r="I575" s="7">
        <v>183.06</v>
      </c>
      <c r="J575" s="6">
        <v>45752</v>
      </c>
      <c r="K575">
        <f t="shared" si="8"/>
        <v>183.06</v>
      </c>
      <c r="L575" t="str">
        <f>INDEX(Raw_Shipments!L575:L3003,MATCH(A575,Raw_Shipments!B575:B3003))</f>
        <v>No</v>
      </c>
    </row>
    <row r="576" spans="1:12" x14ac:dyDescent="0.3">
      <c r="A576" s="2" t="s">
        <v>725</v>
      </c>
      <c r="B576" s="3">
        <v>45749</v>
      </c>
      <c r="C576" s="2" t="s">
        <v>203</v>
      </c>
      <c r="D576" s="2" t="s">
        <v>14</v>
      </c>
      <c r="E576" s="2" t="s">
        <v>20</v>
      </c>
      <c r="F576" s="2" t="s">
        <v>21</v>
      </c>
      <c r="G576" s="2" t="s">
        <v>22</v>
      </c>
      <c r="H576" s="2">
        <v>18</v>
      </c>
      <c r="I576" s="4">
        <v>2108.56</v>
      </c>
      <c r="J576" s="3">
        <v>45755</v>
      </c>
      <c r="K576">
        <f t="shared" si="8"/>
        <v>37954.080000000002</v>
      </c>
      <c r="L576" t="str">
        <f>INDEX(Raw_Shipments!L576:L3004,MATCH(A576,Raw_Shipments!B576:B3004))</f>
        <v>No</v>
      </c>
    </row>
    <row r="577" spans="1:12" x14ac:dyDescent="0.3">
      <c r="A577" s="5" t="s">
        <v>726</v>
      </c>
      <c r="B577" s="6">
        <v>45749</v>
      </c>
      <c r="C577" s="5" t="s">
        <v>363</v>
      </c>
      <c r="D577" s="5" t="s">
        <v>25</v>
      </c>
      <c r="E577" s="5" t="s">
        <v>31</v>
      </c>
      <c r="F577" s="5" t="s">
        <v>32</v>
      </c>
      <c r="G577" s="5" t="s">
        <v>33</v>
      </c>
      <c r="H577" s="5">
        <v>54</v>
      </c>
      <c r="I577" s="7">
        <v>689</v>
      </c>
      <c r="J577" s="6">
        <v>45752</v>
      </c>
      <c r="K577">
        <f t="shared" si="8"/>
        <v>37206</v>
      </c>
      <c r="L577" t="str">
        <f>INDEX(Raw_Shipments!L577:L3005,MATCH(A577,Raw_Shipments!B577:B3005))</f>
        <v>No</v>
      </c>
    </row>
    <row r="578" spans="1:12" x14ac:dyDescent="0.3">
      <c r="A578" s="2" t="s">
        <v>727</v>
      </c>
      <c r="B578" s="3">
        <v>45749</v>
      </c>
      <c r="C578" s="2" t="s">
        <v>49</v>
      </c>
      <c r="D578" s="2" t="s">
        <v>14</v>
      </c>
      <c r="E578" s="2" t="s">
        <v>36</v>
      </c>
      <c r="F578" s="2" t="s">
        <v>37</v>
      </c>
      <c r="G578" s="2" t="s">
        <v>33</v>
      </c>
      <c r="H578" s="2">
        <v>26</v>
      </c>
      <c r="I578" s="4">
        <v>1064.79</v>
      </c>
      <c r="J578" s="3">
        <v>45759</v>
      </c>
      <c r="K578">
        <f t="shared" si="8"/>
        <v>27684.54</v>
      </c>
      <c r="L578" t="str">
        <f>INDEX(Raw_Shipments!L578:L3006,MATCH(A578,Raw_Shipments!B578:B3006))</f>
        <v>Yes</v>
      </c>
    </row>
    <row r="579" spans="1:12" x14ac:dyDescent="0.3">
      <c r="A579" s="5" t="s">
        <v>728</v>
      </c>
      <c r="B579" s="6">
        <v>45749</v>
      </c>
      <c r="C579" s="5" t="s">
        <v>363</v>
      </c>
      <c r="D579" s="5" t="s">
        <v>45</v>
      </c>
      <c r="E579" s="5" t="s">
        <v>46</v>
      </c>
      <c r="F579" s="5" t="s">
        <v>47</v>
      </c>
      <c r="G579" s="5" t="s">
        <v>42</v>
      </c>
      <c r="H579" s="5">
        <v>6</v>
      </c>
      <c r="I579" s="7">
        <v>1833.14</v>
      </c>
      <c r="J579" s="6">
        <v>45756</v>
      </c>
      <c r="K579">
        <f t="shared" ref="K579:K642" si="9">I579*H579</f>
        <v>10998.84</v>
      </c>
      <c r="L579" t="str">
        <f>INDEX(Raw_Shipments!L579:L3007,MATCH(A579,Raw_Shipments!B579:B3007))</f>
        <v>No</v>
      </c>
    </row>
    <row r="580" spans="1:12" x14ac:dyDescent="0.3">
      <c r="A580" s="2" t="s">
        <v>729</v>
      </c>
      <c r="B580" s="3">
        <v>45750</v>
      </c>
      <c r="C580" s="2" t="s">
        <v>217</v>
      </c>
      <c r="D580" s="2" t="s">
        <v>45</v>
      </c>
      <c r="E580" s="2" t="s">
        <v>53</v>
      </c>
      <c r="F580" s="2" t="s">
        <v>54</v>
      </c>
      <c r="G580" s="2" t="s">
        <v>55</v>
      </c>
      <c r="H580" s="2">
        <v>64</v>
      </c>
      <c r="I580" s="4">
        <v>2055.9</v>
      </c>
      <c r="J580" s="3">
        <v>45758</v>
      </c>
      <c r="K580">
        <f t="shared" si="9"/>
        <v>131577.60000000001</v>
      </c>
      <c r="L580" t="str">
        <f>INDEX(Raw_Shipments!L580:L3008,MATCH(A580,Raw_Shipments!B580:B3008))</f>
        <v>No</v>
      </c>
    </row>
    <row r="581" spans="1:12" x14ac:dyDescent="0.3">
      <c r="A581" s="5" t="s">
        <v>730</v>
      </c>
      <c r="B581" s="6">
        <v>45750</v>
      </c>
      <c r="C581" s="5" t="s">
        <v>595</v>
      </c>
      <c r="D581" s="5" t="s">
        <v>30</v>
      </c>
      <c r="E581" s="5" t="s">
        <v>58</v>
      </c>
      <c r="F581" s="5" t="s">
        <v>59</v>
      </c>
      <c r="G581" s="5" t="s">
        <v>55</v>
      </c>
      <c r="H581" s="5">
        <v>13</v>
      </c>
      <c r="I581" s="7">
        <v>1695.1</v>
      </c>
      <c r="J581" s="6">
        <v>45757</v>
      </c>
      <c r="K581">
        <f t="shared" si="9"/>
        <v>22036.3</v>
      </c>
      <c r="L581" t="str">
        <f>INDEX(Raw_Shipments!L581:L3009,MATCH(A581,Raw_Shipments!B581:B3009))</f>
        <v>No</v>
      </c>
    </row>
    <row r="582" spans="1:12" x14ac:dyDescent="0.3">
      <c r="A582" s="2" t="s">
        <v>731</v>
      </c>
      <c r="B582" s="3">
        <v>45750</v>
      </c>
      <c r="C582" s="2" t="s">
        <v>107</v>
      </c>
      <c r="D582" s="2" t="s">
        <v>45</v>
      </c>
      <c r="E582" s="2" t="s">
        <v>86</v>
      </c>
      <c r="F582" s="2" t="s">
        <v>87</v>
      </c>
      <c r="G582" s="2" t="s">
        <v>33</v>
      </c>
      <c r="H582" s="2">
        <v>32</v>
      </c>
      <c r="I582" s="4">
        <v>815.88</v>
      </c>
      <c r="J582" s="3">
        <v>45755</v>
      </c>
      <c r="K582">
        <f t="shared" si="9"/>
        <v>26108.16</v>
      </c>
      <c r="L582" t="str">
        <f>INDEX(Raw_Shipments!L582:L3010,MATCH(A582,Raw_Shipments!B582:B3010))</f>
        <v>No</v>
      </c>
    </row>
    <row r="583" spans="1:12" x14ac:dyDescent="0.3">
      <c r="A583" s="5" t="s">
        <v>732</v>
      </c>
      <c r="B583" s="6">
        <v>45750</v>
      </c>
      <c r="C583" s="5" t="s">
        <v>29</v>
      </c>
      <c r="D583" s="5" t="s">
        <v>25</v>
      </c>
      <c r="E583" s="5" t="s">
        <v>40</v>
      </c>
      <c r="F583" s="5" t="s">
        <v>41</v>
      </c>
      <c r="G583" s="5" t="s">
        <v>42</v>
      </c>
      <c r="H583" s="5">
        <v>38</v>
      </c>
      <c r="I583" s="7">
        <v>2445.11</v>
      </c>
      <c r="J583" s="6">
        <v>45759</v>
      </c>
      <c r="K583">
        <f t="shared" si="9"/>
        <v>92914.180000000008</v>
      </c>
      <c r="L583" t="str">
        <f>INDEX(Raw_Shipments!L583:L3011,MATCH(A583,Raw_Shipments!B583:B3011))</f>
        <v>No</v>
      </c>
    </row>
    <row r="584" spans="1:12" x14ac:dyDescent="0.3">
      <c r="A584" s="2" t="s">
        <v>733</v>
      </c>
      <c r="B584" s="3">
        <v>45750</v>
      </c>
      <c r="C584" s="2" t="s">
        <v>156</v>
      </c>
      <c r="D584" s="2" t="s">
        <v>14</v>
      </c>
      <c r="E584" s="2" t="s">
        <v>46</v>
      </c>
      <c r="F584" s="2" t="s">
        <v>47</v>
      </c>
      <c r="G584" s="2" t="s">
        <v>42</v>
      </c>
      <c r="H584" s="2">
        <v>5</v>
      </c>
      <c r="I584" s="4">
        <v>1833.14</v>
      </c>
      <c r="J584" s="3">
        <v>45758</v>
      </c>
      <c r="K584">
        <f t="shared" si="9"/>
        <v>9165.7000000000007</v>
      </c>
      <c r="L584" t="str">
        <f>INDEX(Raw_Shipments!L584:L3012,MATCH(A584,Raw_Shipments!B584:B3012))</f>
        <v>No</v>
      </c>
    </row>
    <row r="585" spans="1:12" x14ac:dyDescent="0.3">
      <c r="A585" s="5" t="s">
        <v>734</v>
      </c>
      <c r="B585" s="6">
        <v>45750</v>
      </c>
      <c r="C585" s="5" t="s">
        <v>122</v>
      </c>
      <c r="D585" s="5" t="s">
        <v>45</v>
      </c>
      <c r="E585" s="5" t="s">
        <v>50</v>
      </c>
      <c r="F585" s="5" t="s">
        <v>51</v>
      </c>
      <c r="G585" s="5" t="s">
        <v>42</v>
      </c>
      <c r="H585" s="5">
        <v>7</v>
      </c>
      <c r="I585" s="7">
        <v>1952.28</v>
      </c>
      <c r="J585" s="6">
        <v>45758</v>
      </c>
      <c r="K585">
        <f t="shared" si="9"/>
        <v>13665.96</v>
      </c>
      <c r="L585" t="str">
        <f>INDEX(Raw_Shipments!L585:L3013,MATCH(A585,Raw_Shipments!B585:B3013))</f>
        <v>No</v>
      </c>
    </row>
    <row r="586" spans="1:12" x14ac:dyDescent="0.3">
      <c r="A586" s="2" t="s">
        <v>735</v>
      </c>
      <c r="B586" s="3">
        <v>45751</v>
      </c>
      <c r="C586" s="2" t="s">
        <v>172</v>
      </c>
      <c r="D586" s="2" t="s">
        <v>25</v>
      </c>
      <c r="E586" s="2" t="s">
        <v>66</v>
      </c>
      <c r="F586" s="2" t="s">
        <v>67</v>
      </c>
      <c r="G586" s="2" t="s">
        <v>17</v>
      </c>
      <c r="H586" s="2">
        <v>15</v>
      </c>
      <c r="I586" s="4">
        <v>850.8</v>
      </c>
      <c r="J586" s="3">
        <v>45755</v>
      </c>
      <c r="K586">
        <f t="shared" si="9"/>
        <v>12762</v>
      </c>
      <c r="L586" t="str">
        <f>INDEX(Raw_Shipments!L586:L3014,MATCH(A586,Raw_Shipments!B586:B3014))</f>
        <v>No</v>
      </c>
    </row>
    <row r="587" spans="1:12" x14ac:dyDescent="0.3">
      <c r="A587" s="5" t="s">
        <v>736</v>
      </c>
      <c r="B587" s="6">
        <v>45751</v>
      </c>
      <c r="C587" s="5" t="s">
        <v>250</v>
      </c>
      <c r="D587" s="5" t="s">
        <v>25</v>
      </c>
      <c r="E587" s="5" t="s">
        <v>26</v>
      </c>
      <c r="F587" s="5" t="s">
        <v>27</v>
      </c>
      <c r="G587" s="5" t="s">
        <v>22</v>
      </c>
      <c r="H587" s="5">
        <v>11</v>
      </c>
      <c r="I587" s="7">
        <v>1646.8</v>
      </c>
      <c r="J587" s="6">
        <v>45760</v>
      </c>
      <c r="K587">
        <f t="shared" si="9"/>
        <v>18114.8</v>
      </c>
      <c r="L587" t="str">
        <f>INDEX(Raw_Shipments!L587:L3015,MATCH(A587,Raw_Shipments!B587:B3015))</f>
        <v>Yes</v>
      </c>
    </row>
    <row r="588" spans="1:12" x14ac:dyDescent="0.3">
      <c r="A588" s="2" t="s">
        <v>737</v>
      </c>
      <c r="B588" s="3">
        <v>45751</v>
      </c>
      <c r="C588" s="2" t="s">
        <v>238</v>
      </c>
      <c r="D588" s="2" t="s">
        <v>14</v>
      </c>
      <c r="E588" s="2" t="s">
        <v>31</v>
      </c>
      <c r="F588" s="2" t="s">
        <v>32</v>
      </c>
      <c r="G588" s="2" t="s">
        <v>33</v>
      </c>
      <c r="H588" s="2">
        <v>41</v>
      </c>
      <c r="I588" s="4">
        <v>689</v>
      </c>
      <c r="J588" s="3">
        <v>45759</v>
      </c>
      <c r="K588">
        <f t="shared" si="9"/>
        <v>28249</v>
      </c>
      <c r="L588" t="str">
        <f>INDEX(Raw_Shipments!L588:L3016,MATCH(A588,Raw_Shipments!B588:B3016))</f>
        <v>Yes</v>
      </c>
    </row>
    <row r="589" spans="1:12" x14ac:dyDescent="0.3">
      <c r="A589" s="5" t="s">
        <v>738</v>
      </c>
      <c r="B589" s="6">
        <v>45752</v>
      </c>
      <c r="C589" s="5" t="s">
        <v>175</v>
      </c>
      <c r="D589" s="5" t="s">
        <v>14</v>
      </c>
      <c r="E589" s="5" t="s">
        <v>58</v>
      </c>
      <c r="F589" s="5" t="s">
        <v>59</v>
      </c>
      <c r="G589" s="5" t="s">
        <v>55</v>
      </c>
      <c r="H589" s="5">
        <v>22</v>
      </c>
      <c r="I589" s="7">
        <v>1695.1</v>
      </c>
      <c r="J589" s="6">
        <v>45760</v>
      </c>
      <c r="K589">
        <f t="shared" si="9"/>
        <v>37292.199999999997</v>
      </c>
      <c r="L589" t="str">
        <f>INDEX(Raw_Shipments!L589:L3017,MATCH(A589,Raw_Shipments!B589:B3017))</f>
        <v>No</v>
      </c>
    </row>
    <row r="590" spans="1:12" x14ac:dyDescent="0.3">
      <c r="A590" s="2" t="s">
        <v>739</v>
      </c>
      <c r="B590" s="3">
        <v>45752</v>
      </c>
      <c r="C590" s="2" t="s">
        <v>93</v>
      </c>
      <c r="D590" s="2" t="s">
        <v>25</v>
      </c>
      <c r="E590" s="2" t="s">
        <v>119</v>
      </c>
      <c r="F590" s="2" t="s">
        <v>120</v>
      </c>
      <c r="G590" s="2" t="s">
        <v>22</v>
      </c>
      <c r="H590" s="2">
        <v>69</v>
      </c>
      <c r="I590" s="4">
        <v>912.26</v>
      </c>
      <c r="J590" s="3">
        <v>45761</v>
      </c>
      <c r="K590">
        <f t="shared" si="9"/>
        <v>62945.94</v>
      </c>
      <c r="L590" t="str">
        <f>INDEX(Raw_Shipments!L590:L3018,MATCH(A590,Raw_Shipments!B590:B3018))</f>
        <v>No</v>
      </c>
    </row>
    <row r="591" spans="1:12" x14ac:dyDescent="0.3">
      <c r="A591" s="5" t="s">
        <v>740</v>
      </c>
      <c r="B591" s="6">
        <v>45752</v>
      </c>
      <c r="C591" s="5" t="s">
        <v>418</v>
      </c>
      <c r="D591" s="5" t="s">
        <v>30</v>
      </c>
      <c r="E591" s="5" t="s">
        <v>26</v>
      </c>
      <c r="F591" s="5" t="s">
        <v>27</v>
      </c>
      <c r="G591" s="5" t="s">
        <v>22</v>
      </c>
      <c r="H591" s="5">
        <v>11</v>
      </c>
      <c r="I591" s="7">
        <v>1646.8</v>
      </c>
      <c r="J591" s="6">
        <v>45760</v>
      </c>
      <c r="K591">
        <f t="shared" si="9"/>
        <v>18114.8</v>
      </c>
      <c r="L591" t="str">
        <f>INDEX(Raw_Shipments!L591:L3019,MATCH(A591,Raw_Shipments!B591:B3019))</f>
        <v>Yes</v>
      </c>
    </row>
    <row r="592" spans="1:12" x14ac:dyDescent="0.3">
      <c r="A592" s="2" t="s">
        <v>741</v>
      </c>
      <c r="B592" s="3">
        <v>45752</v>
      </c>
      <c r="C592" s="2" t="s">
        <v>229</v>
      </c>
      <c r="D592" s="2" t="s">
        <v>14</v>
      </c>
      <c r="E592" s="2" t="s">
        <v>36</v>
      </c>
      <c r="F592" s="2" t="s">
        <v>37</v>
      </c>
      <c r="G592" s="2" t="s">
        <v>33</v>
      </c>
      <c r="H592" s="2">
        <v>31</v>
      </c>
      <c r="I592" s="4">
        <v>1064.79</v>
      </c>
      <c r="J592" s="3">
        <v>45756</v>
      </c>
      <c r="K592">
        <f t="shared" si="9"/>
        <v>33008.49</v>
      </c>
      <c r="L592" t="str">
        <f>INDEX(Raw_Shipments!L592:L3020,MATCH(A592,Raw_Shipments!B592:B3020))</f>
        <v>No</v>
      </c>
    </row>
    <row r="593" spans="1:12" x14ac:dyDescent="0.3">
      <c r="A593" s="5" t="s">
        <v>742</v>
      </c>
      <c r="B593" s="6">
        <v>45753</v>
      </c>
      <c r="C593" s="5" t="s">
        <v>279</v>
      </c>
      <c r="D593" s="5" t="s">
        <v>30</v>
      </c>
      <c r="E593" s="5" t="s">
        <v>53</v>
      </c>
      <c r="F593" s="5" t="s">
        <v>54</v>
      </c>
      <c r="G593" s="5" t="s">
        <v>55</v>
      </c>
      <c r="H593" s="5">
        <v>25</v>
      </c>
      <c r="I593" s="7">
        <v>2055.9</v>
      </c>
      <c r="J593" s="6">
        <v>45759</v>
      </c>
      <c r="K593">
        <f t="shared" si="9"/>
        <v>51397.5</v>
      </c>
      <c r="L593" t="str">
        <f>INDEX(Raw_Shipments!L593:L3021,MATCH(A593,Raw_Shipments!B593:B3021))</f>
        <v>No</v>
      </c>
    </row>
    <row r="594" spans="1:12" x14ac:dyDescent="0.3">
      <c r="A594" s="2" t="s">
        <v>743</v>
      </c>
      <c r="B594" s="3">
        <v>45753</v>
      </c>
      <c r="C594" s="2" t="s">
        <v>117</v>
      </c>
      <c r="D594" s="2" t="s">
        <v>45</v>
      </c>
      <c r="E594" s="2" t="s">
        <v>62</v>
      </c>
      <c r="F594" s="2" t="s">
        <v>63</v>
      </c>
      <c r="G594" s="2" t="s">
        <v>55</v>
      </c>
      <c r="H594" s="2">
        <v>47</v>
      </c>
      <c r="I594" s="4">
        <v>2555.2199999999998</v>
      </c>
      <c r="J594" s="3">
        <v>45762</v>
      </c>
      <c r="K594">
        <f t="shared" si="9"/>
        <v>120095.34</v>
      </c>
      <c r="L594" t="str">
        <f>INDEX(Raw_Shipments!L594:L3022,MATCH(A594,Raw_Shipments!B594:B3022))</f>
        <v>Yes</v>
      </c>
    </row>
    <row r="595" spans="1:12" x14ac:dyDescent="0.3">
      <c r="A595" s="5" t="s">
        <v>744</v>
      </c>
      <c r="B595" s="6">
        <v>45753</v>
      </c>
      <c r="C595" s="5" t="s">
        <v>91</v>
      </c>
      <c r="D595" s="5" t="s">
        <v>25</v>
      </c>
      <c r="E595" s="5" t="s">
        <v>97</v>
      </c>
      <c r="F595" s="5" t="s">
        <v>98</v>
      </c>
      <c r="G595" s="5" t="s">
        <v>17</v>
      </c>
      <c r="H595" s="5">
        <v>10</v>
      </c>
      <c r="I595" s="7">
        <v>1110.6500000000001</v>
      </c>
      <c r="J595" s="6">
        <v>45763</v>
      </c>
      <c r="K595">
        <f t="shared" si="9"/>
        <v>11106.5</v>
      </c>
      <c r="L595" t="str">
        <f>INDEX(Raw_Shipments!L595:L3023,MATCH(A595,Raw_Shipments!B595:B3023))</f>
        <v>Yes</v>
      </c>
    </row>
    <row r="596" spans="1:12" x14ac:dyDescent="0.3">
      <c r="A596" s="2" t="s">
        <v>745</v>
      </c>
      <c r="B596" s="3">
        <v>45753</v>
      </c>
      <c r="C596" s="2" t="s">
        <v>178</v>
      </c>
      <c r="D596" s="2" t="s">
        <v>45</v>
      </c>
      <c r="E596" s="2" t="s">
        <v>15</v>
      </c>
      <c r="F596" s="2" t="s">
        <v>16</v>
      </c>
      <c r="G596" s="2" t="s">
        <v>17</v>
      </c>
      <c r="H596" s="2">
        <v>16</v>
      </c>
      <c r="I596" s="4">
        <v>183.06</v>
      </c>
      <c r="J596" s="3">
        <v>45760</v>
      </c>
      <c r="K596">
        <f t="shared" si="9"/>
        <v>2928.96</v>
      </c>
      <c r="L596" t="str">
        <f>INDEX(Raw_Shipments!L596:L3024,MATCH(A596,Raw_Shipments!B596:B3024))</f>
        <v>No</v>
      </c>
    </row>
    <row r="597" spans="1:12" x14ac:dyDescent="0.3">
      <c r="A597" s="5" t="s">
        <v>746</v>
      </c>
      <c r="B597" s="6">
        <v>45753</v>
      </c>
      <c r="C597" s="5" t="s">
        <v>198</v>
      </c>
      <c r="D597" s="5" t="s">
        <v>30</v>
      </c>
      <c r="E597" s="5" t="s">
        <v>119</v>
      </c>
      <c r="F597" s="5" t="s">
        <v>120</v>
      </c>
      <c r="G597" s="5" t="s">
        <v>22</v>
      </c>
      <c r="H597" s="5">
        <v>44</v>
      </c>
      <c r="I597" s="7">
        <v>912.26</v>
      </c>
      <c r="J597" s="6">
        <v>45760</v>
      </c>
      <c r="K597">
        <f t="shared" si="9"/>
        <v>40139.440000000002</v>
      </c>
      <c r="L597" t="str">
        <f>INDEX(Raw_Shipments!L597:L3025,MATCH(A597,Raw_Shipments!B597:B3025))</f>
        <v>Yes</v>
      </c>
    </row>
    <row r="598" spans="1:12" x14ac:dyDescent="0.3">
      <c r="A598" s="2" t="s">
        <v>747</v>
      </c>
      <c r="B598" s="3">
        <v>45753</v>
      </c>
      <c r="C598" s="2" t="s">
        <v>152</v>
      </c>
      <c r="D598" s="2" t="s">
        <v>45</v>
      </c>
      <c r="E598" s="2" t="s">
        <v>31</v>
      </c>
      <c r="F598" s="2" t="s">
        <v>32</v>
      </c>
      <c r="G598" s="2" t="s">
        <v>33</v>
      </c>
      <c r="H598" s="2">
        <v>33</v>
      </c>
      <c r="I598" s="4">
        <v>689</v>
      </c>
      <c r="J598" s="3">
        <v>45757</v>
      </c>
      <c r="K598">
        <f t="shared" si="9"/>
        <v>22737</v>
      </c>
      <c r="L598" t="str">
        <f>INDEX(Raw_Shipments!L598:L3026,MATCH(A598,Raw_Shipments!B598:B3026))</f>
        <v>No</v>
      </c>
    </row>
    <row r="599" spans="1:12" x14ac:dyDescent="0.3">
      <c r="A599" s="5" t="s">
        <v>748</v>
      </c>
      <c r="B599" s="6">
        <v>45754</v>
      </c>
      <c r="C599" s="5" t="s">
        <v>238</v>
      </c>
      <c r="D599" s="5" t="s">
        <v>25</v>
      </c>
      <c r="E599" s="5" t="s">
        <v>53</v>
      </c>
      <c r="F599" s="5" t="s">
        <v>54</v>
      </c>
      <c r="G599" s="5" t="s">
        <v>55</v>
      </c>
      <c r="H599" s="5">
        <v>44</v>
      </c>
      <c r="I599" s="7">
        <v>2055.9</v>
      </c>
      <c r="J599" s="6">
        <v>45758</v>
      </c>
      <c r="K599">
        <f t="shared" si="9"/>
        <v>90459.6</v>
      </c>
      <c r="L599" t="str">
        <f>INDEX(Raw_Shipments!L599:L3027,MATCH(A599,Raw_Shipments!B599:B3027))</f>
        <v>No</v>
      </c>
    </row>
    <row r="600" spans="1:12" x14ac:dyDescent="0.3">
      <c r="A600" s="2" t="s">
        <v>749</v>
      </c>
      <c r="B600" s="3">
        <v>45754</v>
      </c>
      <c r="C600" s="2" t="s">
        <v>220</v>
      </c>
      <c r="D600" s="2" t="s">
        <v>14</v>
      </c>
      <c r="E600" s="2" t="s">
        <v>62</v>
      </c>
      <c r="F600" s="2" t="s">
        <v>63</v>
      </c>
      <c r="G600" s="2" t="s">
        <v>55</v>
      </c>
      <c r="H600" s="2">
        <v>46</v>
      </c>
      <c r="I600" s="4">
        <v>2555.2199999999998</v>
      </c>
      <c r="J600" s="3">
        <v>45757</v>
      </c>
      <c r="K600">
        <f t="shared" si="9"/>
        <v>117540.12</v>
      </c>
      <c r="L600" t="str">
        <f>INDEX(Raw_Shipments!L600:L3028,MATCH(A600,Raw_Shipments!B600:B3028))</f>
        <v>No</v>
      </c>
    </row>
    <row r="601" spans="1:12" x14ac:dyDescent="0.3">
      <c r="A601" s="5" t="s">
        <v>750</v>
      </c>
      <c r="B601" s="6">
        <v>45754</v>
      </c>
      <c r="C601" s="5" t="s">
        <v>234</v>
      </c>
      <c r="D601" s="5" t="s">
        <v>25</v>
      </c>
      <c r="E601" s="5" t="s">
        <v>97</v>
      </c>
      <c r="F601" s="5" t="s">
        <v>98</v>
      </c>
      <c r="G601" s="5" t="s">
        <v>17</v>
      </c>
      <c r="H601" s="5">
        <v>23</v>
      </c>
      <c r="I601" s="7">
        <v>1110.6500000000001</v>
      </c>
      <c r="J601" s="6">
        <v>45763</v>
      </c>
      <c r="K601">
        <f t="shared" si="9"/>
        <v>25544.95</v>
      </c>
      <c r="L601" t="str">
        <f>INDEX(Raw_Shipments!L601:L3029,MATCH(A601,Raw_Shipments!B601:B3029))</f>
        <v>No</v>
      </c>
    </row>
    <row r="602" spans="1:12" x14ac:dyDescent="0.3">
      <c r="A602" s="2" t="s">
        <v>751</v>
      </c>
      <c r="B602" s="3">
        <v>45754</v>
      </c>
      <c r="C602" s="2" t="s">
        <v>170</v>
      </c>
      <c r="D602" s="2" t="s">
        <v>14</v>
      </c>
      <c r="E602" s="2" t="s">
        <v>20</v>
      </c>
      <c r="F602" s="2" t="s">
        <v>21</v>
      </c>
      <c r="G602" s="2" t="s">
        <v>22</v>
      </c>
      <c r="H602" s="2">
        <v>9</v>
      </c>
      <c r="I602" s="4">
        <v>2108.56</v>
      </c>
      <c r="J602" s="3">
        <v>45762</v>
      </c>
      <c r="K602">
        <f t="shared" si="9"/>
        <v>18977.04</v>
      </c>
      <c r="L602" t="str">
        <f>INDEX(Raw_Shipments!L602:L3030,MATCH(A602,Raw_Shipments!B602:B3030))</f>
        <v>Yes</v>
      </c>
    </row>
    <row r="603" spans="1:12" x14ac:dyDescent="0.3">
      <c r="A603" s="5" t="s">
        <v>752</v>
      </c>
      <c r="B603" s="6">
        <v>45754</v>
      </c>
      <c r="C603" s="5" t="s">
        <v>191</v>
      </c>
      <c r="D603" s="5" t="s">
        <v>30</v>
      </c>
      <c r="E603" s="5" t="s">
        <v>119</v>
      </c>
      <c r="F603" s="5" t="s">
        <v>120</v>
      </c>
      <c r="G603" s="5" t="s">
        <v>22</v>
      </c>
      <c r="H603" s="5">
        <v>12</v>
      </c>
      <c r="I603" s="7">
        <v>912.26</v>
      </c>
      <c r="J603" s="6">
        <v>45757</v>
      </c>
      <c r="K603">
        <f t="shared" si="9"/>
        <v>10947.119999999999</v>
      </c>
      <c r="L603" t="str">
        <f>INDEX(Raw_Shipments!L603:L3031,MATCH(A603,Raw_Shipments!B603:B3031))</f>
        <v>No</v>
      </c>
    </row>
    <row r="604" spans="1:12" x14ac:dyDescent="0.3">
      <c r="A604" s="2" t="s">
        <v>753</v>
      </c>
      <c r="B604" s="3">
        <v>45754</v>
      </c>
      <c r="C604" s="2" t="s">
        <v>456</v>
      </c>
      <c r="D604" s="2" t="s">
        <v>30</v>
      </c>
      <c r="E604" s="2" t="s">
        <v>36</v>
      </c>
      <c r="F604" s="2" t="s">
        <v>37</v>
      </c>
      <c r="G604" s="2" t="s">
        <v>33</v>
      </c>
      <c r="H604" s="2">
        <v>38</v>
      </c>
      <c r="I604" s="4">
        <v>1064.79</v>
      </c>
      <c r="J604" s="3">
        <v>45762</v>
      </c>
      <c r="K604">
        <f t="shared" si="9"/>
        <v>40462.019999999997</v>
      </c>
      <c r="L604" t="str">
        <f>INDEX(Raw_Shipments!L604:L3032,MATCH(A604,Raw_Shipments!B604:B3032))</f>
        <v>Yes</v>
      </c>
    </row>
    <row r="605" spans="1:12" x14ac:dyDescent="0.3">
      <c r="A605" s="5" t="s">
        <v>754</v>
      </c>
      <c r="B605" s="6">
        <v>45754</v>
      </c>
      <c r="C605" s="5" t="s">
        <v>248</v>
      </c>
      <c r="D605" s="5" t="s">
        <v>25</v>
      </c>
      <c r="E605" s="5" t="s">
        <v>46</v>
      </c>
      <c r="F605" s="5" t="s">
        <v>47</v>
      </c>
      <c r="G605" s="5" t="s">
        <v>42</v>
      </c>
      <c r="H605" s="5">
        <v>1</v>
      </c>
      <c r="I605" s="7">
        <v>1833.14</v>
      </c>
      <c r="J605" s="6">
        <v>45759</v>
      </c>
      <c r="K605">
        <f t="shared" si="9"/>
        <v>1833.14</v>
      </c>
      <c r="L605" t="str">
        <f>INDEX(Raw_Shipments!L605:L3033,MATCH(A605,Raw_Shipments!B605:B3033))</f>
        <v>No</v>
      </c>
    </row>
    <row r="606" spans="1:12" x14ac:dyDescent="0.3">
      <c r="A606" s="2" t="s">
        <v>755</v>
      </c>
      <c r="B606" s="3">
        <v>45754</v>
      </c>
      <c r="C606" s="2" t="s">
        <v>61</v>
      </c>
      <c r="D606" s="2" t="s">
        <v>30</v>
      </c>
      <c r="E606" s="2" t="s">
        <v>50</v>
      </c>
      <c r="F606" s="2" t="s">
        <v>51</v>
      </c>
      <c r="G606" s="2" t="s">
        <v>42</v>
      </c>
      <c r="H606" s="2">
        <v>11</v>
      </c>
      <c r="I606" s="4">
        <v>1952.28</v>
      </c>
      <c r="J606" s="3">
        <v>45757</v>
      </c>
      <c r="K606">
        <f t="shared" si="9"/>
        <v>21475.079999999998</v>
      </c>
      <c r="L606" t="str">
        <f>INDEX(Raw_Shipments!L606:L3034,MATCH(A606,Raw_Shipments!B606:B3034))</f>
        <v>No</v>
      </c>
    </row>
    <row r="607" spans="1:12" x14ac:dyDescent="0.3">
      <c r="A607" s="5" t="s">
        <v>756</v>
      </c>
      <c r="B607" s="6">
        <v>45755</v>
      </c>
      <c r="C607" s="5" t="s">
        <v>93</v>
      </c>
      <c r="D607" s="5" t="s">
        <v>45</v>
      </c>
      <c r="E607" s="5" t="s">
        <v>58</v>
      </c>
      <c r="F607" s="5" t="s">
        <v>59</v>
      </c>
      <c r="G607" s="5" t="s">
        <v>55</v>
      </c>
      <c r="H607" s="5">
        <v>27</v>
      </c>
      <c r="I607" s="7">
        <v>1695.1</v>
      </c>
      <c r="J607" s="6">
        <v>45759</v>
      </c>
      <c r="K607">
        <f t="shared" si="9"/>
        <v>45767.7</v>
      </c>
      <c r="L607" t="str">
        <f>INDEX(Raw_Shipments!L607:L3035,MATCH(A607,Raw_Shipments!B607:B3035))</f>
        <v>No</v>
      </c>
    </row>
    <row r="608" spans="1:12" x14ac:dyDescent="0.3">
      <c r="A608" s="2" t="s">
        <v>757</v>
      </c>
      <c r="B608" s="3">
        <v>45755</v>
      </c>
      <c r="C608" s="2" t="s">
        <v>268</v>
      </c>
      <c r="D608" s="2" t="s">
        <v>14</v>
      </c>
      <c r="E608" s="2" t="s">
        <v>62</v>
      </c>
      <c r="F608" s="2" t="s">
        <v>63</v>
      </c>
      <c r="G608" s="2" t="s">
        <v>55</v>
      </c>
      <c r="H608" s="2">
        <v>9</v>
      </c>
      <c r="I608" s="4">
        <v>2555.2199999999998</v>
      </c>
      <c r="J608" s="3">
        <v>45763</v>
      </c>
      <c r="K608">
        <f t="shared" si="9"/>
        <v>22996.98</v>
      </c>
      <c r="L608" t="str">
        <f>INDEX(Raw_Shipments!L608:L3036,MATCH(A608,Raw_Shipments!B608:B3036))</f>
        <v>No</v>
      </c>
    </row>
    <row r="609" spans="1:12" x14ac:dyDescent="0.3">
      <c r="A609" s="5" t="s">
        <v>758</v>
      </c>
      <c r="B609" s="6">
        <v>45755</v>
      </c>
      <c r="C609" s="5" t="s">
        <v>213</v>
      </c>
      <c r="D609" s="5" t="s">
        <v>25</v>
      </c>
      <c r="E609" s="5" t="s">
        <v>66</v>
      </c>
      <c r="F609" s="5" t="s">
        <v>67</v>
      </c>
      <c r="G609" s="5" t="s">
        <v>17</v>
      </c>
      <c r="H609" s="5">
        <v>8</v>
      </c>
      <c r="I609" s="7">
        <v>850.8</v>
      </c>
      <c r="J609" s="6">
        <v>45759</v>
      </c>
      <c r="K609">
        <f t="shared" si="9"/>
        <v>6806.4</v>
      </c>
      <c r="L609" t="str">
        <f>INDEX(Raw_Shipments!L609:L3037,MATCH(A609,Raw_Shipments!B609:B3037))</f>
        <v>No</v>
      </c>
    </row>
    <row r="610" spans="1:12" x14ac:dyDescent="0.3">
      <c r="A610" s="2" t="s">
        <v>759</v>
      </c>
      <c r="B610" s="3">
        <v>45755</v>
      </c>
      <c r="C610" s="2" t="s">
        <v>195</v>
      </c>
      <c r="D610" s="2" t="s">
        <v>25</v>
      </c>
      <c r="E610" s="2" t="s">
        <v>15</v>
      </c>
      <c r="F610" s="2" t="s">
        <v>16</v>
      </c>
      <c r="G610" s="2" t="s">
        <v>17</v>
      </c>
      <c r="H610" s="2">
        <v>10</v>
      </c>
      <c r="I610" s="4">
        <v>183.06</v>
      </c>
      <c r="J610" s="3">
        <v>45760</v>
      </c>
      <c r="K610">
        <f t="shared" si="9"/>
        <v>1830.6</v>
      </c>
      <c r="L610" t="str">
        <f>INDEX(Raw_Shipments!L610:L3038,MATCH(A610,Raw_Shipments!B610:B3038))</f>
        <v>No</v>
      </c>
    </row>
    <row r="611" spans="1:12" x14ac:dyDescent="0.3">
      <c r="A611" s="5" t="s">
        <v>760</v>
      </c>
      <c r="B611" s="6">
        <v>45755</v>
      </c>
      <c r="C611" s="5" t="s">
        <v>35</v>
      </c>
      <c r="D611" s="5" t="s">
        <v>14</v>
      </c>
      <c r="E611" s="5" t="s">
        <v>26</v>
      </c>
      <c r="F611" s="5" t="s">
        <v>27</v>
      </c>
      <c r="G611" s="5" t="s">
        <v>22</v>
      </c>
      <c r="H611" s="5">
        <v>10</v>
      </c>
      <c r="I611" s="7">
        <v>1646.8</v>
      </c>
      <c r="J611" s="6">
        <v>45763</v>
      </c>
      <c r="K611">
        <f t="shared" si="9"/>
        <v>16468</v>
      </c>
      <c r="L611" t="str">
        <f>INDEX(Raw_Shipments!L611:L3039,MATCH(A611,Raw_Shipments!B611:B3039))</f>
        <v>No</v>
      </c>
    </row>
    <row r="612" spans="1:12" x14ac:dyDescent="0.3">
      <c r="A612" s="2" t="s">
        <v>761</v>
      </c>
      <c r="B612" s="3">
        <v>45755</v>
      </c>
      <c r="C612" s="2" t="s">
        <v>65</v>
      </c>
      <c r="D612" s="2" t="s">
        <v>30</v>
      </c>
      <c r="E612" s="2" t="s">
        <v>86</v>
      </c>
      <c r="F612" s="2" t="s">
        <v>87</v>
      </c>
      <c r="G612" s="2" t="s">
        <v>33</v>
      </c>
      <c r="H612" s="2">
        <v>17</v>
      </c>
      <c r="I612" s="4">
        <v>815.88</v>
      </c>
      <c r="J612" s="3">
        <v>45763</v>
      </c>
      <c r="K612">
        <f t="shared" si="9"/>
        <v>13869.96</v>
      </c>
      <c r="L612" t="str">
        <f>INDEX(Raw_Shipments!L612:L3040,MATCH(A612,Raw_Shipments!B612:B3040))</f>
        <v>Yes</v>
      </c>
    </row>
    <row r="613" spans="1:12" x14ac:dyDescent="0.3">
      <c r="A613" s="5" t="s">
        <v>762</v>
      </c>
      <c r="B613" s="6">
        <v>45755</v>
      </c>
      <c r="C613" s="5" t="s">
        <v>527</v>
      </c>
      <c r="D613" s="5" t="s">
        <v>45</v>
      </c>
      <c r="E613" s="5" t="s">
        <v>40</v>
      </c>
      <c r="F613" s="5" t="s">
        <v>41</v>
      </c>
      <c r="G613" s="5" t="s">
        <v>42</v>
      </c>
      <c r="H613" s="5">
        <v>36</v>
      </c>
      <c r="I613" s="7">
        <v>2445.11</v>
      </c>
      <c r="J613" s="6">
        <v>45762</v>
      </c>
      <c r="K613">
        <f t="shared" si="9"/>
        <v>88023.96</v>
      </c>
      <c r="L613" t="str">
        <f>INDEX(Raw_Shipments!L613:L3041,MATCH(A613,Raw_Shipments!B613:B3041))</f>
        <v>No</v>
      </c>
    </row>
    <row r="614" spans="1:12" x14ac:dyDescent="0.3">
      <c r="A614" s="2" t="s">
        <v>763</v>
      </c>
      <c r="B614" s="3">
        <v>45755</v>
      </c>
      <c r="C614" s="2" t="s">
        <v>152</v>
      </c>
      <c r="D614" s="2" t="s">
        <v>14</v>
      </c>
      <c r="E614" s="2" t="s">
        <v>46</v>
      </c>
      <c r="F614" s="2" t="s">
        <v>47</v>
      </c>
      <c r="G614" s="2" t="s">
        <v>42</v>
      </c>
      <c r="H614" s="2">
        <v>3</v>
      </c>
      <c r="I614" s="4">
        <v>1833.14</v>
      </c>
      <c r="J614" s="3">
        <v>45760</v>
      </c>
      <c r="K614">
        <f t="shared" si="9"/>
        <v>5499.42</v>
      </c>
      <c r="L614" t="str">
        <f>INDEX(Raw_Shipments!L614:L3042,MATCH(A614,Raw_Shipments!B614:B3042))</f>
        <v>No</v>
      </c>
    </row>
    <row r="615" spans="1:12" x14ac:dyDescent="0.3">
      <c r="A615" s="5" t="s">
        <v>764</v>
      </c>
      <c r="B615" s="6">
        <v>45755</v>
      </c>
      <c r="C615" s="5" t="s">
        <v>272</v>
      </c>
      <c r="D615" s="5" t="s">
        <v>45</v>
      </c>
      <c r="E615" s="5" t="s">
        <v>50</v>
      </c>
      <c r="F615" s="5" t="s">
        <v>51</v>
      </c>
      <c r="G615" s="5" t="s">
        <v>42</v>
      </c>
      <c r="H615" s="5">
        <v>5</v>
      </c>
      <c r="I615" s="7">
        <v>1952.28</v>
      </c>
      <c r="J615" s="6">
        <v>45759</v>
      </c>
      <c r="K615">
        <f t="shared" si="9"/>
        <v>9761.4</v>
      </c>
      <c r="L615" t="str">
        <f>INDEX(Raw_Shipments!L615:L3043,MATCH(A615,Raw_Shipments!B615:B3043))</f>
        <v>No</v>
      </c>
    </row>
    <row r="616" spans="1:12" x14ac:dyDescent="0.3">
      <c r="A616" s="2" t="s">
        <v>765</v>
      </c>
      <c r="B616" s="3">
        <v>45756</v>
      </c>
      <c r="C616" s="2" t="s">
        <v>473</v>
      </c>
      <c r="D616" s="2" t="s">
        <v>14</v>
      </c>
      <c r="E616" s="2" t="s">
        <v>20</v>
      </c>
      <c r="F616" s="2" t="s">
        <v>21</v>
      </c>
      <c r="G616" s="2" t="s">
        <v>22</v>
      </c>
      <c r="H616" s="2">
        <v>17</v>
      </c>
      <c r="I616" s="4">
        <v>2108.56</v>
      </c>
      <c r="J616" s="3">
        <v>45766</v>
      </c>
      <c r="K616">
        <f t="shared" si="9"/>
        <v>35845.519999999997</v>
      </c>
      <c r="L616" t="str">
        <f>INDEX(Raw_Shipments!L616:L3044,MATCH(A616,Raw_Shipments!B616:B3044))</f>
        <v>No</v>
      </c>
    </row>
    <row r="617" spans="1:12" x14ac:dyDescent="0.3">
      <c r="A617" s="5" t="s">
        <v>766</v>
      </c>
      <c r="B617" s="6">
        <v>45756</v>
      </c>
      <c r="C617" s="5" t="s">
        <v>343</v>
      </c>
      <c r="D617" s="5" t="s">
        <v>25</v>
      </c>
      <c r="E617" s="5" t="s">
        <v>119</v>
      </c>
      <c r="F617" s="5" t="s">
        <v>120</v>
      </c>
      <c r="G617" s="5" t="s">
        <v>22</v>
      </c>
      <c r="H617" s="5">
        <v>42</v>
      </c>
      <c r="I617" s="7">
        <v>912.26</v>
      </c>
      <c r="J617" s="6">
        <v>45762</v>
      </c>
      <c r="K617">
        <f t="shared" si="9"/>
        <v>38314.92</v>
      </c>
      <c r="L617" t="str">
        <f>INDEX(Raw_Shipments!L617:L3045,MATCH(A617,Raw_Shipments!B617:B3045))</f>
        <v>No</v>
      </c>
    </row>
    <row r="618" spans="1:12" x14ac:dyDescent="0.3">
      <c r="A618" s="2" t="s">
        <v>767</v>
      </c>
      <c r="B618" s="3">
        <v>45756</v>
      </c>
      <c r="C618" s="2" t="s">
        <v>331</v>
      </c>
      <c r="D618" s="2" t="s">
        <v>45</v>
      </c>
      <c r="E618" s="2" t="s">
        <v>26</v>
      </c>
      <c r="F618" s="2" t="s">
        <v>27</v>
      </c>
      <c r="G618" s="2" t="s">
        <v>22</v>
      </c>
      <c r="H618" s="2">
        <v>16</v>
      </c>
      <c r="I618" s="4">
        <v>1646.8</v>
      </c>
      <c r="J618" s="3">
        <v>45764</v>
      </c>
      <c r="K618">
        <f t="shared" si="9"/>
        <v>26348.799999999999</v>
      </c>
      <c r="L618" t="str">
        <f>INDEX(Raw_Shipments!L618:L3046,MATCH(A618,Raw_Shipments!B618:B3046))</f>
        <v>Yes</v>
      </c>
    </row>
    <row r="619" spans="1:12" x14ac:dyDescent="0.3">
      <c r="A619" s="5" t="s">
        <v>768</v>
      </c>
      <c r="B619" s="6">
        <v>45756</v>
      </c>
      <c r="C619" s="5" t="s">
        <v>175</v>
      </c>
      <c r="D619" s="5" t="s">
        <v>14</v>
      </c>
      <c r="E619" s="5" t="s">
        <v>46</v>
      </c>
      <c r="F619" s="5" t="s">
        <v>47</v>
      </c>
      <c r="G619" s="5" t="s">
        <v>42</v>
      </c>
      <c r="H619" s="5">
        <v>6</v>
      </c>
      <c r="I619" s="7">
        <v>1833.14</v>
      </c>
      <c r="J619" s="6">
        <v>45761</v>
      </c>
      <c r="K619">
        <f t="shared" si="9"/>
        <v>10998.84</v>
      </c>
      <c r="L619" t="str">
        <f>INDEX(Raw_Shipments!L619:L3047,MATCH(A619,Raw_Shipments!B619:B3047))</f>
        <v>No</v>
      </c>
    </row>
    <row r="620" spans="1:12" x14ac:dyDescent="0.3">
      <c r="A620" s="2" t="s">
        <v>769</v>
      </c>
      <c r="B620" s="3">
        <v>45756</v>
      </c>
      <c r="C620" s="2" t="s">
        <v>442</v>
      </c>
      <c r="D620" s="2" t="s">
        <v>30</v>
      </c>
      <c r="E620" s="2" t="s">
        <v>50</v>
      </c>
      <c r="F620" s="2" t="s">
        <v>51</v>
      </c>
      <c r="G620" s="2" t="s">
        <v>42</v>
      </c>
      <c r="H620" s="2">
        <v>13</v>
      </c>
      <c r="I620" s="4">
        <v>1952.28</v>
      </c>
      <c r="J620" s="3">
        <v>45761</v>
      </c>
      <c r="K620">
        <f t="shared" si="9"/>
        <v>25379.64</v>
      </c>
      <c r="L620" t="str">
        <f>INDEX(Raw_Shipments!L620:L3048,MATCH(A620,Raw_Shipments!B620:B3048))</f>
        <v>No</v>
      </c>
    </row>
    <row r="621" spans="1:12" x14ac:dyDescent="0.3">
      <c r="A621" s="5" t="s">
        <v>770</v>
      </c>
      <c r="B621" s="6">
        <v>45757</v>
      </c>
      <c r="C621" s="5" t="s">
        <v>113</v>
      </c>
      <c r="D621" s="5" t="s">
        <v>45</v>
      </c>
      <c r="E621" s="5" t="s">
        <v>58</v>
      </c>
      <c r="F621" s="5" t="s">
        <v>59</v>
      </c>
      <c r="G621" s="5" t="s">
        <v>55</v>
      </c>
      <c r="H621" s="5">
        <v>14</v>
      </c>
      <c r="I621" s="7">
        <v>1695.1</v>
      </c>
      <c r="J621" s="6">
        <v>45767</v>
      </c>
      <c r="K621">
        <f t="shared" si="9"/>
        <v>23731.399999999998</v>
      </c>
      <c r="L621" t="str">
        <f>INDEX(Raw_Shipments!L621:L3049,MATCH(A621,Raw_Shipments!B621:B3049))</f>
        <v>Yes</v>
      </c>
    </row>
    <row r="622" spans="1:12" x14ac:dyDescent="0.3">
      <c r="A622" s="2" t="s">
        <v>771</v>
      </c>
      <c r="B622" s="3">
        <v>45757</v>
      </c>
      <c r="C622" s="2" t="s">
        <v>227</v>
      </c>
      <c r="D622" s="2" t="s">
        <v>30</v>
      </c>
      <c r="E622" s="2" t="s">
        <v>62</v>
      </c>
      <c r="F622" s="2" t="s">
        <v>63</v>
      </c>
      <c r="G622" s="2" t="s">
        <v>55</v>
      </c>
      <c r="H622" s="2">
        <v>37</v>
      </c>
      <c r="I622" s="4">
        <v>2555.2199999999998</v>
      </c>
      <c r="J622" s="3">
        <v>45765</v>
      </c>
      <c r="K622">
        <f t="shared" si="9"/>
        <v>94543.14</v>
      </c>
      <c r="L622" t="str">
        <f>INDEX(Raw_Shipments!L622:L3050,MATCH(A622,Raw_Shipments!B622:B3050))</f>
        <v>Yes</v>
      </c>
    </row>
    <row r="623" spans="1:12" x14ac:dyDescent="0.3">
      <c r="A623" s="5" t="s">
        <v>772</v>
      </c>
      <c r="B623" s="6">
        <v>45757</v>
      </c>
      <c r="C623" s="5" t="s">
        <v>49</v>
      </c>
      <c r="D623" s="5" t="s">
        <v>25</v>
      </c>
      <c r="E623" s="5" t="s">
        <v>15</v>
      </c>
      <c r="F623" s="5" t="s">
        <v>16</v>
      </c>
      <c r="G623" s="5" t="s">
        <v>17</v>
      </c>
      <c r="H623" s="5">
        <v>21</v>
      </c>
      <c r="I623" s="7">
        <v>183.06</v>
      </c>
      <c r="J623" s="6">
        <v>45765</v>
      </c>
      <c r="K623">
        <f t="shared" si="9"/>
        <v>3844.26</v>
      </c>
      <c r="L623" t="str">
        <f>INDEX(Raw_Shipments!L623:L3051,MATCH(A623,Raw_Shipments!B623:B3051))</f>
        <v>Yes</v>
      </c>
    </row>
    <row r="624" spans="1:12" x14ac:dyDescent="0.3">
      <c r="A624" s="2" t="s">
        <v>773</v>
      </c>
      <c r="B624" s="3">
        <v>45757</v>
      </c>
      <c r="C624" s="2" t="s">
        <v>356</v>
      </c>
      <c r="D624" s="2" t="s">
        <v>45</v>
      </c>
      <c r="E624" s="2" t="s">
        <v>119</v>
      </c>
      <c r="F624" s="2" t="s">
        <v>120</v>
      </c>
      <c r="G624" s="2" t="s">
        <v>22</v>
      </c>
      <c r="H624" s="2">
        <v>32</v>
      </c>
      <c r="I624" s="4">
        <v>912.26</v>
      </c>
      <c r="J624" s="3">
        <v>45766</v>
      </c>
      <c r="K624">
        <f t="shared" si="9"/>
        <v>29192.32</v>
      </c>
      <c r="L624" t="str">
        <f>INDEX(Raw_Shipments!L624:L3052,MATCH(A624,Raw_Shipments!B624:B3052))</f>
        <v>No</v>
      </c>
    </row>
    <row r="625" spans="1:12" x14ac:dyDescent="0.3">
      <c r="A625" s="5" t="s">
        <v>774</v>
      </c>
      <c r="B625" s="6">
        <v>45757</v>
      </c>
      <c r="C625" s="5" t="s">
        <v>400</v>
      </c>
      <c r="D625" s="5" t="s">
        <v>30</v>
      </c>
      <c r="E625" s="5" t="s">
        <v>31</v>
      </c>
      <c r="F625" s="5" t="s">
        <v>32</v>
      </c>
      <c r="G625" s="5" t="s">
        <v>33</v>
      </c>
      <c r="H625" s="5">
        <v>36</v>
      </c>
      <c r="I625" s="7">
        <v>689</v>
      </c>
      <c r="J625" s="6">
        <v>45763</v>
      </c>
      <c r="K625">
        <f t="shared" si="9"/>
        <v>24804</v>
      </c>
      <c r="L625" t="str">
        <f>INDEX(Raw_Shipments!L625:L3053,MATCH(A625,Raw_Shipments!B625:B3053))</f>
        <v>No</v>
      </c>
    </row>
    <row r="626" spans="1:12" x14ac:dyDescent="0.3">
      <c r="A626" s="2" t="s">
        <v>775</v>
      </c>
      <c r="B626" s="3">
        <v>45757</v>
      </c>
      <c r="C626" s="2" t="s">
        <v>312</v>
      </c>
      <c r="D626" s="2" t="s">
        <v>45</v>
      </c>
      <c r="E626" s="2" t="s">
        <v>36</v>
      </c>
      <c r="F626" s="2" t="s">
        <v>37</v>
      </c>
      <c r="G626" s="2" t="s">
        <v>33</v>
      </c>
      <c r="H626" s="2">
        <v>49</v>
      </c>
      <c r="I626" s="4">
        <v>1064.79</v>
      </c>
      <c r="J626" s="3">
        <v>45767</v>
      </c>
      <c r="K626">
        <f t="shared" si="9"/>
        <v>52174.71</v>
      </c>
      <c r="L626" t="str">
        <f>INDEX(Raw_Shipments!L626:L3054,MATCH(A626,Raw_Shipments!B626:B3054))</f>
        <v>Yes</v>
      </c>
    </row>
    <row r="627" spans="1:12" x14ac:dyDescent="0.3">
      <c r="A627" s="5" t="s">
        <v>776</v>
      </c>
      <c r="B627" s="6">
        <v>45757</v>
      </c>
      <c r="C627" s="5" t="s">
        <v>113</v>
      </c>
      <c r="D627" s="5" t="s">
        <v>45</v>
      </c>
      <c r="E627" s="5" t="s">
        <v>40</v>
      </c>
      <c r="F627" s="5" t="s">
        <v>41</v>
      </c>
      <c r="G627" s="5" t="s">
        <v>42</v>
      </c>
      <c r="H627" s="5">
        <v>18</v>
      </c>
      <c r="I627" s="7">
        <v>2445.11</v>
      </c>
      <c r="J627" s="6">
        <v>45762</v>
      </c>
      <c r="K627">
        <f t="shared" si="9"/>
        <v>44011.98</v>
      </c>
      <c r="L627" t="str">
        <f>INDEX(Raw_Shipments!L627:L3055,MATCH(A627,Raw_Shipments!B627:B3055))</f>
        <v>No</v>
      </c>
    </row>
    <row r="628" spans="1:12" x14ac:dyDescent="0.3">
      <c r="A628" s="2" t="s">
        <v>777</v>
      </c>
      <c r="B628" s="3">
        <v>45757</v>
      </c>
      <c r="C628" s="2" t="s">
        <v>39</v>
      </c>
      <c r="D628" s="2" t="s">
        <v>14</v>
      </c>
      <c r="E628" s="2" t="s">
        <v>50</v>
      </c>
      <c r="F628" s="2" t="s">
        <v>51</v>
      </c>
      <c r="G628" s="2" t="s">
        <v>42</v>
      </c>
      <c r="H628" s="2">
        <v>10</v>
      </c>
      <c r="I628" s="4">
        <v>1952.28</v>
      </c>
      <c r="J628" s="3">
        <v>45761</v>
      </c>
      <c r="K628">
        <f t="shared" si="9"/>
        <v>19522.8</v>
      </c>
      <c r="L628" t="str">
        <f>INDEX(Raw_Shipments!L628:L3056,MATCH(A628,Raw_Shipments!B628:B3056))</f>
        <v>No</v>
      </c>
    </row>
    <row r="629" spans="1:12" x14ac:dyDescent="0.3">
      <c r="A629" s="5" t="s">
        <v>778</v>
      </c>
      <c r="B629" s="6">
        <v>45758</v>
      </c>
      <c r="C629" s="5" t="s">
        <v>180</v>
      </c>
      <c r="D629" s="5" t="s">
        <v>45</v>
      </c>
      <c r="E629" s="5" t="s">
        <v>53</v>
      </c>
      <c r="F629" s="5" t="s">
        <v>54</v>
      </c>
      <c r="G629" s="5" t="s">
        <v>55</v>
      </c>
      <c r="H629" s="5">
        <v>39</v>
      </c>
      <c r="I629" s="7">
        <v>2055.9</v>
      </c>
      <c r="J629" s="6">
        <v>45766</v>
      </c>
      <c r="K629">
        <f t="shared" si="9"/>
        <v>80180.100000000006</v>
      </c>
      <c r="L629" t="str">
        <f>INDEX(Raw_Shipments!L629:L3057,MATCH(A629,Raw_Shipments!B629:B3057))</f>
        <v>Yes</v>
      </c>
    </row>
    <row r="630" spans="1:12" x14ac:dyDescent="0.3">
      <c r="A630" s="2" t="s">
        <v>779</v>
      </c>
      <c r="B630" s="3">
        <v>45758</v>
      </c>
      <c r="C630" s="2" t="s">
        <v>35</v>
      </c>
      <c r="D630" s="2" t="s">
        <v>45</v>
      </c>
      <c r="E630" s="2" t="s">
        <v>66</v>
      </c>
      <c r="F630" s="2" t="s">
        <v>67</v>
      </c>
      <c r="G630" s="2" t="s">
        <v>17</v>
      </c>
      <c r="H630" s="2">
        <v>18</v>
      </c>
      <c r="I630" s="4">
        <v>850.8</v>
      </c>
      <c r="J630" s="3">
        <v>45761</v>
      </c>
      <c r="K630">
        <f t="shared" si="9"/>
        <v>15314.4</v>
      </c>
      <c r="L630" t="str">
        <f>INDEX(Raw_Shipments!L630:L3058,MATCH(A630,Raw_Shipments!B630:B3058))</f>
        <v>No</v>
      </c>
    </row>
    <row r="631" spans="1:12" x14ac:dyDescent="0.3">
      <c r="A631" s="5" t="s">
        <v>780</v>
      </c>
      <c r="B631" s="6">
        <v>45758</v>
      </c>
      <c r="C631" s="5" t="s">
        <v>158</v>
      </c>
      <c r="D631" s="5" t="s">
        <v>45</v>
      </c>
      <c r="E631" s="5" t="s">
        <v>97</v>
      </c>
      <c r="F631" s="5" t="s">
        <v>98</v>
      </c>
      <c r="G631" s="5" t="s">
        <v>17</v>
      </c>
      <c r="H631" s="5">
        <v>42</v>
      </c>
      <c r="I631" s="7">
        <v>1110.6500000000001</v>
      </c>
      <c r="J631" s="6">
        <v>45763</v>
      </c>
      <c r="K631">
        <f t="shared" si="9"/>
        <v>46647.3</v>
      </c>
      <c r="L631" t="str">
        <f>INDEX(Raw_Shipments!L631:L3059,MATCH(A631,Raw_Shipments!B631:B3059))</f>
        <v>Yes</v>
      </c>
    </row>
    <row r="632" spans="1:12" x14ac:dyDescent="0.3">
      <c r="A632" s="2" t="s">
        <v>781</v>
      </c>
      <c r="B632" s="3">
        <v>45758</v>
      </c>
      <c r="C632" s="2" t="s">
        <v>122</v>
      </c>
      <c r="D632" s="2" t="s">
        <v>45</v>
      </c>
      <c r="E632" s="2" t="s">
        <v>20</v>
      </c>
      <c r="F632" s="2" t="s">
        <v>21</v>
      </c>
      <c r="G632" s="2" t="s">
        <v>22</v>
      </c>
      <c r="H632" s="2">
        <v>19</v>
      </c>
      <c r="I632" s="4">
        <v>2108.56</v>
      </c>
      <c r="J632" s="3">
        <v>45767</v>
      </c>
      <c r="K632">
        <f t="shared" si="9"/>
        <v>40062.639999999999</v>
      </c>
      <c r="L632" t="str">
        <f>INDEX(Raw_Shipments!L632:L3060,MATCH(A632,Raw_Shipments!B632:B3060))</f>
        <v>No</v>
      </c>
    </row>
    <row r="633" spans="1:12" x14ac:dyDescent="0.3">
      <c r="A633" s="5" t="s">
        <v>782</v>
      </c>
      <c r="B633" s="6">
        <v>45758</v>
      </c>
      <c r="C633" s="5" t="s">
        <v>65</v>
      </c>
      <c r="D633" s="5" t="s">
        <v>14</v>
      </c>
      <c r="E633" s="5" t="s">
        <v>86</v>
      </c>
      <c r="F633" s="5" t="s">
        <v>87</v>
      </c>
      <c r="G633" s="5" t="s">
        <v>33</v>
      </c>
      <c r="H633" s="5">
        <v>44</v>
      </c>
      <c r="I633" s="7">
        <v>815.88</v>
      </c>
      <c r="J633" s="6">
        <v>45768</v>
      </c>
      <c r="K633">
        <f t="shared" si="9"/>
        <v>35898.720000000001</v>
      </c>
      <c r="L633" t="str">
        <f>INDEX(Raw_Shipments!L633:L3061,MATCH(A633,Raw_Shipments!B633:B3061))</f>
        <v>No</v>
      </c>
    </row>
    <row r="634" spans="1:12" x14ac:dyDescent="0.3">
      <c r="A634" s="2" t="s">
        <v>783</v>
      </c>
      <c r="B634" s="3">
        <v>45758</v>
      </c>
      <c r="C634" s="2" t="s">
        <v>75</v>
      </c>
      <c r="D634" s="2" t="s">
        <v>25</v>
      </c>
      <c r="E634" s="2" t="s">
        <v>40</v>
      </c>
      <c r="F634" s="2" t="s">
        <v>41</v>
      </c>
      <c r="G634" s="2" t="s">
        <v>42</v>
      </c>
      <c r="H634" s="2">
        <v>21</v>
      </c>
      <c r="I634" s="4">
        <v>2445.11</v>
      </c>
      <c r="J634" s="3">
        <v>45763</v>
      </c>
      <c r="K634">
        <f t="shared" si="9"/>
        <v>51347.310000000005</v>
      </c>
      <c r="L634" t="str">
        <f>INDEX(Raw_Shipments!L634:L3062,MATCH(A634,Raw_Shipments!B634:B3062))</f>
        <v>No</v>
      </c>
    </row>
    <row r="635" spans="1:12" x14ac:dyDescent="0.3">
      <c r="A635" s="5" t="s">
        <v>784</v>
      </c>
      <c r="B635" s="6">
        <v>45758</v>
      </c>
      <c r="C635" s="5" t="s">
        <v>79</v>
      </c>
      <c r="D635" s="5" t="s">
        <v>45</v>
      </c>
      <c r="E635" s="5" t="s">
        <v>46</v>
      </c>
      <c r="F635" s="5" t="s">
        <v>47</v>
      </c>
      <c r="G635" s="5" t="s">
        <v>42</v>
      </c>
      <c r="H635" s="5">
        <v>7</v>
      </c>
      <c r="I635" s="7">
        <v>1833.14</v>
      </c>
      <c r="J635" s="6">
        <v>45766</v>
      </c>
      <c r="K635">
        <f t="shared" si="9"/>
        <v>12831.980000000001</v>
      </c>
      <c r="L635" t="str">
        <f>INDEX(Raw_Shipments!L635:L3063,MATCH(A635,Raw_Shipments!B635:B3063))</f>
        <v>No</v>
      </c>
    </row>
    <row r="636" spans="1:12" x14ac:dyDescent="0.3">
      <c r="A636" s="2" t="s">
        <v>785</v>
      </c>
      <c r="B636" s="3">
        <v>45758</v>
      </c>
      <c r="C636" s="2" t="s">
        <v>400</v>
      </c>
      <c r="D636" s="2" t="s">
        <v>30</v>
      </c>
      <c r="E636" s="2" t="s">
        <v>50</v>
      </c>
      <c r="F636" s="2" t="s">
        <v>51</v>
      </c>
      <c r="G636" s="2" t="s">
        <v>42</v>
      </c>
      <c r="H636" s="2">
        <v>8</v>
      </c>
      <c r="I636" s="4">
        <v>1952.28</v>
      </c>
      <c r="J636" s="3">
        <v>45764</v>
      </c>
      <c r="K636">
        <f t="shared" si="9"/>
        <v>15618.24</v>
      </c>
      <c r="L636" t="str">
        <f>INDEX(Raw_Shipments!L636:L3064,MATCH(A636,Raw_Shipments!B636:B3064))</f>
        <v>No</v>
      </c>
    </row>
    <row r="637" spans="1:12" x14ac:dyDescent="0.3">
      <c r="A637" s="5" t="s">
        <v>786</v>
      </c>
      <c r="B637" s="6">
        <v>45759</v>
      </c>
      <c r="C637" s="5" t="s">
        <v>152</v>
      </c>
      <c r="D637" s="5" t="s">
        <v>45</v>
      </c>
      <c r="E637" s="5" t="s">
        <v>62</v>
      </c>
      <c r="F637" s="5" t="s">
        <v>63</v>
      </c>
      <c r="G637" s="5" t="s">
        <v>55</v>
      </c>
      <c r="H637" s="5">
        <v>39</v>
      </c>
      <c r="I637" s="7">
        <v>2555.2199999999998</v>
      </c>
      <c r="J637" s="6">
        <v>45762</v>
      </c>
      <c r="K637">
        <f t="shared" si="9"/>
        <v>99653.579999999987</v>
      </c>
      <c r="L637" t="str">
        <f>INDEX(Raw_Shipments!L637:L3065,MATCH(A637,Raw_Shipments!B637:B3065))</f>
        <v>No</v>
      </c>
    </row>
    <row r="638" spans="1:12" x14ac:dyDescent="0.3">
      <c r="A638" s="2" t="s">
        <v>787</v>
      </c>
      <c r="B638" s="3">
        <v>45759</v>
      </c>
      <c r="C638" s="2" t="s">
        <v>139</v>
      </c>
      <c r="D638" s="2" t="s">
        <v>30</v>
      </c>
      <c r="E638" s="2" t="s">
        <v>66</v>
      </c>
      <c r="F638" s="2" t="s">
        <v>67</v>
      </c>
      <c r="G638" s="2" t="s">
        <v>17</v>
      </c>
      <c r="H638" s="2">
        <v>8</v>
      </c>
      <c r="I638" s="4">
        <v>850.8</v>
      </c>
      <c r="J638" s="3">
        <v>45762</v>
      </c>
      <c r="K638">
        <f t="shared" si="9"/>
        <v>6806.4</v>
      </c>
      <c r="L638" t="str">
        <f>INDEX(Raw_Shipments!L638:L3066,MATCH(A638,Raw_Shipments!B638:B3066))</f>
        <v>No</v>
      </c>
    </row>
    <row r="639" spans="1:12" x14ac:dyDescent="0.3">
      <c r="A639" s="5" t="s">
        <v>788</v>
      </c>
      <c r="B639" s="6">
        <v>45759</v>
      </c>
      <c r="C639" s="5" t="s">
        <v>431</v>
      </c>
      <c r="D639" s="5" t="s">
        <v>30</v>
      </c>
      <c r="E639" s="5" t="s">
        <v>15</v>
      </c>
      <c r="F639" s="5" t="s">
        <v>16</v>
      </c>
      <c r="G639" s="5" t="s">
        <v>17</v>
      </c>
      <c r="H639" s="5">
        <v>5</v>
      </c>
      <c r="I639" s="7">
        <v>183.06</v>
      </c>
      <c r="J639" s="6">
        <v>45762</v>
      </c>
      <c r="K639">
        <f t="shared" si="9"/>
        <v>915.3</v>
      </c>
      <c r="L639" t="str">
        <f>INDEX(Raw_Shipments!L639:L3067,MATCH(A639,Raw_Shipments!B639:B3067))</f>
        <v>No</v>
      </c>
    </row>
    <row r="640" spans="1:12" x14ac:dyDescent="0.3">
      <c r="A640" s="2" t="s">
        <v>789</v>
      </c>
      <c r="B640" s="3">
        <v>45759</v>
      </c>
      <c r="C640" s="2" t="s">
        <v>208</v>
      </c>
      <c r="D640" s="2" t="s">
        <v>45</v>
      </c>
      <c r="E640" s="2" t="s">
        <v>20</v>
      </c>
      <c r="F640" s="2" t="s">
        <v>21</v>
      </c>
      <c r="G640" s="2" t="s">
        <v>22</v>
      </c>
      <c r="H640" s="2">
        <v>16</v>
      </c>
      <c r="I640" s="4">
        <v>2108.56</v>
      </c>
      <c r="J640" s="3">
        <v>45768</v>
      </c>
      <c r="K640">
        <f t="shared" si="9"/>
        <v>33736.959999999999</v>
      </c>
      <c r="L640" t="str">
        <f>INDEX(Raw_Shipments!L640:L3068,MATCH(A640,Raw_Shipments!B640:B3068))</f>
        <v>Yes</v>
      </c>
    </row>
    <row r="641" spans="1:12" x14ac:dyDescent="0.3">
      <c r="A641" s="5" t="s">
        <v>790</v>
      </c>
      <c r="B641" s="6">
        <v>45759</v>
      </c>
      <c r="C641" s="5" t="s">
        <v>65</v>
      </c>
      <c r="D641" s="5" t="s">
        <v>14</v>
      </c>
      <c r="E641" s="5" t="s">
        <v>119</v>
      </c>
      <c r="F641" s="5" t="s">
        <v>120</v>
      </c>
      <c r="G641" s="5" t="s">
        <v>22</v>
      </c>
      <c r="H641" s="5">
        <v>17</v>
      </c>
      <c r="I641" s="7">
        <v>912.26</v>
      </c>
      <c r="J641" s="6">
        <v>45766</v>
      </c>
      <c r="K641">
        <f t="shared" si="9"/>
        <v>15508.42</v>
      </c>
      <c r="L641" t="str">
        <f>INDEX(Raw_Shipments!L641:L3069,MATCH(A641,Raw_Shipments!B641:B3069))</f>
        <v>Yes</v>
      </c>
    </row>
    <row r="642" spans="1:12" x14ac:dyDescent="0.3">
      <c r="A642" s="2" t="s">
        <v>791</v>
      </c>
      <c r="B642" s="3">
        <v>45759</v>
      </c>
      <c r="C642" s="2" t="s">
        <v>213</v>
      </c>
      <c r="D642" s="2" t="s">
        <v>45</v>
      </c>
      <c r="E642" s="2" t="s">
        <v>31</v>
      </c>
      <c r="F642" s="2" t="s">
        <v>32</v>
      </c>
      <c r="G642" s="2" t="s">
        <v>33</v>
      </c>
      <c r="H642" s="2">
        <v>24</v>
      </c>
      <c r="I642" s="4">
        <v>689</v>
      </c>
      <c r="J642" s="3">
        <v>45766</v>
      </c>
      <c r="K642">
        <f t="shared" si="9"/>
        <v>16536</v>
      </c>
      <c r="L642" t="str">
        <f>INDEX(Raw_Shipments!L642:L3070,MATCH(A642,Raw_Shipments!B642:B3070))</f>
        <v>Yes</v>
      </c>
    </row>
    <row r="643" spans="1:12" x14ac:dyDescent="0.3">
      <c r="A643" s="5" t="s">
        <v>792</v>
      </c>
      <c r="B643" s="6">
        <v>45759</v>
      </c>
      <c r="C643" s="5" t="s">
        <v>111</v>
      </c>
      <c r="D643" s="5" t="s">
        <v>14</v>
      </c>
      <c r="E643" s="5" t="s">
        <v>46</v>
      </c>
      <c r="F643" s="5" t="s">
        <v>47</v>
      </c>
      <c r="G643" s="5" t="s">
        <v>42</v>
      </c>
      <c r="H643" s="5">
        <v>5</v>
      </c>
      <c r="I643" s="7">
        <v>1833.14</v>
      </c>
      <c r="J643" s="6">
        <v>45762</v>
      </c>
      <c r="K643">
        <f t="shared" ref="K643:K706" si="10">I643*H643</f>
        <v>9165.7000000000007</v>
      </c>
      <c r="L643" t="str">
        <f>INDEX(Raw_Shipments!L643:L3071,MATCH(A643,Raw_Shipments!B643:B3071))</f>
        <v>No</v>
      </c>
    </row>
    <row r="644" spans="1:12" x14ac:dyDescent="0.3">
      <c r="A644" s="2" t="s">
        <v>793</v>
      </c>
      <c r="B644" s="3">
        <v>45760</v>
      </c>
      <c r="C644" s="2" t="s">
        <v>77</v>
      </c>
      <c r="D644" s="2" t="s">
        <v>30</v>
      </c>
      <c r="E644" s="2" t="s">
        <v>53</v>
      </c>
      <c r="F644" s="2" t="s">
        <v>54</v>
      </c>
      <c r="G644" s="2" t="s">
        <v>55</v>
      </c>
      <c r="H644" s="2">
        <v>29</v>
      </c>
      <c r="I644" s="4">
        <v>2055.9</v>
      </c>
      <c r="J644" s="3">
        <v>45767</v>
      </c>
      <c r="K644">
        <f t="shared" si="10"/>
        <v>59621.100000000006</v>
      </c>
      <c r="L644" t="str">
        <f>INDEX(Raw_Shipments!L644:L3072,MATCH(A644,Raw_Shipments!B644:B3072))</f>
        <v>No</v>
      </c>
    </row>
    <row r="645" spans="1:12" x14ac:dyDescent="0.3">
      <c r="A645" s="5" t="s">
        <v>794</v>
      </c>
      <c r="B645" s="6">
        <v>45760</v>
      </c>
      <c r="C645" s="5" t="s">
        <v>198</v>
      </c>
      <c r="D645" s="5" t="s">
        <v>30</v>
      </c>
      <c r="E645" s="5" t="s">
        <v>97</v>
      </c>
      <c r="F645" s="5" t="s">
        <v>98</v>
      </c>
      <c r="G645" s="5" t="s">
        <v>17</v>
      </c>
      <c r="H645" s="5">
        <v>31</v>
      </c>
      <c r="I645" s="7">
        <v>1110.6500000000001</v>
      </c>
      <c r="J645" s="6">
        <v>45766</v>
      </c>
      <c r="K645">
        <f t="shared" si="10"/>
        <v>34430.15</v>
      </c>
      <c r="L645" t="str">
        <f>INDEX(Raw_Shipments!L645:L3073,MATCH(A645,Raw_Shipments!B645:B3073))</f>
        <v>No</v>
      </c>
    </row>
    <row r="646" spans="1:12" x14ac:dyDescent="0.3">
      <c r="A646" s="2" t="s">
        <v>795</v>
      </c>
      <c r="B646" s="3">
        <v>45760</v>
      </c>
      <c r="C646" s="2" t="s">
        <v>191</v>
      </c>
      <c r="D646" s="2" t="s">
        <v>25</v>
      </c>
      <c r="E646" s="2" t="s">
        <v>15</v>
      </c>
      <c r="F646" s="2" t="s">
        <v>16</v>
      </c>
      <c r="G646" s="2" t="s">
        <v>17</v>
      </c>
      <c r="H646" s="2">
        <v>8</v>
      </c>
      <c r="I646" s="4">
        <v>183.06</v>
      </c>
      <c r="J646" s="3">
        <v>45767</v>
      </c>
      <c r="K646">
        <f t="shared" si="10"/>
        <v>1464.48</v>
      </c>
      <c r="L646" t="str">
        <f>INDEX(Raw_Shipments!L646:L3074,MATCH(A646,Raw_Shipments!B646:B3074))</f>
        <v>Yes</v>
      </c>
    </row>
    <row r="647" spans="1:12" x14ac:dyDescent="0.3">
      <c r="A647" s="5" t="s">
        <v>796</v>
      </c>
      <c r="B647" s="6">
        <v>45760</v>
      </c>
      <c r="C647" s="5" t="s">
        <v>39</v>
      </c>
      <c r="D647" s="5" t="s">
        <v>45</v>
      </c>
      <c r="E647" s="5" t="s">
        <v>119</v>
      </c>
      <c r="F647" s="5" t="s">
        <v>120</v>
      </c>
      <c r="G647" s="5" t="s">
        <v>22</v>
      </c>
      <c r="H647" s="5">
        <v>34</v>
      </c>
      <c r="I647" s="7">
        <v>912.26</v>
      </c>
      <c r="J647" s="6">
        <v>45765</v>
      </c>
      <c r="K647">
        <f t="shared" si="10"/>
        <v>31016.84</v>
      </c>
      <c r="L647" t="str">
        <f>INDEX(Raw_Shipments!L647:L3075,MATCH(A647,Raw_Shipments!B647:B3075))</f>
        <v>No</v>
      </c>
    </row>
    <row r="648" spans="1:12" x14ac:dyDescent="0.3">
      <c r="A648" s="2" t="s">
        <v>797</v>
      </c>
      <c r="B648" s="3">
        <v>45760</v>
      </c>
      <c r="C648" s="2" t="s">
        <v>418</v>
      </c>
      <c r="D648" s="2" t="s">
        <v>30</v>
      </c>
      <c r="E648" s="2" t="s">
        <v>31</v>
      </c>
      <c r="F648" s="2" t="s">
        <v>32</v>
      </c>
      <c r="G648" s="2" t="s">
        <v>33</v>
      </c>
      <c r="H648" s="2">
        <v>35</v>
      </c>
      <c r="I648" s="4">
        <v>689</v>
      </c>
      <c r="J648" s="3">
        <v>45766</v>
      </c>
      <c r="K648">
        <f t="shared" si="10"/>
        <v>24115</v>
      </c>
      <c r="L648" t="str">
        <f>INDEX(Raw_Shipments!L648:L3076,MATCH(A648,Raw_Shipments!B648:B3076))</f>
        <v>No</v>
      </c>
    </row>
    <row r="649" spans="1:12" x14ac:dyDescent="0.3">
      <c r="A649" s="5" t="s">
        <v>798</v>
      </c>
      <c r="B649" s="6">
        <v>45760</v>
      </c>
      <c r="C649" s="5" t="s">
        <v>144</v>
      </c>
      <c r="D649" s="5" t="s">
        <v>45</v>
      </c>
      <c r="E649" s="5" t="s">
        <v>50</v>
      </c>
      <c r="F649" s="5" t="s">
        <v>51</v>
      </c>
      <c r="G649" s="5" t="s">
        <v>42</v>
      </c>
      <c r="H649" s="5">
        <v>7</v>
      </c>
      <c r="I649" s="7">
        <v>1952.28</v>
      </c>
      <c r="J649" s="6">
        <v>45769</v>
      </c>
      <c r="K649">
        <f t="shared" si="10"/>
        <v>13665.96</v>
      </c>
      <c r="L649" t="str">
        <f>INDEX(Raw_Shipments!L649:L3077,MATCH(A649,Raw_Shipments!B649:B3077))</f>
        <v>No</v>
      </c>
    </row>
    <row r="650" spans="1:12" x14ac:dyDescent="0.3">
      <c r="A650" s="2" t="s">
        <v>799</v>
      </c>
      <c r="B650" s="3">
        <v>45761</v>
      </c>
      <c r="C650" s="2" t="s">
        <v>180</v>
      </c>
      <c r="D650" s="2" t="s">
        <v>30</v>
      </c>
      <c r="E650" s="2" t="s">
        <v>97</v>
      </c>
      <c r="F650" s="2" t="s">
        <v>98</v>
      </c>
      <c r="G650" s="2" t="s">
        <v>17</v>
      </c>
      <c r="H650" s="2">
        <v>26</v>
      </c>
      <c r="I650" s="4">
        <v>1110.6500000000001</v>
      </c>
      <c r="J650" s="3">
        <v>45764</v>
      </c>
      <c r="K650">
        <f t="shared" si="10"/>
        <v>28876.9</v>
      </c>
      <c r="L650" t="str">
        <f>INDEX(Raw_Shipments!L650:L3078,MATCH(A650,Raw_Shipments!B650:B3078))</f>
        <v>No</v>
      </c>
    </row>
    <row r="651" spans="1:12" x14ac:dyDescent="0.3">
      <c r="A651" s="5" t="s">
        <v>800</v>
      </c>
      <c r="B651" s="6">
        <v>45761</v>
      </c>
      <c r="C651" s="5" t="s">
        <v>91</v>
      </c>
      <c r="D651" s="5" t="s">
        <v>45</v>
      </c>
      <c r="E651" s="5" t="s">
        <v>20</v>
      </c>
      <c r="F651" s="5" t="s">
        <v>21</v>
      </c>
      <c r="G651" s="5" t="s">
        <v>22</v>
      </c>
      <c r="H651" s="5">
        <v>18</v>
      </c>
      <c r="I651" s="7">
        <v>2108.56</v>
      </c>
      <c r="J651" s="6">
        <v>45768</v>
      </c>
      <c r="K651">
        <f t="shared" si="10"/>
        <v>37954.080000000002</v>
      </c>
      <c r="L651" t="str">
        <f>INDEX(Raw_Shipments!L651:L3079,MATCH(A651,Raw_Shipments!B651:B3079))</f>
        <v>No</v>
      </c>
    </row>
    <row r="652" spans="1:12" x14ac:dyDescent="0.3">
      <c r="A652" s="2" t="s">
        <v>801</v>
      </c>
      <c r="B652" s="3">
        <v>45761</v>
      </c>
      <c r="C652" s="2" t="s">
        <v>213</v>
      </c>
      <c r="D652" s="2" t="s">
        <v>45</v>
      </c>
      <c r="E652" s="2" t="s">
        <v>36</v>
      </c>
      <c r="F652" s="2" t="s">
        <v>37</v>
      </c>
      <c r="G652" s="2" t="s">
        <v>33</v>
      </c>
      <c r="H652" s="2">
        <v>44</v>
      </c>
      <c r="I652" s="4">
        <v>1064.79</v>
      </c>
      <c r="J652" s="3">
        <v>45768</v>
      </c>
      <c r="K652">
        <f t="shared" si="10"/>
        <v>46850.759999999995</v>
      </c>
      <c r="L652" t="str">
        <f>INDEX(Raw_Shipments!L652:L3080,MATCH(A652,Raw_Shipments!B652:B3080))</f>
        <v>Yes</v>
      </c>
    </row>
    <row r="653" spans="1:12" x14ac:dyDescent="0.3">
      <c r="A653" s="5" t="s">
        <v>802</v>
      </c>
      <c r="B653" s="6">
        <v>45762</v>
      </c>
      <c r="C653" s="5" t="s">
        <v>96</v>
      </c>
      <c r="D653" s="5" t="s">
        <v>45</v>
      </c>
      <c r="E653" s="5" t="s">
        <v>58</v>
      </c>
      <c r="F653" s="5" t="s">
        <v>59</v>
      </c>
      <c r="G653" s="5" t="s">
        <v>55</v>
      </c>
      <c r="H653" s="5">
        <v>25</v>
      </c>
      <c r="I653" s="7">
        <v>1695.1</v>
      </c>
      <c r="J653" s="6">
        <v>45765</v>
      </c>
      <c r="K653">
        <f t="shared" si="10"/>
        <v>42377.5</v>
      </c>
      <c r="L653" t="str">
        <f>INDEX(Raw_Shipments!L653:L3081,MATCH(A653,Raw_Shipments!B653:B3081))</f>
        <v>No</v>
      </c>
    </row>
    <row r="654" spans="1:12" x14ac:dyDescent="0.3">
      <c r="A654" s="2" t="s">
        <v>803</v>
      </c>
      <c r="B654" s="3">
        <v>45762</v>
      </c>
      <c r="C654" s="2" t="s">
        <v>442</v>
      </c>
      <c r="D654" s="2" t="s">
        <v>45</v>
      </c>
      <c r="E654" s="2" t="s">
        <v>97</v>
      </c>
      <c r="F654" s="2" t="s">
        <v>98</v>
      </c>
      <c r="G654" s="2" t="s">
        <v>17</v>
      </c>
      <c r="H654" s="2">
        <v>17</v>
      </c>
      <c r="I654" s="4">
        <v>1110.6500000000001</v>
      </c>
      <c r="J654" s="3">
        <v>45765</v>
      </c>
      <c r="K654">
        <f t="shared" si="10"/>
        <v>18881.050000000003</v>
      </c>
      <c r="L654" t="str">
        <f>INDEX(Raw_Shipments!L654:L3082,MATCH(A654,Raw_Shipments!B654:B3082))</f>
        <v>No</v>
      </c>
    </row>
    <row r="655" spans="1:12" x14ac:dyDescent="0.3">
      <c r="A655" s="5" t="s">
        <v>804</v>
      </c>
      <c r="B655" s="6">
        <v>45762</v>
      </c>
      <c r="C655" s="5" t="s">
        <v>248</v>
      </c>
      <c r="D655" s="5" t="s">
        <v>14</v>
      </c>
      <c r="E655" s="5" t="s">
        <v>36</v>
      </c>
      <c r="F655" s="5" t="s">
        <v>37</v>
      </c>
      <c r="G655" s="5" t="s">
        <v>33</v>
      </c>
      <c r="H655" s="5">
        <v>49</v>
      </c>
      <c r="I655" s="7">
        <v>1064.79</v>
      </c>
      <c r="J655" s="6">
        <v>45769</v>
      </c>
      <c r="K655">
        <f t="shared" si="10"/>
        <v>52174.71</v>
      </c>
      <c r="L655" t="str">
        <f>INDEX(Raw_Shipments!L655:L3083,MATCH(A655,Raw_Shipments!B655:B3083))</f>
        <v>No</v>
      </c>
    </row>
    <row r="656" spans="1:12" x14ac:dyDescent="0.3">
      <c r="A656" s="2" t="s">
        <v>805</v>
      </c>
      <c r="B656" s="3">
        <v>45762</v>
      </c>
      <c r="C656" s="2" t="s">
        <v>178</v>
      </c>
      <c r="D656" s="2" t="s">
        <v>45</v>
      </c>
      <c r="E656" s="2" t="s">
        <v>40</v>
      </c>
      <c r="F656" s="2" t="s">
        <v>41</v>
      </c>
      <c r="G656" s="2" t="s">
        <v>42</v>
      </c>
      <c r="H656" s="2">
        <v>31</v>
      </c>
      <c r="I656" s="4">
        <v>2445.11</v>
      </c>
      <c r="J656" s="3">
        <v>45766</v>
      </c>
      <c r="K656">
        <f t="shared" si="10"/>
        <v>75798.41</v>
      </c>
      <c r="L656" t="str">
        <f>INDEX(Raw_Shipments!L656:L3084,MATCH(A656,Raw_Shipments!B656:B3084))</f>
        <v>No</v>
      </c>
    </row>
    <row r="657" spans="1:12" x14ac:dyDescent="0.3">
      <c r="A657" s="5" t="s">
        <v>806</v>
      </c>
      <c r="B657" s="6">
        <v>45762</v>
      </c>
      <c r="C657" s="5" t="s">
        <v>418</v>
      </c>
      <c r="D657" s="5" t="s">
        <v>25</v>
      </c>
      <c r="E657" s="5" t="s">
        <v>50</v>
      </c>
      <c r="F657" s="5" t="s">
        <v>51</v>
      </c>
      <c r="G657" s="5" t="s">
        <v>42</v>
      </c>
      <c r="H657" s="5">
        <v>9</v>
      </c>
      <c r="I657" s="7">
        <v>1952.28</v>
      </c>
      <c r="J657" s="6">
        <v>45766</v>
      </c>
      <c r="K657">
        <f t="shared" si="10"/>
        <v>17570.52</v>
      </c>
      <c r="L657" t="str">
        <f>INDEX(Raw_Shipments!L657:L3085,MATCH(A657,Raw_Shipments!B657:B3085))</f>
        <v>No</v>
      </c>
    </row>
    <row r="658" spans="1:12" x14ac:dyDescent="0.3">
      <c r="A658" s="2" t="s">
        <v>807</v>
      </c>
      <c r="B658" s="3">
        <v>45763</v>
      </c>
      <c r="C658" s="2" t="s">
        <v>44</v>
      </c>
      <c r="D658" s="2" t="s">
        <v>14</v>
      </c>
      <c r="E658" s="2" t="s">
        <v>40</v>
      </c>
      <c r="F658" s="2" t="s">
        <v>41</v>
      </c>
      <c r="G658" s="2" t="s">
        <v>42</v>
      </c>
      <c r="H658" s="2">
        <v>28</v>
      </c>
      <c r="I658" s="4">
        <v>2445.11</v>
      </c>
      <c r="J658" s="3">
        <v>45769</v>
      </c>
      <c r="K658">
        <f t="shared" si="10"/>
        <v>68463.08</v>
      </c>
      <c r="L658" t="str">
        <f>INDEX(Raw_Shipments!L658:L3086,MATCH(A658,Raw_Shipments!B658:B3086))</f>
        <v>No</v>
      </c>
    </row>
    <row r="659" spans="1:12" x14ac:dyDescent="0.3">
      <c r="A659" s="5" t="s">
        <v>808</v>
      </c>
      <c r="B659" s="6">
        <v>45763</v>
      </c>
      <c r="C659" s="5" t="s">
        <v>400</v>
      </c>
      <c r="D659" s="5" t="s">
        <v>45</v>
      </c>
      <c r="E659" s="5" t="s">
        <v>50</v>
      </c>
      <c r="F659" s="5" t="s">
        <v>51</v>
      </c>
      <c r="G659" s="5" t="s">
        <v>42</v>
      </c>
      <c r="H659" s="5">
        <v>9</v>
      </c>
      <c r="I659" s="7">
        <v>1952.28</v>
      </c>
      <c r="J659" s="6">
        <v>45771</v>
      </c>
      <c r="K659">
        <f t="shared" si="10"/>
        <v>17570.52</v>
      </c>
      <c r="L659" t="str">
        <f>INDEX(Raw_Shipments!L659:L3087,MATCH(A659,Raw_Shipments!B659:B3087))</f>
        <v>No</v>
      </c>
    </row>
    <row r="660" spans="1:12" x14ac:dyDescent="0.3">
      <c r="A660" s="2" t="s">
        <v>809</v>
      </c>
      <c r="B660" s="3">
        <v>45764</v>
      </c>
      <c r="C660" s="2" t="s">
        <v>81</v>
      </c>
      <c r="D660" s="2" t="s">
        <v>14</v>
      </c>
      <c r="E660" s="2" t="s">
        <v>58</v>
      </c>
      <c r="F660" s="2" t="s">
        <v>59</v>
      </c>
      <c r="G660" s="2" t="s">
        <v>55</v>
      </c>
      <c r="H660" s="2">
        <v>16</v>
      </c>
      <c r="I660" s="4">
        <v>1695.1</v>
      </c>
      <c r="J660" s="3">
        <v>45772</v>
      </c>
      <c r="K660">
        <f t="shared" si="10"/>
        <v>27121.599999999999</v>
      </c>
      <c r="L660" t="str">
        <f>INDEX(Raw_Shipments!L660:L3088,MATCH(A660,Raw_Shipments!B660:B3088))</f>
        <v>No</v>
      </c>
    </row>
    <row r="661" spans="1:12" x14ac:dyDescent="0.3">
      <c r="A661" s="5" t="s">
        <v>810</v>
      </c>
      <c r="B661" s="6">
        <v>45764</v>
      </c>
      <c r="C661" s="5" t="s">
        <v>420</v>
      </c>
      <c r="D661" s="5" t="s">
        <v>14</v>
      </c>
      <c r="E661" s="5" t="s">
        <v>66</v>
      </c>
      <c r="F661" s="5" t="s">
        <v>67</v>
      </c>
      <c r="G661" s="5" t="s">
        <v>17</v>
      </c>
      <c r="H661" s="5">
        <v>18</v>
      </c>
      <c r="I661" s="7">
        <v>850.8</v>
      </c>
      <c r="J661" s="6">
        <v>45771</v>
      </c>
      <c r="K661">
        <f t="shared" si="10"/>
        <v>15314.4</v>
      </c>
      <c r="L661" t="str">
        <f>INDEX(Raw_Shipments!L661:L3089,MATCH(A661,Raw_Shipments!B661:B3089))</f>
        <v>Yes</v>
      </c>
    </row>
    <row r="662" spans="1:12" x14ac:dyDescent="0.3">
      <c r="A662" s="2" t="s">
        <v>811</v>
      </c>
      <c r="B662" s="3">
        <v>45764</v>
      </c>
      <c r="C662" s="2" t="s">
        <v>113</v>
      </c>
      <c r="D662" s="2" t="s">
        <v>14</v>
      </c>
      <c r="E662" s="2" t="s">
        <v>15</v>
      </c>
      <c r="F662" s="2" t="s">
        <v>16</v>
      </c>
      <c r="G662" s="2" t="s">
        <v>17</v>
      </c>
      <c r="H662" s="2">
        <v>13</v>
      </c>
      <c r="I662" s="4">
        <v>183.06</v>
      </c>
      <c r="J662" s="3">
        <v>45770</v>
      </c>
      <c r="K662">
        <f t="shared" si="10"/>
        <v>2379.7800000000002</v>
      </c>
      <c r="L662" t="str">
        <f>INDEX(Raw_Shipments!L662:L3090,MATCH(A662,Raw_Shipments!B662:B3090))</f>
        <v>No</v>
      </c>
    </row>
    <row r="663" spans="1:12" x14ac:dyDescent="0.3">
      <c r="A663" s="5" t="s">
        <v>812</v>
      </c>
      <c r="B663" s="6">
        <v>45764</v>
      </c>
      <c r="C663" s="5" t="s">
        <v>13</v>
      </c>
      <c r="D663" s="5" t="s">
        <v>45</v>
      </c>
      <c r="E663" s="5" t="s">
        <v>26</v>
      </c>
      <c r="F663" s="5" t="s">
        <v>27</v>
      </c>
      <c r="G663" s="5" t="s">
        <v>22</v>
      </c>
      <c r="H663" s="5">
        <v>6</v>
      </c>
      <c r="I663" s="7">
        <v>1646.8</v>
      </c>
      <c r="J663" s="6">
        <v>45768</v>
      </c>
      <c r="K663">
        <f t="shared" si="10"/>
        <v>9880.7999999999993</v>
      </c>
      <c r="L663" t="str">
        <f>INDEX(Raw_Shipments!L663:L3091,MATCH(A663,Raw_Shipments!B663:B3091))</f>
        <v>No</v>
      </c>
    </row>
    <row r="664" spans="1:12" x14ac:dyDescent="0.3">
      <c r="A664" s="2" t="s">
        <v>813</v>
      </c>
      <c r="B664" s="3">
        <v>45764</v>
      </c>
      <c r="C664" s="2" t="s">
        <v>191</v>
      </c>
      <c r="D664" s="2" t="s">
        <v>25</v>
      </c>
      <c r="E664" s="2" t="s">
        <v>50</v>
      </c>
      <c r="F664" s="2" t="s">
        <v>51</v>
      </c>
      <c r="G664" s="2" t="s">
        <v>42</v>
      </c>
      <c r="H664" s="2">
        <v>4</v>
      </c>
      <c r="I664" s="4">
        <v>1952.28</v>
      </c>
      <c r="J664" s="3">
        <v>45774</v>
      </c>
      <c r="K664">
        <f t="shared" si="10"/>
        <v>7809.12</v>
      </c>
      <c r="L664" t="str">
        <f>INDEX(Raw_Shipments!L664:L3092,MATCH(A664,Raw_Shipments!B664:B3092))</f>
        <v>No</v>
      </c>
    </row>
    <row r="665" spans="1:12" x14ac:dyDescent="0.3">
      <c r="A665" s="5" t="s">
        <v>814</v>
      </c>
      <c r="B665" s="6">
        <v>45765</v>
      </c>
      <c r="C665" s="5" t="s">
        <v>61</v>
      </c>
      <c r="D665" s="5" t="s">
        <v>14</v>
      </c>
      <c r="E665" s="5" t="s">
        <v>66</v>
      </c>
      <c r="F665" s="5" t="s">
        <v>67</v>
      </c>
      <c r="G665" s="5" t="s">
        <v>17</v>
      </c>
      <c r="H665" s="5">
        <v>14</v>
      </c>
      <c r="I665" s="7">
        <v>850.8</v>
      </c>
      <c r="J665" s="6">
        <v>45771</v>
      </c>
      <c r="K665">
        <f t="shared" si="10"/>
        <v>11911.199999999999</v>
      </c>
      <c r="L665" t="str">
        <f>INDEX(Raw_Shipments!L665:L3093,MATCH(A665,Raw_Shipments!B665:B3093))</f>
        <v>No</v>
      </c>
    </row>
    <row r="666" spans="1:12" x14ac:dyDescent="0.3">
      <c r="A666" s="2" t="s">
        <v>815</v>
      </c>
      <c r="B666" s="3">
        <v>45765</v>
      </c>
      <c r="C666" s="2" t="s">
        <v>331</v>
      </c>
      <c r="D666" s="2" t="s">
        <v>25</v>
      </c>
      <c r="E666" s="2" t="s">
        <v>97</v>
      </c>
      <c r="F666" s="2" t="s">
        <v>98</v>
      </c>
      <c r="G666" s="2" t="s">
        <v>17</v>
      </c>
      <c r="H666" s="2">
        <v>30</v>
      </c>
      <c r="I666" s="4">
        <v>1110.6500000000001</v>
      </c>
      <c r="J666" s="3">
        <v>45768</v>
      </c>
      <c r="K666">
        <f t="shared" si="10"/>
        <v>33319.5</v>
      </c>
      <c r="L666" t="str">
        <f>INDEX(Raw_Shipments!L666:L3094,MATCH(A666,Raw_Shipments!B666:B3094))</f>
        <v>No</v>
      </c>
    </row>
    <row r="667" spans="1:12" x14ac:dyDescent="0.3">
      <c r="A667" s="5" t="s">
        <v>816</v>
      </c>
      <c r="B667" s="6">
        <v>45765</v>
      </c>
      <c r="C667" s="5" t="s">
        <v>79</v>
      </c>
      <c r="D667" s="5" t="s">
        <v>45</v>
      </c>
      <c r="E667" s="5" t="s">
        <v>15</v>
      </c>
      <c r="F667" s="5" t="s">
        <v>16</v>
      </c>
      <c r="G667" s="5" t="s">
        <v>17</v>
      </c>
      <c r="H667" s="5">
        <v>8</v>
      </c>
      <c r="I667" s="7">
        <v>183.06</v>
      </c>
      <c r="J667" s="6">
        <v>45770</v>
      </c>
      <c r="K667">
        <f t="shared" si="10"/>
        <v>1464.48</v>
      </c>
      <c r="L667" t="str">
        <f>INDEX(Raw_Shipments!L667:L3095,MATCH(A667,Raw_Shipments!B667:B3095))</f>
        <v>No</v>
      </c>
    </row>
    <row r="668" spans="1:12" x14ac:dyDescent="0.3">
      <c r="A668" s="2" t="s">
        <v>817</v>
      </c>
      <c r="B668" s="3">
        <v>45765</v>
      </c>
      <c r="C668" s="2" t="s">
        <v>356</v>
      </c>
      <c r="D668" s="2" t="s">
        <v>25</v>
      </c>
      <c r="E668" s="2" t="s">
        <v>31</v>
      </c>
      <c r="F668" s="2" t="s">
        <v>32</v>
      </c>
      <c r="G668" s="2" t="s">
        <v>33</v>
      </c>
      <c r="H668" s="2">
        <v>42</v>
      </c>
      <c r="I668" s="4">
        <v>689</v>
      </c>
      <c r="J668" s="3">
        <v>45773</v>
      </c>
      <c r="K668">
        <f t="shared" si="10"/>
        <v>28938</v>
      </c>
      <c r="L668" t="str">
        <f>INDEX(Raw_Shipments!L668:L3096,MATCH(A668,Raw_Shipments!B668:B3096))</f>
        <v>Yes</v>
      </c>
    </row>
    <row r="669" spans="1:12" x14ac:dyDescent="0.3">
      <c r="A669" s="5" t="s">
        <v>818</v>
      </c>
      <c r="B669" s="6">
        <v>45765</v>
      </c>
      <c r="C669" s="5" t="s">
        <v>262</v>
      </c>
      <c r="D669" s="5" t="s">
        <v>25</v>
      </c>
      <c r="E669" s="5" t="s">
        <v>36</v>
      </c>
      <c r="F669" s="5" t="s">
        <v>37</v>
      </c>
      <c r="G669" s="5" t="s">
        <v>33</v>
      </c>
      <c r="H669" s="5">
        <v>55</v>
      </c>
      <c r="I669" s="7">
        <v>1064.79</v>
      </c>
      <c r="J669" s="6">
        <v>45772</v>
      </c>
      <c r="K669">
        <f t="shared" si="10"/>
        <v>58563.45</v>
      </c>
      <c r="L669" t="str">
        <f>INDEX(Raw_Shipments!L669:L3097,MATCH(A669,Raw_Shipments!B669:B3097))</f>
        <v>No</v>
      </c>
    </row>
    <row r="670" spans="1:12" x14ac:dyDescent="0.3">
      <c r="A670" s="2" t="s">
        <v>819</v>
      </c>
      <c r="B670" s="3">
        <v>45765</v>
      </c>
      <c r="C670" s="2" t="s">
        <v>356</v>
      </c>
      <c r="D670" s="2" t="s">
        <v>30</v>
      </c>
      <c r="E670" s="2" t="s">
        <v>46</v>
      </c>
      <c r="F670" s="2" t="s">
        <v>47</v>
      </c>
      <c r="G670" s="2" t="s">
        <v>42</v>
      </c>
      <c r="H670" s="2">
        <v>5</v>
      </c>
      <c r="I670" s="4">
        <v>1833.14</v>
      </c>
      <c r="J670" s="3">
        <v>45773</v>
      </c>
      <c r="K670">
        <f t="shared" si="10"/>
        <v>9165.7000000000007</v>
      </c>
      <c r="L670" t="str">
        <f>INDEX(Raw_Shipments!L670:L3098,MATCH(A670,Raw_Shipments!B670:B3098))</f>
        <v>No</v>
      </c>
    </row>
    <row r="671" spans="1:12" x14ac:dyDescent="0.3">
      <c r="A671" s="5" t="s">
        <v>820</v>
      </c>
      <c r="B671" s="6">
        <v>45765</v>
      </c>
      <c r="C671" s="5" t="s">
        <v>191</v>
      </c>
      <c r="D671" s="5" t="s">
        <v>14</v>
      </c>
      <c r="E671" s="5" t="s">
        <v>50</v>
      </c>
      <c r="F671" s="5" t="s">
        <v>51</v>
      </c>
      <c r="G671" s="5" t="s">
        <v>42</v>
      </c>
      <c r="H671" s="5">
        <v>9</v>
      </c>
      <c r="I671" s="7">
        <v>1952.28</v>
      </c>
      <c r="J671" s="6">
        <v>45770</v>
      </c>
      <c r="K671">
        <f t="shared" si="10"/>
        <v>17570.52</v>
      </c>
      <c r="L671" t="str">
        <f>INDEX(Raw_Shipments!L671:L3099,MATCH(A671,Raw_Shipments!B671:B3099))</f>
        <v>No</v>
      </c>
    </row>
    <row r="672" spans="1:12" x14ac:dyDescent="0.3">
      <c r="A672" s="2" t="s">
        <v>821</v>
      </c>
      <c r="B672" s="3">
        <v>45766</v>
      </c>
      <c r="C672" s="2" t="s">
        <v>170</v>
      </c>
      <c r="D672" s="2" t="s">
        <v>14</v>
      </c>
      <c r="E672" s="2" t="s">
        <v>119</v>
      </c>
      <c r="F672" s="2" t="s">
        <v>120</v>
      </c>
      <c r="G672" s="2" t="s">
        <v>22</v>
      </c>
      <c r="H672" s="2">
        <v>47</v>
      </c>
      <c r="I672" s="4">
        <v>912.26</v>
      </c>
      <c r="J672" s="3">
        <v>45776</v>
      </c>
      <c r="K672">
        <f t="shared" si="10"/>
        <v>42876.22</v>
      </c>
      <c r="L672" t="str">
        <f>INDEX(Raw_Shipments!L672:L3100,MATCH(A672,Raw_Shipments!B672:B3100))</f>
        <v>No</v>
      </c>
    </row>
    <row r="673" spans="1:12" x14ac:dyDescent="0.3">
      <c r="A673" s="5" t="s">
        <v>822</v>
      </c>
      <c r="B673" s="6">
        <v>45766</v>
      </c>
      <c r="C673" s="5" t="s">
        <v>447</v>
      </c>
      <c r="D673" s="5" t="s">
        <v>25</v>
      </c>
      <c r="E673" s="5" t="s">
        <v>26</v>
      </c>
      <c r="F673" s="5" t="s">
        <v>27</v>
      </c>
      <c r="G673" s="5" t="s">
        <v>22</v>
      </c>
      <c r="H673" s="5">
        <v>9</v>
      </c>
      <c r="I673" s="7">
        <v>1646.8</v>
      </c>
      <c r="J673" s="6">
        <v>45771</v>
      </c>
      <c r="K673">
        <f t="shared" si="10"/>
        <v>14821.199999999999</v>
      </c>
      <c r="L673" t="str">
        <f>INDEX(Raw_Shipments!L673:L3101,MATCH(A673,Raw_Shipments!B673:B3101))</f>
        <v>Yes</v>
      </c>
    </row>
    <row r="674" spans="1:12" x14ac:dyDescent="0.3">
      <c r="A674" s="2" t="s">
        <v>823</v>
      </c>
      <c r="B674" s="3">
        <v>45766</v>
      </c>
      <c r="C674" s="2" t="s">
        <v>229</v>
      </c>
      <c r="D674" s="2" t="s">
        <v>14</v>
      </c>
      <c r="E674" s="2" t="s">
        <v>36</v>
      </c>
      <c r="F674" s="2" t="s">
        <v>37</v>
      </c>
      <c r="G674" s="2" t="s">
        <v>33</v>
      </c>
      <c r="H674" s="2">
        <v>22</v>
      </c>
      <c r="I674" s="4">
        <v>1064.79</v>
      </c>
      <c r="J674" s="3">
        <v>45775</v>
      </c>
      <c r="K674">
        <f t="shared" si="10"/>
        <v>23425.379999999997</v>
      </c>
      <c r="L674" t="str">
        <f>INDEX(Raw_Shipments!L674:L3102,MATCH(A674,Raw_Shipments!B674:B3102))</f>
        <v>Yes</v>
      </c>
    </row>
    <row r="675" spans="1:12" x14ac:dyDescent="0.3">
      <c r="A675" s="5" t="s">
        <v>824</v>
      </c>
      <c r="B675" s="6">
        <v>45766</v>
      </c>
      <c r="C675" s="5" t="s">
        <v>220</v>
      </c>
      <c r="D675" s="5" t="s">
        <v>45</v>
      </c>
      <c r="E675" s="5" t="s">
        <v>86</v>
      </c>
      <c r="F675" s="5" t="s">
        <v>87</v>
      </c>
      <c r="G675" s="5" t="s">
        <v>33</v>
      </c>
      <c r="H675" s="5">
        <v>21</v>
      </c>
      <c r="I675" s="7">
        <v>815.88</v>
      </c>
      <c r="J675" s="6">
        <v>45773</v>
      </c>
      <c r="K675">
        <f t="shared" si="10"/>
        <v>17133.48</v>
      </c>
      <c r="L675" t="str">
        <f>INDEX(Raw_Shipments!L675:L3103,MATCH(A675,Raw_Shipments!B675:B3103))</f>
        <v>Yes</v>
      </c>
    </row>
    <row r="676" spans="1:12" x14ac:dyDescent="0.3">
      <c r="A676" s="2" t="s">
        <v>825</v>
      </c>
      <c r="B676" s="3">
        <v>45766</v>
      </c>
      <c r="C676" s="2" t="s">
        <v>208</v>
      </c>
      <c r="D676" s="2" t="s">
        <v>45</v>
      </c>
      <c r="E676" s="2" t="s">
        <v>40</v>
      </c>
      <c r="F676" s="2" t="s">
        <v>41</v>
      </c>
      <c r="G676" s="2" t="s">
        <v>42</v>
      </c>
      <c r="H676" s="2">
        <v>21</v>
      </c>
      <c r="I676" s="4">
        <v>2445.11</v>
      </c>
      <c r="J676" s="3">
        <v>45773</v>
      </c>
      <c r="K676">
        <f t="shared" si="10"/>
        <v>51347.310000000005</v>
      </c>
      <c r="L676" t="str">
        <f>INDEX(Raw_Shipments!L676:L3104,MATCH(A676,Raw_Shipments!B676:B3104))</f>
        <v>No</v>
      </c>
    </row>
    <row r="677" spans="1:12" x14ac:dyDescent="0.3">
      <c r="A677" s="5" t="s">
        <v>826</v>
      </c>
      <c r="B677" s="6">
        <v>45766</v>
      </c>
      <c r="C677" s="5" t="s">
        <v>44</v>
      </c>
      <c r="D677" s="5" t="s">
        <v>14</v>
      </c>
      <c r="E677" s="5" t="s">
        <v>46</v>
      </c>
      <c r="F677" s="5" t="s">
        <v>47</v>
      </c>
      <c r="G677" s="5" t="s">
        <v>42</v>
      </c>
      <c r="H677" s="5">
        <v>8</v>
      </c>
      <c r="I677" s="7">
        <v>1833.14</v>
      </c>
      <c r="J677" s="6">
        <v>45774</v>
      </c>
      <c r="K677">
        <f t="shared" si="10"/>
        <v>14665.12</v>
      </c>
      <c r="L677" t="str">
        <f>INDEX(Raw_Shipments!L677:L3105,MATCH(A677,Raw_Shipments!B677:B3105))</f>
        <v>No</v>
      </c>
    </row>
    <row r="678" spans="1:12" x14ac:dyDescent="0.3">
      <c r="A678" s="2" t="s">
        <v>827</v>
      </c>
      <c r="B678" s="3">
        <v>45767</v>
      </c>
      <c r="C678" s="2" t="s">
        <v>510</v>
      </c>
      <c r="D678" s="2" t="s">
        <v>30</v>
      </c>
      <c r="E678" s="2" t="s">
        <v>66</v>
      </c>
      <c r="F678" s="2" t="s">
        <v>67</v>
      </c>
      <c r="G678" s="2" t="s">
        <v>17</v>
      </c>
      <c r="H678" s="2">
        <v>11</v>
      </c>
      <c r="I678" s="4">
        <v>850.8</v>
      </c>
      <c r="J678" s="3">
        <v>45777</v>
      </c>
      <c r="K678">
        <f t="shared" si="10"/>
        <v>9358.7999999999993</v>
      </c>
      <c r="L678" t="str">
        <f>INDEX(Raw_Shipments!L678:L3106,MATCH(A678,Raw_Shipments!B678:B3106))</f>
        <v>No</v>
      </c>
    </row>
    <row r="679" spans="1:12" x14ac:dyDescent="0.3">
      <c r="A679" s="5" t="s">
        <v>828</v>
      </c>
      <c r="B679" s="6">
        <v>45767</v>
      </c>
      <c r="C679" s="5" t="s">
        <v>81</v>
      </c>
      <c r="D679" s="5" t="s">
        <v>45</v>
      </c>
      <c r="E679" s="5" t="s">
        <v>36</v>
      </c>
      <c r="F679" s="5" t="s">
        <v>37</v>
      </c>
      <c r="G679" s="5" t="s">
        <v>33</v>
      </c>
      <c r="H679" s="5">
        <v>53</v>
      </c>
      <c r="I679" s="7">
        <v>1064.79</v>
      </c>
      <c r="J679" s="6">
        <v>45776</v>
      </c>
      <c r="K679">
        <f t="shared" si="10"/>
        <v>56433.869999999995</v>
      </c>
      <c r="L679" t="str">
        <f>INDEX(Raw_Shipments!L679:L3107,MATCH(A679,Raw_Shipments!B679:B3107))</f>
        <v>Yes</v>
      </c>
    </row>
    <row r="680" spans="1:12" x14ac:dyDescent="0.3">
      <c r="A680" s="2" t="s">
        <v>829</v>
      </c>
      <c r="B680" s="3">
        <v>45767</v>
      </c>
      <c r="C680" s="2" t="s">
        <v>172</v>
      </c>
      <c r="D680" s="2" t="s">
        <v>25</v>
      </c>
      <c r="E680" s="2" t="s">
        <v>86</v>
      </c>
      <c r="F680" s="2" t="s">
        <v>87</v>
      </c>
      <c r="G680" s="2" t="s">
        <v>33</v>
      </c>
      <c r="H680" s="2">
        <v>27</v>
      </c>
      <c r="I680" s="4">
        <v>815.88</v>
      </c>
      <c r="J680" s="3">
        <v>45774</v>
      </c>
      <c r="K680">
        <f t="shared" si="10"/>
        <v>22028.76</v>
      </c>
      <c r="L680" t="str">
        <f>INDEX(Raw_Shipments!L680:L3108,MATCH(A680,Raw_Shipments!B680:B3108))</f>
        <v>Yes</v>
      </c>
    </row>
    <row r="681" spans="1:12" x14ac:dyDescent="0.3">
      <c r="A681" s="5" t="s">
        <v>830</v>
      </c>
      <c r="B681" s="6">
        <v>45767</v>
      </c>
      <c r="C681" s="5" t="s">
        <v>139</v>
      </c>
      <c r="D681" s="5" t="s">
        <v>25</v>
      </c>
      <c r="E681" s="5" t="s">
        <v>46</v>
      </c>
      <c r="F681" s="5" t="s">
        <v>47</v>
      </c>
      <c r="G681" s="5" t="s">
        <v>42</v>
      </c>
      <c r="H681" s="5">
        <v>8</v>
      </c>
      <c r="I681" s="7">
        <v>1833.14</v>
      </c>
      <c r="J681" s="6">
        <v>45777</v>
      </c>
      <c r="K681">
        <f t="shared" si="10"/>
        <v>14665.12</v>
      </c>
      <c r="L681" t="str">
        <f>INDEX(Raw_Shipments!L681:L3109,MATCH(A681,Raw_Shipments!B681:B3109))</f>
        <v>No</v>
      </c>
    </row>
    <row r="682" spans="1:12" x14ac:dyDescent="0.3">
      <c r="A682" s="2" t="s">
        <v>831</v>
      </c>
      <c r="B682" s="3">
        <v>45768</v>
      </c>
      <c r="C682" s="2" t="s">
        <v>39</v>
      </c>
      <c r="D682" s="2" t="s">
        <v>25</v>
      </c>
      <c r="E682" s="2" t="s">
        <v>62</v>
      </c>
      <c r="F682" s="2" t="s">
        <v>63</v>
      </c>
      <c r="G682" s="2" t="s">
        <v>55</v>
      </c>
      <c r="H682" s="2">
        <v>39</v>
      </c>
      <c r="I682" s="4">
        <v>2555.2199999999998</v>
      </c>
      <c r="J682" s="3">
        <v>45774</v>
      </c>
      <c r="K682">
        <f t="shared" si="10"/>
        <v>99653.579999999987</v>
      </c>
      <c r="L682" t="str">
        <f>INDEX(Raw_Shipments!L682:L3110,MATCH(A682,Raw_Shipments!B682:B3110))</f>
        <v>No</v>
      </c>
    </row>
    <row r="683" spans="1:12" x14ac:dyDescent="0.3">
      <c r="A683" s="5" t="s">
        <v>832</v>
      </c>
      <c r="B683" s="6">
        <v>45768</v>
      </c>
      <c r="C683" s="5" t="s">
        <v>166</v>
      </c>
      <c r="D683" s="5" t="s">
        <v>45</v>
      </c>
      <c r="E683" s="5" t="s">
        <v>15</v>
      </c>
      <c r="F683" s="5" t="s">
        <v>16</v>
      </c>
      <c r="G683" s="5" t="s">
        <v>17</v>
      </c>
      <c r="H683" s="5">
        <v>12</v>
      </c>
      <c r="I683" s="7">
        <v>183.06</v>
      </c>
      <c r="J683" s="6">
        <v>45773</v>
      </c>
      <c r="K683">
        <f t="shared" si="10"/>
        <v>2196.7200000000003</v>
      </c>
      <c r="L683" t="str">
        <f>INDEX(Raw_Shipments!L683:L3111,MATCH(A683,Raw_Shipments!B683:B3111))</f>
        <v>No</v>
      </c>
    </row>
    <row r="684" spans="1:12" x14ac:dyDescent="0.3">
      <c r="A684" s="2" t="s">
        <v>833</v>
      </c>
      <c r="B684" s="3">
        <v>45768</v>
      </c>
      <c r="C684" s="2" t="s">
        <v>154</v>
      </c>
      <c r="D684" s="2" t="s">
        <v>30</v>
      </c>
      <c r="E684" s="2" t="s">
        <v>20</v>
      </c>
      <c r="F684" s="2" t="s">
        <v>21</v>
      </c>
      <c r="G684" s="2" t="s">
        <v>22</v>
      </c>
      <c r="H684" s="2">
        <v>18</v>
      </c>
      <c r="I684" s="4">
        <v>2108.56</v>
      </c>
      <c r="J684" s="3">
        <v>45771</v>
      </c>
      <c r="K684">
        <f t="shared" si="10"/>
        <v>37954.080000000002</v>
      </c>
      <c r="L684" t="str">
        <f>INDEX(Raw_Shipments!L684:L3112,MATCH(A684,Raw_Shipments!B684:B3112))</f>
        <v>No</v>
      </c>
    </row>
    <row r="685" spans="1:12" x14ac:dyDescent="0.3">
      <c r="A685" s="5" t="s">
        <v>834</v>
      </c>
      <c r="B685" s="6">
        <v>45768</v>
      </c>
      <c r="C685" s="5" t="s">
        <v>510</v>
      </c>
      <c r="D685" s="5" t="s">
        <v>30</v>
      </c>
      <c r="E685" s="5" t="s">
        <v>31</v>
      </c>
      <c r="F685" s="5" t="s">
        <v>32</v>
      </c>
      <c r="G685" s="5" t="s">
        <v>33</v>
      </c>
      <c r="H685" s="5">
        <v>32</v>
      </c>
      <c r="I685" s="7">
        <v>689</v>
      </c>
      <c r="J685" s="6">
        <v>45773</v>
      </c>
      <c r="K685">
        <f t="shared" si="10"/>
        <v>22048</v>
      </c>
      <c r="L685" t="str">
        <f>INDEX(Raw_Shipments!L685:L3113,MATCH(A685,Raw_Shipments!B685:B3113))</f>
        <v>No</v>
      </c>
    </row>
    <row r="686" spans="1:12" x14ac:dyDescent="0.3">
      <c r="A686" s="2" t="s">
        <v>835</v>
      </c>
      <c r="B686" s="3">
        <v>45768</v>
      </c>
      <c r="C686" s="2" t="s">
        <v>268</v>
      </c>
      <c r="D686" s="2" t="s">
        <v>14</v>
      </c>
      <c r="E686" s="2" t="s">
        <v>36</v>
      </c>
      <c r="F686" s="2" t="s">
        <v>37</v>
      </c>
      <c r="G686" s="2" t="s">
        <v>33</v>
      </c>
      <c r="H686" s="2">
        <v>38</v>
      </c>
      <c r="I686" s="4">
        <v>1064.79</v>
      </c>
      <c r="J686" s="3">
        <v>45773</v>
      </c>
      <c r="K686">
        <f t="shared" si="10"/>
        <v>40462.019999999997</v>
      </c>
      <c r="L686" t="str">
        <f>INDEX(Raw_Shipments!L686:L3114,MATCH(A686,Raw_Shipments!B686:B3114))</f>
        <v>No</v>
      </c>
    </row>
    <row r="687" spans="1:12" x14ac:dyDescent="0.3">
      <c r="A687" s="5" t="s">
        <v>836</v>
      </c>
      <c r="B687" s="6">
        <v>45768</v>
      </c>
      <c r="C687" s="5" t="s">
        <v>128</v>
      </c>
      <c r="D687" s="5" t="s">
        <v>30</v>
      </c>
      <c r="E687" s="5" t="s">
        <v>86</v>
      </c>
      <c r="F687" s="5" t="s">
        <v>87</v>
      </c>
      <c r="G687" s="5" t="s">
        <v>33</v>
      </c>
      <c r="H687" s="5">
        <v>33</v>
      </c>
      <c r="I687" s="7">
        <v>815.88</v>
      </c>
      <c r="J687" s="6">
        <v>45776</v>
      </c>
      <c r="K687">
        <f t="shared" si="10"/>
        <v>26924.04</v>
      </c>
      <c r="L687" t="str">
        <f>INDEX(Raw_Shipments!L687:L3115,MATCH(A687,Raw_Shipments!B687:B3115))</f>
        <v>Yes</v>
      </c>
    </row>
    <row r="688" spans="1:12" x14ac:dyDescent="0.3">
      <c r="A688" s="2" t="s">
        <v>837</v>
      </c>
      <c r="B688" s="3">
        <v>45769</v>
      </c>
      <c r="C688" s="2" t="s">
        <v>447</v>
      </c>
      <c r="D688" s="2" t="s">
        <v>30</v>
      </c>
      <c r="E688" s="2" t="s">
        <v>58</v>
      </c>
      <c r="F688" s="2" t="s">
        <v>59</v>
      </c>
      <c r="G688" s="2" t="s">
        <v>55</v>
      </c>
      <c r="H688" s="2">
        <v>24</v>
      </c>
      <c r="I688" s="4">
        <v>1695.1</v>
      </c>
      <c r="J688" s="3">
        <v>45779</v>
      </c>
      <c r="K688">
        <f t="shared" si="10"/>
        <v>40682.399999999994</v>
      </c>
      <c r="L688" t="str">
        <f>INDEX(Raw_Shipments!L688:L3116,MATCH(A688,Raw_Shipments!B688:B3116))</f>
        <v>No</v>
      </c>
    </row>
    <row r="689" spans="1:12" x14ac:dyDescent="0.3">
      <c r="A689" s="5" t="s">
        <v>838</v>
      </c>
      <c r="B689" s="6">
        <v>45769</v>
      </c>
      <c r="C689" s="5" t="s">
        <v>65</v>
      </c>
      <c r="D689" s="5" t="s">
        <v>14</v>
      </c>
      <c r="E689" s="5" t="s">
        <v>97</v>
      </c>
      <c r="F689" s="5" t="s">
        <v>98</v>
      </c>
      <c r="G689" s="5" t="s">
        <v>17</v>
      </c>
      <c r="H689" s="5">
        <v>23</v>
      </c>
      <c r="I689" s="7">
        <v>1110.6500000000001</v>
      </c>
      <c r="J689" s="6">
        <v>45777</v>
      </c>
      <c r="K689">
        <f t="shared" si="10"/>
        <v>25544.95</v>
      </c>
      <c r="L689" t="str">
        <f>INDEX(Raw_Shipments!L689:L3117,MATCH(A689,Raw_Shipments!B689:B3117))</f>
        <v>Yes</v>
      </c>
    </row>
    <row r="690" spans="1:12" x14ac:dyDescent="0.3">
      <c r="A690" s="2" t="s">
        <v>839</v>
      </c>
      <c r="B690" s="3">
        <v>45769</v>
      </c>
      <c r="C690" s="2" t="s">
        <v>170</v>
      </c>
      <c r="D690" s="2" t="s">
        <v>45</v>
      </c>
      <c r="E690" s="2" t="s">
        <v>20</v>
      </c>
      <c r="F690" s="2" t="s">
        <v>21</v>
      </c>
      <c r="G690" s="2" t="s">
        <v>22</v>
      </c>
      <c r="H690" s="2">
        <v>11</v>
      </c>
      <c r="I690" s="4">
        <v>2108.56</v>
      </c>
      <c r="J690" s="3">
        <v>45776</v>
      </c>
      <c r="K690">
        <f t="shared" si="10"/>
        <v>23194.16</v>
      </c>
      <c r="L690" t="str">
        <f>INDEX(Raw_Shipments!L690:L3118,MATCH(A690,Raw_Shipments!B690:B3118))</f>
        <v>Yes</v>
      </c>
    </row>
    <row r="691" spans="1:12" x14ac:dyDescent="0.3">
      <c r="A691" s="5" t="s">
        <v>840</v>
      </c>
      <c r="B691" s="6">
        <v>45769</v>
      </c>
      <c r="C691" s="5" t="s">
        <v>220</v>
      </c>
      <c r="D691" s="5" t="s">
        <v>45</v>
      </c>
      <c r="E691" s="5" t="s">
        <v>31</v>
      </c>
      <c r="F691" s="5" t="s">
        <v>32</v>
      </c>
      <c r="G691" s="5" t="s">
        <v>33</v>
      </c>
      <c r="H691" s="5">
        <v>46</v>
      </c>
      <c r="I691" s="7">
        <v>689</v>
      </c>
      <c r="J691" s="6">
        <v>45776</v>
      </c>
      <c r="K691">
        <f t="shared" si="10"/>
        <v>31694</v>
      </c>
      <c r="L691" t="str">
        <f>INDEX(Raw_Shipments!L691:L3119,MATCH(A691,Raw_Shipments!B691:B3119))</f>
        <v>No</v>
      </c>
    </row>
    <row r="692" spans="1:12" x14ac:dyDescent="0.3">
      <c r="A692" s="2" t="s">
        <v>841</v>
      </c>
      <c r="B692" s="3">
        <v>45769</v>
      </c>
      <c r="C692" s="2" t="s">
        <v>125</v>
      </c>
      <c r="D692" s="2" t="s">
        <v>25</v>
      </c>
      <c r="E692" s="2" t="s">
        <v>46</v>
      </c>
      <c r="F692" s="2" t="s">
        <v>47</v>
      </c>
      <c r="G692" s="2" t="s">
        <v>42</v>
      </c>
      <c r="H692" s="2">
        <v>6</v>
      </c>
      <c r="I692" s="4">
        <v>1833.14</v>
      </c>
      <c r="J692" s="3">
        <v>45775</v>
      </c>
      <c r="K692">
        <f t="shared" si="10"/>
        <v>10998.84</v>
      </c>
      <c r="L692" t="str">
        <f>INDEX(Raw_Shipments!L692:L3120,MATCH(A692,Raw_Shipments!B692:B3120))</f>
        <v>No</v>
      </c>
    </row>
    <row r="693" spans="1:12" x14ac:dyDescent="0.3">
      <c r="A693" s="5" t="s">
        <v>842</v>
      </c>
      <c r="B693" s="6">
        <v>45769</v>
      </c>
      <c r="C693" s="5" t="s">
        <v>166</v>
      </c>
      <c r="D693" s="5" t="s">
        <v>14</v>
      </c>
      <c r="E693" s="5" t="s">
        <v>50</v>
      </c>
      <c r="F693" s="5" t="s">
        <v>51</v>
      </c>
      <c r="G693" s="5" t="s">
        <v>42</v>
      </c>
      <c r="H693" s="5">
        <v>3</v>
      </c>
      <c r="I693" s="7">
        <v>1952.28</v>
      </c>
      <c r="J693" s="6">
        <v>45778</v>
      </c>
      <c r="K693">
        <f t="shared" si="10"/>
        <v>5856.84</v>
      </c>
      <c r="L693" t="str">
        <f>INDEX(Raw_Shipments!L693:L3121,MATCH(A693,Raw_Shipments!B693:B3121))</f>
        <v>No</v>
      </c>
    </row>
    <row r="694" spans="1:12" x14ac:dyDescent="0.3">
      <c r="A694" s="2" t="s">
        <v>843</v>
      </c>
      <c r="B694" s="3">
        <v>45770</v>
      </c>
      <c r="C694" s="2" t="s">
        <v>248</v>
      </c>
      <c r="D694" s="2" t="s">
        <v>25</v>
      </c>
      <c r="E694" s="2" t="s">
        <v>53</v>
      </c>
      <c r="F694" s="2" t="s">
        <v>54</v>
      </c>
      <c r="G694" s="2" t="s">
        <v>55</v>
      </c>
      <c r="H694" s="2">
        <v>32</v>
      </c>
      <c r="I694" s="4">
        <v>2055.9</v>
      </c>
      <c r="J694" s="3">
        <v>45779</v>
      </c>
      <c r="K694">
        <f t="shared" si="10"/>
        <v>65788.800000000003</v>
      </c>
      <c r="L694" t="str">
        <f>INDEX(Raw_Shipments!L694:L3122,MATCH(A694,Raw_Shipments!B694:B3122))</f>
        <v>Yes</v>
      </c>
    </row>
    <row r="695" spans="1:12" x14ac:dyDescent="0.3">
      <c r="A695" s="5" t="s">
        <v>844</v>
      </c>
      <c r="B695" s="6">
        <v>45770</v>
      </c>
      <c r="C695" s="5" t="s">
        <v>400</v>
      </c>
      <c r="D695" s="5" t="s">
        <v>25</v>
      </c>
      <c r="E695" s="5" t="s">
        <v>58</v>
      </c>
      <c r="F695" s="5" t="s">
        <v>59</v>
      </c>
      <c r="G695" s="5" t="s">
        <v>55</v>
      </c>
      <c r="H695" s="5">
        <v>11</v>
      </c>
      <c r="I695" s="7">
        <v>1695.1</v>
      </c>
      <c r="J695" s="6">
        <v>45776</v>
      </c>
      <c r="K695">
        <f t="shared" si="10"/>
        <v>18646.099999999999</v>
      </c>
      <c r="L695" t="str">
        <f>INDEX(Raw_Shipments!L695:L3123,MATCH(A695,Raw_Shipments!B695:B3123))</f>
        <v>No</v>
      </c>
    </row>
    <row r="696" spans="1:12" x14ac:dyDescent="0.3">
      <c r="A696" s="2" t="s">
        <v>845</v>
      </c>
      <c r="B696" s="3">
        <v>45770</v>
      </c>
      <c r="C696" s="2" t="s">
        <v>213</v>
      </c>
      <c r="D696" s="2" t="s">
        <v>45</v>
      </c>
      <c r="E696" s="2" t="s">
        <v>62</v>
      </c>
      <c r="F696" s="2" t="s">
        <v>63</v>
      </c>
      <c r="G696" s="2" t="s">
        <v>55</v>
      </c>
      <c r="H696" s="2">
        <v>34</v>
      </c>
      <c r="I696" s="4">
        <v>2555.2199999999998</v>
      </c>
      <c r="J696" s="3">
        <v>45779</v>
      </c>
      <c r="K696">
        <f t="shared" si="10"/>
        <v>86877.48</v>
      </c>
      <c r="L696" t="str">
        <f>INDEX(Raw_Shipments!L696:L3124,MATCH(A696,Raw_Shipments!B696:B3124))</f>
        <v>No</v>
      </c>
    </row>
    <row r="697" spans="1:12" x14ac:dyDescent="0.3">
      <c r="A697" s="5" t="s">
        <v>846</v>
      </c>
      <c r="B697" s="6">
        <v>45770</v>
      </c>
      <c r="C697" s="5" t="s">
        <v>100</v>
      </c>
      <c r="D697" s="5" t="s">
        <v>30</v>
      </c>
      <c r="E697" s="5" t="s">
        <v>66</v>
      </c>
      <c r="F697" s="5" t="s">
        <v>67</v>
      </c>
      <c r="G697" s="5" t="s">
        <v>17</v>
      </c>
      <c r="H697" s="5">
        <v>5</v>
      </c>
      <c r="I697" s="7">
        <v>850.8</v>
      </c>
      <c r="J697" s="6">
        <v>45777</v>
      </c>
      <c r="K697">
        <f t="shared" si="10"/>
        <v>4254</v>
      </c>
      <c r="L697" t="str">
        <f>INDEX(Raw_Shipments!L697:L3125,MATCH(A697,Raw_Shipments!B697:B3125))</f>
        <v>Yes</v>
      </c>
    </row>
    <row r="698" spans="1:12" x14ac:dyDescent="0.3">
      <c r="A698" s="2" t="s">
        <v>847</v>
      </c>
      <c r="B698" s="3">
        <v>45770</v>
      </c>
      <c r="C698" s="2" t="s">
        <v>438</v>
      </c>
      <c r="D698" s="2" t="s">
        <v>45</v>
      </c>
      <c r="E698" s="2" t="s">
        <v>15</v>
      </c>
      <c r="F698" s="2" t="s">
        <v>16</v>
      </c>
      <c r="G698" s="2" t="s">
        <v>17</v>
      </c>
      <c r="H698" s="2">
        <v>11</v>
      </c>
      <c r="I698" s="4">
        <v>183.06</v>
      </c>
      <c r="J698" s="3">
        <v>45773</v>
      </c>
      <c r="K698">
        <f t="shared" si="10"/>
        <v>2013.66</v>
      </c>
      <c r="L698" t="str">
        <f>INDEX(Raw_Shipments!L698:L3126,MATCH(A698,Raw_Shipments!B698:B3126))</f>
        <v>No</v>
      </c>
    </row>
    <row r="699" spans="1:12" x14ac:dyDescent="0.3">
      <c r="A699" s="5" t="s">
        <v>848</v>
      </c>
      <c r="B699" s="6">
        <v>45770</v>
      </c>
      <c r="C699" s="5" t="s">
        <v>69</v>
      </c>
      <c r="D699" s="5" t="s">
        <v>25</v>
      </c>
      <c r="E699" s="5" t="s">
        <v>119</v>
      </c>
      <c r="F699" s="5" t="s">
        <v>120</v>
      </c>
      <c r="G699" s="5" t="s">
        <v>22</v>
      </c>
      <c r="H699" s="5">
        <v>34</v>
      </c>
      <c r="I699" s="7">
        <v>912.26</v>
      </c>
      <c r="J699" s="6">
        <v>45774</v>
      </c>
      <c r="K699">
        <f t="shared" si="10"/>
        <v>31016.84</v>
      </c>
      <c r="L699" t="str">
        <f>INDEX(Raw_Shipments!L699:L3127,MATCH(A699,Raw_Shipments!B699:B3127))</f>
        <v>No</v>
      </c>
    </row>
    <row r="700" spans="1:12" x14ac:dyDescent="0.3">
      <c r="A700" s="2" t="s">
        <v>849</v>
      </c>
      <c r="B700" s="3">
        <v>45770</v>
      </c>
      <c r="C700" s="2" t="s">
        <v>438</v>
      </c>
      <c r="D700" s="2" t="s">
        <v>45</v>
      </c>
      <c r="E700" s="2" t="s">
        <v>26</v>
      </c>
      <c r="F700" s="2" t="s">
        <v>27</v>
      </c>
      <c r="G700" s="2" t="s">
        <v>22</v>
      </c>
      <c r="H700" s="2">
        <v>18</v>
      </c>
      <c r="I700" s="4">
        <v>1646.8</v>
      </c>
      <c r="J700" s="3">
        <v>45774</v>
      </c>
      <c r="K700">
        <f t="shared" si="10"/>
        <v>29642.399999999998</v>
      </c>
      <c r="L700" t="str">
        <f>INDEX(Raw_Shipments!L700:L3128,MATCH(A700,Raw_Shipments!B700:B3128))</f>
        <v>No</v>
      </c>
    </row>
    <row r="701" spans="1:12" x14ac:dyDescent="0.3">
      <c r="A701" s="5" t="s">
        <v>850</v>
      </c>
      <c r="B701" s="6">
        <v>45770</v>
      </c>
      <c r="C701" s="5" t="s">
        <v>337</v>
      </c>
      <c r="D701" s="5" t="s">
        <v>25</v>
      </c>
      <c r="E701" s="5" t="s">
        <v>36</v>
      </c>
      <c r="F701" s="5" t="s">
        <v>37</v>
      </c>
      <c r="G701" s="5" t="s">
        <v>33</v>
      </c>
      <c r="H701" s="5">
        <v>39</v>
      </c>
      <c r="I701" s="7">
        <v>1064.79</v>
      </c>
      <c r="J701" s="6">
        <v>45777</v>
      </c>
      <c r="K701">
        <f t="shared" si="10"/>
        <v>41526.81</v>
      </c>
      <c r="L701" t="str">
        <f>INDEX(Raw_Shipments!L701:L3129,MATCH(A701,Raw_Shipments!B701:B3129))</f>
        <v>No</v>
      </c>
    </row>
    <row r="702" spans="1:12" x14ac:dyDescent="0.3">
      <c r="A702" s="2" t="s">
        <v>851</v>
      </c>
      <c r="B702" s="3">
        <v>45770</v>
      </c>
      <c r="C702" s="2" t="s">
        <v>203</v>
      </c>
      <c r="D702" s="2" t="s">
        <v>30</v>
      </c>
      <c r="E702" s="2" t="s">
        <v>46</v>
      </c>
      <c r="F702" s="2" t="s">
        <v>47</v>
      </c>
      <c r="G702" s="2" t="s">
        <v>42</v>
      </c>
      <c r="H702" s="2">
        <v>9</v>
      </c>
      <c r="I702" s="4">
        <v>1833.14</v>
      </c>
      <c r="J702" s="3">
        <v>45773</v>
      </c>
      <c r="K702">
        <f t="shared" si="10"/>
        <v>16498.260000000002</v>
      </c>
      <c r="L702" t="str">
        <f>INDEX(Raw_Shipments!L702:L3130,MATCH(A702,Raw_Shipments!B702:B3130))</f>
        <v>No</v>
      </c>
    </row>
    <row r="703" spans="1:12" x14ac:dyDescent="0.3">
      <c r="A703" s="5" t="s">
        <v>852</v>
      </c>
      <c r="B703" s="6">
        <v>45770</v>
      </c>
      <c r="C703" s="5" t="s">
        <v>420</v>
      </c>
      <c r="D703" s="5" t="s">
        <v>14</v>
      </c>
      <c r="E703" s="5" t="s">
        <v>50</v>
      </c>
      <c r="F703" s="5" t="s">
        <v>51</v>
      </c>
      <c r="G703" s="5" t="s">
        <v>42</v>
      </c>
      <c r="H703" s="5">
        <v>2</v>
      </c>
      <c r="I703" s="7">
        <v>1952.28</v>
      </c>
      <c r="J703" s="6">
        <v>45780</v>
      </c>
      <c r="K703">
        <f t="shared" si="10"/>
        <v>3904.56</v>
      </c>
      <c r="L703" t="str">
        <f>INDEX(Raw_Shipments!L703:L3131,MATCH(A703,Raw_Shipments!B703:B3131))</f>
        <v>No</v>
      </c>
    </row>
    <row r="704" spans="1:12" x14ac:dyDescent="0.3">
      <c r="A704" s="2" t="s">
        <v>853</v>
      </c>
      <c r="B704" s="3">
        <v>45771</v>
      </c>
      <c r="C704" s="2" t="s">
        <v>227</v>
      </c>
      <c r="D704" s="2" t="s">
        <v>30</v>
      </c>
      <c r="E704" s="2" t="s">
        <v>58</v>
      </c>
      <c r="F704" s="2" t="s">
        <v>59</v>
      </c>
      <c r="G704" s="2" t="s">
        <v>55</v>
      </c>
      <c r="H704" s="2">
        <v>16</v>
      </c>
      <c r="I704" s="4">
        <v>1695.1</v>
      </c>
      <c r="J704" s="3">
        <v>45777</v>
      </c>
      <c r="K704">
        <f t="shared" si="10"/>
        <v>27121.599999999999</v>
      </c>
      <c r="L704" t="str">
        <f>INDEX(Raw_Shipments!L704:L3132,MATCH(A704,Raw_Shipments!B704:B3132))</f>
        <v>No</v>
      </c>
    </row>
    <row r="705" spans="1:12" x14ac:dyDescent="0.3">
      <c r="A705" s="5" t="s">
        <v>854</v>
      </c>
      <c r="B705" s="6">
        <v>45771</v>
      </c>
      <c r="C705" s="5" t="s">
        <v>595</v>
      </c>
      <c r="D705" s="5" t="s">
        <v>30</v>
      </c>
      <c r="E705" s="5" t="s">
        <v>62</v>
      </c>
      <c r="F705" s="5" t="s">
        <v>63</v>
      </c>
      <c r="G705" s="5" t="s">
        <v>55</v>
      </c>
      <c r="H705" s="5">
        <v>37</v>
      </c>
      <c r="I705" s="7">
        <v>2555.2199999999998</v>
      </c>
      <c r="J705" s="6">
        <v>45774</v>
      </c>
      <c r="K705">
        <f t="shared" si="10"/>
        <v>94543.14</v>
      </c>
      <c r="L705" t="str">
        <f>INDEX(Raw_Shipments!L705:L3133,MATCH(A705,Raw_Shipments!B705:B3133))</f>
        <v>No</v>
      </c>
    </row>
    <row r="706" spans="1:12" x14ac:dyDescent="0.3">
      <c r="A706" s="2" t="s">
        <v>855</v>
      </c>
      <c r="B706" s="3">
        <v>45771</v>
      </c>
      <c r="C706" s="2" t="s">
        <v>279</v>
      </c>
      <c r="D706" s="2" t="s">
        <v>25</v>
      </c>
      <c r="E706" s="2" t="s">
        <v>97</v>
      </c>
      <c r="F706" s="2" t="s">
        <v>98</v>
      </c>
      <c r="G706" s="2" t="s">
        <v>17</v>
      </c>
      <c r="H706" s="2">
        <v>24</v>
      </c>
      <c r="I706" s="4">
        <v>1110.6500000000001</v>
      </c>
      <c r="J706" s="3">
        <v>45780</v>
      </c>
      <c r="K706">
        <f t="shared" si="10"/>
        <v>26655.600000000002</v>
      </c>
      <c r="L706" t="str">
        <f>INDEX(Raw_Shipments!L706:L3134,MATCH(A706,Raw_Shipments!B706:B3134))</f>
        <v>No</v>
      </c>
    </row>
    <row r="707" spans="1:12" x14ac:dyDescent="0.3">
      <c r="A707" s="5" t="s">
        <v>856</v>
      </c>
      <c r="B707" s="6">
        <v>45771</v>
      </c>
      <c r="C707" s="5" t="s">
        <v>89</v>
      </c>
      <c r="D707" s="5" t="s">
        <v>45</v>
      </c>
      <c r="E707" s="5" t="s">
        <v>20</v>
      </c>
      <c r="F707" s="5" t="s">
        <v>21</v>
      </c>
      <c r="G707" s="5" t="s">
        <v>22</v>
      </c>
      <c r="H707" s="5">
        <v>11</v>
      </c>
      <c r="I707" s="7">
        <v>2108.56</v>
      </c>
      <c r="J707" s="6">
        <v>45774</v>
      </c>
      <c r="K707">
        <f t="shared" ref="K707:K770" si="11">I707*H707</f>
        <v>23194.16</v>
      </c>
      <c r="L707" t="str">
        <f>INDEX(Raw_Shipments!L707:L3135,MATCH(A707,Raw_Shipments!B707:B3135))</f>
        <v>No</v>
      </c>
    </row>
    <row r="708" spans="1:12" x14ac:dyDescent="0.3">
      <c r="A708" s="2" t="s">
        <v>857</v>
      </c>
      <c r="B708" s="3">
        <v>45771</v>
      </c>
      <c r="C708" s="2" t="s">
        <v>109</v>
      </c>
      <c r="D708" s="2" t="s">
        <v>14</v>
      </c>
      <c r="E708" s="2" t="s">
        <v>119</v>
      </c>
      <c r="F708" s="2" t="s">
        <v>120</v>
      </c>
      <c r="G708" s="2" t="s">
        <v>22</v>
      </c>
      <c r="H708" s="2">
        <v>34</v>
      </c>
      <c r="I708" s="4">
        <v>912.26</v>
      </c>
      <c r="J708" s="3">
        <v>45774</v>
      </c>
      <c r="K708">
        <f t="shared" si="11"/>
        <v>31016.84</v>
      </c>
      <c r="L708" t="str">
        <f>INDEX(Raw_Shipments!L708:L3136,MATCH(A708,Raw_Shipments!B708:B3136))</f>
        <v>No</v>
      </c>
    </row>
    <row r="709" spans="1:12" x14ac:dyDescent="0.3">
      <c r="A709" s="5" t="s">
        <v>858</v>
      </c>
      <c r="B709" s="6">
        <v>45771</v>
      </c>
      <c r="C709" s="5" t="s">
        <v>128</v>
      </c>
      <c r="D709" s="5" t="s">
        <v>45</v>
      </c>
      <c r="E709" s="5" t="s">
        <v>31</v>
      </c>
      <c r="F709" s="5" t="s">
        <v>32</v>
      </c>
      <c r="G709" s="5" t="s">
        <v>33</v>
      </c>
      <c r="H709" s="5">
        <v>31</v>
      </c>
      <c r="I709" s="7">
        <v>689</v>
      </c>
      <c r="J709" s="6">
        <v>45780</v>
      </c>
      <c r="K709">
        <f t="shared" si="11"/>
        <v>21359</v>
      </c>
      <c r="L709" t="str">
        <f>INDEX(Raw_Shipments!L709:L3137,MATCH(A709,Raw_Shipments!B709:B3137))</f>
        <v>Yes</v>
      </c>
    </row>
    <row r="710" spans="1:12" x14ac:dyDescent="0.3">
      <c r="A710" s="2" t="s">
        <v>859</v>
      </c>
      <c r="B710" s="3">
        <v>45771</v>
      </c>
      <c r="C710" s="2" t="s">
        <v>170</v>
      </c>
      <c r="D710" s="2" t="s">
        <v>45</v>
      </c>
      <c r="E710" s="2" t="s">
        <v>36</v>
      </c>
      <c r="F710" s="2" t="s">
        <v>37</v>
      </c>
      <c r="G710" s="2" t="s">
        <v>33</v>
      </c>
      <c r="H710" s="2">
        <v>37</v>
      </c>
      <c r="I710" s="4">
        <v>1064.79</v>
      </c>
      <c r="J710" s="3">
        <v>45777</v>
      </c>
      <c r="K710">
        <f t="shared" si="11"/>
        <v>39397.229999999996</v>
      </c>
      <c r="L710" t="str">
        <f>INDEX(Raw_Shipments!L710:L3138,MATCH(A710,Raw_Shipments!B710:B3138))</f>
        <v>No</v>
      </c>
    </row>
    <row r="711" spans="1:12" x14ac:dyDescent="0.3">
      <c r="A711" s="5" t="s">
        <v>860</v>
      </c>
      <c r="B711" s="6">
        <v>45771</v>
      </c>
      <c r="C711" s="5" t="s">
        <v>35</v>
      </c>
      <c r="D711" s="5" t="s">
        <v>14</v>
      </c>
      <c r="E711" s="5" t="s">
        <v>50</v>
      </c>
      <c r="F711" s="5" t="s">
        <v>51</v>
      </c>
      <c r="G711" s="5" t="s">
        <v>42</v>
      </c>
      <c r="H711" s="5">
        <v>10</v>
      </c>
      <c r="I711" s="7">
        <v>1952.28</v>
      </c>
      <c r="J711" s="6">
        <v>45775</v>
      </c>
      <c r="K711">
        <f t="shared" si="11"/>
        <v>19522.8</v>
      </c>
      <c r="L711" t="str">
        <f>INDEX(Raw_Shipments!L711:L3139,MATCH(A711,Raw_Shipments!B711:B3139))</f>
        <v>No</v>
      </c>
    </row>
    <row r="712" spans="1:12" x14ac:dyDescent="0.3">
      <c r="A712" s="2" t="s">
        <v>861</v>
      </c>
      <c r="B712" s="3">
        <v>45772</v>
      </c>
      <c r="C712" s="2" t="s">
        <v>71</v>
      </c>
      <c r="D712" s="2" t="s">
        <v>25</v>
      </c>
      <c r="E712" s="2" t="s">
        <v>62</v>
      </c>
      <c r="F712" s="2" t="s">
        <v>63</v>
      </c>
      <c r="G712" s="2" t="s">
        <v>55</v>
      </c>
      <c r="H712" s="2">
        <v>56</v>
      </c>
      <c r="I712" s="4">
        <v>2555.2199999999998</v>
      </c>
      <c r="J712" s="3">
        <v>45775</v>
      </c>
      <c r="K712">
        <f t="shared" si="11"/>
        <v>143092.31999999998</v>
      </c>
      <c r="L712" t="str">
        <f>INDEX(Raw_Shipments!L712:L3140,MATCH(A712,Raw_Shipments!B712:B3140))</f>
        <v>No</v>
      </c>
    </row>
    <row r="713" spans="1:12" x14ac:dyDescent="0.3">
      <c r="A713" s="5" t="s">
        <v>862</v>
      </c>
      <c r="B713" s="6">
        <v>45772</v>
      </c>
      <c r="C713" s="5" t="s">
        <v>185</v>
      </c>
      <c r="D713" s="5" t="s">
        <v>25</v>
      </c>
      <c r="E713" s="5" t="s">
        <v>20</v>
      </c>
      <c r="F713" s="5" t="s">
        <v>21</v>
      </c>
      <c r="G713" s="5" t="s">
        <v>22</v>
      </c>
      <c r="H713" s="5">
        <v>12</v>
      </c>
      <c r="I713" s="7">
        <v>2108.56</v>
      </c>
      <c r="J713" s="6">
        <v>45778</v>
      </c>
      <c r="K713">
        <f t="shared" si="11"/>
        <v>25302.720000000001</v>
      </c>
      <c r="L713" t="str">
        <f>INDEX(Raw_Shipments!L713:L3141,MATCH(A713,Raw_Shipments!B713:B3141))</f>
        <v>No</v>
      </c>
    </row>
    <row r="714" spans="1:12" x14ac:dyDescent="0.3">
      <c r="A714" s="2" t="s">
        <v>863</v>
      </c>
      <c r="B714" s="3">
        <v>45772</v>
      </c>
      <c r="C714" s="2" t="s">
        <v>180</v>
      </c>
      <c r="D714" s="2" t="s">
        <v>14</v>
      </c>
      <c r="E714" s="2" t="s">
        <v>26</v>
      </c>
      <c r="F714" s="2" t="s">
        <v>27</v>
      </c>
      <c r="G714" s="2" t="s">
        <v>22</v>
      </c>
      <c r="H714" s="2">
        <v>23</v>
      </c>
      <c r="I714" s="4">
        <v>1646.8</v>
      </c>
      <c r="J714" s="3">
        <v>45780</v>
      </c>
      <c r="K714">
        <f t="shared" si="11"/>
        <v>37876.400000000001</v>
      </c>
      <c r="L714" t="str">
        <f>INDEX(Raw_Shipments!L714:L3142,MATCH(A714,Raw_Shipments!B714:B3142))</f>
        <v>No</v>
      </c>
    </row>
    <row r="715" spans="1:12" x14ac:dyDescent="0.3">
      <c r="A715" s="5" t="s">
        <v>864</v>
      </c>
      <c r="B715" s="6">
        <v>45772</v>
      </c>
      <c r="C715" s="5" t="s">
        <v>527</v>
      </c>
      <c r="D715" s="5" t="s">
        <v>30</v>
      </c>
      <c r="E715" s="5" t="s">
        <v>31</v>
      </c>
      <c r="F715" s="5" t="s">
        <v>32</v>
      </c>
      <c r="G715" s="5" t="s">
        <v>33</v>
      </c>
      <c r="H715" s="5">
        <v>57</v>
      </c>
      <c r="I715" s="7">
        <v>689</v>
      </c>
      <c r="J715" s="6">
        <v>45775</v>
      </c>
      <c r="K715">
        <f t="shared" si="11"/>
        <v>39273</v>
      </c>
      <c r="L715" t="str">
        <f>INDEX(Raw_Shipments!L715:L3143,MATCH(A715,Raw_Shipments!B715:B3143))</f>
        <v>No</v>
      </c>
    </row>
    <row r="716" spans="1:12" x14ac:dyDescent="0.3">
      <c r="A716" s="2" t="s">
        <v>865</v>
      </c>
      <c r="B716" s="3">
        <v>45773</v>
      </c>
      <c r="C716" s="2" t="s">
        <v>222</v>
      </c>
      <c r="D716" s="2" t="s">
        <v>14</v>
      </c>
      <c r="E716" s="2" t="s">
        <v>53</v>
      </c>
      <c r="F716" s="2" t="s">
        <v>54</v>
      </c>
      <c r="G716" s="2" t="s">
        <v>55</v>
      </c>
      <c r="H716" s="2">
        <v>10</v>
      </c>
      <c r="I716" s="4">
        <v>2055.9</v>
      </c>
      <c r="J716" s="3">
        <v>45778</v>
      </c>
      <c r="K716">
        <f t="shared" si="11"/>
        <v>20559</v>
      </c>
      <c r="L716" t="str">
        <f>INDEX(Raw_Shipments!L716:L3144,MATCH(A716,Raw_Shipments!B716:B3144))</f>
        <v>No</v>
      </c>
    </row>
    <row r="717" spans="1:12" x14ac:dyDescent="0.3">
      <c r="A717" s="5" t="s">
        <v>866</v>
      </c>
      <c r="B717" s="6">
        <v>45773</v>
      </c>
      <c r="C717" s="5" t="s">
        <v>234</v>
      </c>
      <c r="D717" s="5" t="s">
        <v>25</v>
      </c>
      <c r="E717" s="5" t="s">
        <v>58</v>
      </c>
      <c r="F717" s="5" t="s">
        <v>59</v>
      </c>
      <c r="G717" s="5" t="s">
        <v>55</v>
      </c>
      <c r="H717" s="5">
        <v>19</v>
      </c>
      <c r="I717" s="7">
        <v>1695.1</v>
      </c>
      <c r="J717" s="6">
        <v>45780</v>
      </c>
      <c r="K717">
        <f t="shared" si="11"/>
        <v>32206.899999999998</v>
      </c>
      <c r="L717" t="str">
        <f>INDEX(Raw_Shipments!L717:L3145,MATCH(A717,Raw_Shipments!B717:B3145))</f>
        <v>No</v>
      </c>
    </row>
    <row r="718" spans="1:12" x14ac:dyDescent="0.3">
      <c r="A718" s="2" t="s">
        <v>867</v>
      </c>
      <c r="B718" s="3">
        <v>45773</v>
      </c>
      <c r="C718" s="2" t="s">
        <v>39</v>
      </c>
      <c r="D718" s="2" t="s">
        <v>30</v>
      </c>
      <c r="E718" s="2" t="s">
        <v>26</v>
      </c>
      <c r="F718" s="2" t="s">
        <v>27</v>
      </c>
      <c r="G718" s="2" t="s">
        <v>22</v>
      </c>
      <c r="H718" s="2">
        <v>15</v>
      </c>
      <c r="I718" s="4">
        <v>1646.8</v>
      </c>
      <c r="J718" s="3">
        <v>45777</v>
      </c>
      <c r="K718">
        <f t="shared" si="11"/>
        <v>24702</v>
      </c>
      <c r="L718" t="str">
        <f>INDEX(Raw_Shipments!L718:L3146,MATCH(A718,Raw_Shipments!B718:B3146))</f>
        <v>No</v>
      </c>
    </row>
    <row r="719" spans="1:12" x14ac:dyDescent="0.3">
      <c r="A719" s="5" t="s">
        <v>868</v>
      </c>
      <c r="B719" s="6">
        <v>45773</v>
      </c>
      <c r="C719" s="5" t="s">
        <v>343</v>
      </c>
      <c r="D719" s="5" t="s">
        <v>14</v>
      </c>
      <c r="E719" s="5" t="s">
        <v>31</v>
      </c>
      <c r="F719" s="5" t="s">
        <v>32</v>
      </c>
      <c r="G719" s="5" t="s">
        <v>33</v>
      </c>
      <c r="H719" s="5">
        <v>30</v>
      </c>
      <c r="I719" s="7">
        <v>689</v>
      </c>
      <c r="J719" s="6">
        <v>45783</v>
      </c>
      <c r="K719">
        <f t="shared" si="11"/>
        <v>20670</v>
      </c>
      <c r="L719" t="str">
        <f>INDEX(Raw_Shipments!L719:L3147,MATCH(A719,Raw_Shipments!B719:B3147))</f>
        <v>Yes</v>
      </c>
    </row>
    <row r="720" spans="1:12" x14ac:dyDescent="0.3">
      <c r="A720" s="2" t="s">
        <v>869</v>
      </c>
      <c r="B720" s="3">
        <v>45773</v>
      </c>
      <c r="C720" s="2" t="s">
        <v>104</v>
      </c>
      <c r="D720" s="2" t="s">
        <v>14</v>
      </c>
      <c r="E720" s="2" t="s">
        <v>86</v>
      </c>
      <c r="F720" s="2" t="s">
        <v>87</v>
      </c>
      <c r="G720" s="2" t="s">
        <v>33</v>
      </c>
      <c r="H720" s="2">
        <v>23</v>
      </c>
      <c r="I720" s="4">
        <v>815.88</v>
      </c>
      <c r="J720" s="3">
        <v>45777</v>
      </c>
      <c r="K720">
        <f t="shared" si="11"/>
        <v>18765.240000000002</v>
      </c>
      <c r="L720" t="str">
        <f>INDEX(Raw_Shipments!L720:L3148,MATCH(A720,Raw_Shipments!B720:B3148))</f>
        <v>No</v>
      </c>
    </row>
    <row r="721" spans="1:12" x14ac:dyDescent="0.3">
      <c r="A721" s="5" t="s">
        <v>870</v>
      </c>
      <c r="B721" s="6">
        <v>45773</v>
      </c>
      <c r="C721" s="5" t="s">
        <v>595</v>
      </c>
      <c r="D721" s="5" t="s">
        <v>45</v>
      </c>
      <c r="E721" s="5" t="s">
        <v>40</v>
      </c>
      <c r="F721" s="5" t="s">
        <v>41</v>
      </c>
      <c r="G721" s="5" t="s">
        <v>42</v>
      </c>
      <c r="H721" s="5">
        <v>22</v>
      </c>
      <c r="I721" s="7">
        <v>2445.11</v>
      </c>
      <c r="J721" s="6">
        <v>45776</v>
      </c>
      <c r="K721">
        <f t="shared" si="11"/>
        <v>53792.420000000006</v>
      </c>
      <c r="L721" t="str">
        <f>INDEX(Raw_Shipments!L721:L3149,MATCH(A721,Raw_Shipments!B721:B3149))</f>
        <v>No</v>
      </c>
    </row>
    <row r="722" spans="1:12" x14ac:dyDescent="0.3">
      <c r="A722" s="2" t="s">
        <v>871</v>
      </c>
      <c r="B722" s="3">
        <v>45773</v>
      </c>
      <c r="C722" s="2" t="s">
        <v>304</v>
      </c>
      <c r="D722" s="2" t="s">
        <v>25</v>
      </c>
      <c r="E722" s="2" t="s">
        <v>50</v>
      </c>
      <c r="F722" s="2" t="s">
        <v>51</v>
      </c>
      <c r="G722" s="2" t="s">
        <v>42</v>
      </c>
      <c r="H722" s="2">
        <v>3</v>
      </c>
      <c r="I722" s="4">
        <v>1952.28</v>
      </c>
      <c r="J722" s="3">
        <v>45783</v>
      </c>
      <c r="K722">
        <f t="shared" si="11"/>
        <v>5856.84</v>
      </c>
      <c r="L722" t="str">
        <f>INDEX(Raw_Shipments!L722:L3150,MATCH(A722,Raw_Shipments!B722:B3150))</f>
        <v>No</v>
      </c>
    </row>
    <row r="723" spans="1:12" x14ac:dyDescent="0.3">
      <c r="A723" s="5" t="s">
        <v>872</v>
      </c>
      <c r="B723" s="6">
        <v>45774</v>
      </c>
      <c r="C723" s="5" t="s">
        <v>312</v>
      </c>
      <c r="D723" s="5" t="s">
        <v>45</v>
      </c>
      <c r="E723" s="5" t="s">
        <v>53</v>
      </c>
      <c r="F723" s="5" t="s">
        <v>54</v>
      </c>
      <c r="G723" s="5" t="s">
        <v>55</v>
      </c>
      <c r="H723" s="5">
        <v>24</v>
      </c>
      <c r="I723" s="7">
        <v>2055.9</v>
      </c>
      <c r="J723" s="6">
        <v>45780</v>
      </c>
      <c r="K723">
        <f t="shared" si="11"/>
        <v>49341.600000000006</v>
      </c>
      <c r="L723" t="str">
        <f>INDEX(Raw_Shipments!L723:L3151,MATCH(A723,Raw_Shipments!B723:B3151))</f>
        <v>No</v>
      </c>
    </row>
    <row r="724" spans="1:12" x14ac:dyDescent="0.3">
      <c r="A724" s="2" t="s">
        <v>873</v>
      </c>
      <c r="B724" s="3">
        <v>45774</v>
      </c>
      <c r="C724" s="2" t="s">
        <v>156</v>
      </c>
      <c r="D724" s="2" t="s">
        <v>45</v>
      </c>
      <c r="E724" s="2" t="s">
        <v>58</v>
      </c>
      <c r="F724" s="2" t="s">
        <v>59</v>
      </c>
      <c r="G724" s="2" t="s">
        <v>55</v>
      </c>
      <c r="H724" s="2">
        <v>25</v>
      </c>
      <c r="I724" s="4">
        <v>1695.1</v>
      </c>
      <c r="J724" s="3">
        <v>45778</v>
      </c>
      <c r="K724">
        <f t="shared" si="11"/>
        <v>42377.5</v>
      </c>
      <c r="L724" t="str">
        <f>INDEX(Raw_Shipments!L724:L3152,MATCH(A724,Raw_Shipments!B724:B3152))</f>
        <v>No</v>
      </c>
    </row>
    <row r="725" spans="1:12" x14ac:dyDescent="0.3">
      <c r="A725" s="5" t="s">
        <v>874</v>
      </c>
      <c r="B725" s="6">
        <v>45774</v>
      </c>
      <c r="C725" s="5" t="s">
        <v>83</v>
      </c>
      <c r="D725" s="5" t="s">
        <v>45</v>
      </c>
      <c r="E725" s="5" t="s">
        <v>62</v>
      </c>
      <c r="F725" s="5" t="s">
        <v>63</v>
      </c>
      <c r="G725" s="5" t="s">
        <v>55</v>
      </c>
      <c r="H725" s="5">
        <v>27</v>
      </c>
      <c r="I725" s="7">
        <v>2555.2199999999998</v>
      </c>
      <c r="J725" s="6">
        <v>45783</v>
      </c>
      <c r="K725">
        <f t="shared" si="11"/>
        <v>68990.939999999988</v>
      </c>
      <c r="L725" t="str">
        <f>INDEX(Raw_Shipments!L725:L3153,MATCH(A725,Raw_Shipments!B725:B3153))</f>
        <v>No</v>
      </c>
    </row>
    <row r="726" spans="1:12" x14ac:dyDescent="0.3">
      <c r="A726" s="2" t="s">
        <v>875</v>
      </c>
      <c r="B726" s="3">
        <v>45774</v>
      </c>
      <c r="C726" s="2" t="s">
        <v>81</v>
      </c>
      <c r="D726" s="2" t="s">
        <v>14</v>
      </c>
      <c r="E726" s="2" t="s">
        <v>97</v>
      </c>
      <c r="F726" s="2" t="s">
        <v>98</v>
      </c>
      <c r="G726" s="2" t="s">
        <v>17</v>
      </c>
      <c r="H726" s="2">
        <v>30</v>
      </c>
      <c r="I726" s="4">
        <v>1110.6500000000001</v>
      </c>
      <c r="J726" s="3">
        <v>45781</v>
      </c>
      <c r="K726">
        <f t="shared" si="11"/>
        <v>33319.5</v>
      </c>
      <c r="L726" t="str">
        <f>INDEX(Raw_Shipments!L726:L3154,MATCH(A726,Raw_Shipments!B726:B3154))</f>
        <v>No</v>
      </c>
    </row>
    <row r="727" spans="1:12" x14ac:dyDescent="0.3">
      <c r="A727" s="5" t="s">
        <v>876</v>
      </c>
      <c r="B727" s="6">
        <v>45774</v>
      </c>
      <c r="C727" s="5" t="s">
        <v>152</v>
      </c>
      <c r="D727" s="5" t="s">
        <v>30</v>
      </c>
      <c r="E727" s="5" t="s">
        <v>20</v>
      </c>
      <c r="F727" s="5" t="s">
        <v>21</v>
      </c>
      <c r="G727" s="5" t="s">
        <v>22</v>
      </c>
      <c r="H727" s="5">
        <v>14</v>
      </c>
      <c r="I727" s="7">
        <v>2108.56</v>
      </c>
      <c r="J727" s="6">
        <v>45780</v>
      </c>
      <c r="K727">
        <f t="shared" si="11"/>
        <v>29519.84</v>
      </c>
      <c r="L727" t="str">
        <f>INDEX(Raw_Shipments!L727:L3155,MATCH(A727,Raw_Shipments!B727:B3155))</f>
        <v>Yes</v>
      </c>
    </row>
    <row r="728" spans="1:12" x14ac:dyDescent="0.3">
      <c r="A728" s="2" t="s">
        <v>877</v>
      </c>
      <c r="B728" s="3">
        <v>45774</v>
      </c>
      <c r="C728" s="2" t="s">
        <v>178</v>
      </c>
      <c r="D728" s="2" t="s">
        <v>30</v>
      </c>
      <c r="E728" s="2" t="s">
        <v>119</v>
      </c>
      <c r="F728" s="2" t="s">
        <v>120</v>
      </c>
      <c r="G728" s="2" t="s">
        <v>22</v>
      </c>
      <c r="H728" s="2">
        <v>29</v>
      </c>
      <c r="I728" s="4">
        <v>912.26</v>
      </c>
      <c r="J728" s="3">
        <v>45779</v>
      </c>
      <c r="K728">
        <f t="shared" si="11"/>
        <v>26455.54</v>
      </c>
      <c r="L728" t="str">
        <f>INDEX(Raw_Shipments!L728:L3156,MATCH(A728,Raw_Shipments!B728:B3156))</f>
        <v>No</v>
      </c>
    </row>
    <row r="729" spans="1:12" x14ac:dyDescent="0.3">
      <c r="A729" s="5" t="s">
        <v>878</v>
      </c>
      <c r="B729" s="6">
        <v>45774</v>
      </c>
      <c r="C729" s="5" t="s">
        <v>240</v>
      </c>
      <c r="D729" s="5" t="s">
        <v>14</v>
      </c>
      <c r="E729" s="5" t="s">
        <v>46</v>
      </c>
      <c r="F729" s="5" t="s">
        <v>47</v>
      </c>
      <c r="G729" s="5" t="s">
        <v>42</v>
      </c>
      <c r="H729" s="5">
        <v>6</v>
      </c>
      <c r="I729" s="7">
        <v>1833.14</v>
      </c>
      <c r="J729" s="6">
        <v>45778</v>
      </c>
      <c r="K729">
        <f t="shared" si="11"/>
        <v>10998.84</v>
      </c>
      <c r="L729" t="str">
        <f>INDEX(Raw_Shipments!L729:L3157,MATCH(A729,Raw_Shipments!B729:B3157))</f>
        <v>No</v>
      </c>
    </row>
    <row r="730" spans="1:12" x14ac:dyDescent="0.3">
      <c r="A730" s="2" t="s">
        <v>879</v>
      </c>
      <c r="B730" s="3">
        <v>45775</v>
      </c>
      <c r="C730" s="2" t="s">
        <v>312</v>
      </c>
      <c r="D730" s="2" t="s">
        <v>14</v>
      </c>
      <c r="E730" s="2" t="s">
        <v>31</v>
      </c>
      <c r="F730" s="2" t="s">
        <v>32</v>
      </c>
      <c r="G730" s="2" t="s">
        <v>33</v>
      </c>
      <c r="H730" s="2">
        <v>21</v>
      </c>
      <c r="I730" s="4">
        <v>689</v>
      </c>
      <c r="J730" s="3">
        <v>45783</v>
      </c>
      <c r="K730">
        <f t="shared" si="11"/>
        <v>14469</v>
      </c>
      <c r="L730" t="str">
        <f>INDEX(Raw_Shipments!L730:L3158,MATCH(A730,Raw_Shipments!B730:B3158))</f>
        <v>No</v>
      </c>
    </row>
    <row r="731" spans="1:12" x14ac:dyDescent="0.3">
      <c r="A731" s="5" t="s">
        <v>880</v>
      </c>
      <c r="B731" s="6">
        <v>45775</v>
      </c>
      <c r="C731" s="5" t="s">
        <v>356</v>
      </c>
      <c r="D731" s="5" t="s">
        <v>30</v>
      </c>
      <c r="E731" s="5" t="s">
        <v>86</v>
      </c>
      <c r="F731" s="5" t="s">
        <v>87</v>
      </c>
      <c r="G731" s="5" t="s">
        <v>33</v>
      </c>
      <c r="H731" s="5">
        <v>13</v>
      </c>
      <c r="I731" s="7">
        <v>815.88</v>
      </c>
      <c r="J731" s="6">
        <v>45782</v>
      </c>
      <c r="K731">
        <f t="shared" si="11"/>
        <v>10606.44</v>
      </c>
      <c r="L731" t="str">
        <f>INDEX(Raw_Shipments!L731:L3159,MATCH(A731,Raw_Shipments!B731:B3159))</f>
        <v>No</v>
      </c>
    </row>
    <row r="732" spans="1:12" x14ac:dyDescent="0.3">
      <c r="A732" s="2" t="s">
        <v>881</v>
      </c>
      <c r="B732" s="3">
        <v>45775</v>
      </c>
      <c r="C732" s="2" t="s">
        <v>122</v>
      </c>
      <c r="D732" s="2" t="s">
        <v>45</v>
      </c>
      <c r="E732" s="2" t="s">
        <v>40</v>
      </c>
      <c r="F732" s="2" t="s">
        <v>41</v>
      </c>
      <c r="G732" s="2" t="s">
        <v>42</v>
      </c>
      <c r="H732" s="2">
        <v>14</v>
      </c>
      <c r="I732" s="4">
        <v>2445.11</v>
      </c>
      <c r="J732" s="3">
        <v>45782</v>
      </c>
      <c r="K732">
        <f t="shared" si="11"/>
        <v>34231.54</v>
      </c>
      <c r="L732" t="str">
        <f>INDEX(Raw_Shipments!L732:L3160,MATCH(A732,Raw_Shipments!B732:B3160))</f>
        <v>No</v>
      </c>
    </row>
    <row r="733" spans="1:12" x14ac:dyDescent="0.3">
      <c r="A733" s="5" t="s">
        <v>882</v>
      </c>
      <c r="B733" s="6">
        <v>45776</v>
      </c>
      <c r="C733" s="5" t="s">
        <v>248</v>
      </c>
      <c r="D733" s="5" t="s">
        <v>14</v>
      </c>
      <c r="E733" s="5" t="s">
        <v>53</v>
      </c>
      <c r="F733" s="5" t="s">
        <v>54</v>
      </c>
      <c r="G733" s="5" t="s">
        <v>55</v>
      </c>
      <c r="H733" s="5">
        <v>44</v>
      </c>
      <c r="I733" s="7">
        <v>2055.9</v>
      </c>
      <c r="J733" s="6">
        <v>45783</v>
      </c>
      <c r="K733">
        <f t="shared" si="11"/>
        <v>90459.6</v>
      </c>
      <c r="L733" t="str">
        <f>INDEX(Raw_Shipments!L733:L3161,MATCH(A733,Raw_Shipments!B733:B3161))</f>
        <v>No</v>
      </c>
    </row>
    <row r="734" spans="1:12" x14ac:dyDescent="0.3">
      <c r="A734" s="2" t="s">
        <v>883</v>
      </c>
      <c r="B734" s="3">
        <v>45776</v>
      </c>
      <c r="C734" s="2" t="s">
        <v>217</v>
      </c>
      <c r="D734" s="2" t="s">
        <v>14</v>
      </c>
      <c r="E734" s="2" t="s">
        <v>62</v>
      </c>
      <c r="F734" s="2" t="s">
        <v>63</v>
      </c>
      <c r="G734" s="2" t="s">
        <v>55</v>
      </c>
      <c r="H734" s="2">
        <v>43</v>
      </c>
      <c r="I734" s="4">
        <v>2555.2199999999998</v>
      </c>
      <c r="J734" s="3">
        <v>45783</v>
      </c>
      <c r="K734">
        <f t="shared" si="11"/>
        <v>109874.45999999999</v>
      </c>
      <c r="L734" t="str">
        <f>INDEX(Raw_Shipments!L734:L3162,MATCH(A734,Raw_Shipments!B734:B3162))</f>
        <v>No</v>
      </c>
    </row>
    <row r="735" spans="1:12" x14ac:dyDescent="0.3">
      <c r="A735" s="5" t="s">
        <v>884</v>
      </c>
      <c r="B735" s="6">
        <v>45776</v>
      </c>
      <c r="C735" s="5" t="s">
        <v>183</v>
      </c>
      <c r="D735" s="5" t="s">
        <v>14</v>
      </c>
      <c r="E735" s="5" t="s">
        <v>66</v>
      </c>
      <c r="F735" s="5" t="s">
        <v>67</v>
      </c>
      <c r="G735" s="5" t="s">
        <v>17</v>
      </c>
      <c r="H735" s="5">
        <v>7</v>
      </c>
      <c r="I735" s="7">
        <v>850.8</v>
      </c>
      <c r="J735" s="6">
        <v>45786</v>
      </c>
      <c r="K735">
        <f t="shared" si="11"/>
        <v>5955.5999999999995</v>
      </c>
      <c r="L735" t="str">
        <f>INDEX(Raw_Shipments!L735:L3163,MATCH(A735,Raw_Shipments!B735:B3163))</f>
        <v>Yes</v>
      </c>
    </row>
    <row r="736" spans="1:12" x14ac:dyDescent="0.3">
      <c r="A736" s="2" t="s">
        <v>885</v>
      </c>
      <c r="B736" s="3">
        <v>45776</v>
      </c>
      <c r="C736" s="2" t="s">
        <v>93</v>
      </c>
      <c r="D736" s="2" t="s">
        <v>25</v>
      </c>
      <c r="E736" s="2" t="s">
        <v>97</v>
      </c>
      <c r="F736" s="2" t="s">
        <v>98</v>
      </c>
      <c r="G736" s="2" t="s">
        <v>17</v>
      </c>
      <c r="H736" s="2">
        <v>19</v>
      </c>
      <c r="I736" s="4">
        <v>1110.6500000000001</v>
      </c>
      <c r="J736" s="3">
        <v>45782</v>
      </c>
      <c r="K736">
        <f t="shared" si="11"/>
        <v>21102.350000000002</v>
      </c>
      <c r="L736" t="str">
        <f>INDEX(Raw_Shipments!L736:L3164,MATCH(A736,Raw_Shipments!B736:B3164))</f>
        <v>No</v>
      </c>
    </row>
    <row r="737" spans="1:12" x14ac:dyDescent="0.3">
      <c r="A737" s="5" t="s">
        <v>886</v>
      </c>
      <c r="B737" s="6">
        <v>45776</v>
      </c>
      <c r="C737" s="5" t="s">
        <v>195</v>
      </c>
      <c r="D737" s="5" t="s">
        <v>14</v>
      </c>
      <c r="E737" s="5" t="s">
        <v>15</v>
      </c>
      <c r="F737" s="5" t="s">
        <v>16</v>
      </c>
      <c r="G737" s="5" t="s">
        <v>17</v>
      </c>
      <c r="H737" s="5">
        <v>18</v>
      </c>
      <c r="I737" s="7">
        <v>183.06</v>
      </c>
      <c r="J737" s="6">
        <v>45785</v>
      </c>
      <c r="K737">
        <f t="shared" si="11"/>
        <v>3295.08</v>
      </c>
      <c r="L737" t="str">
        <f>INDEX(Raw_Shipments!L737:L3165,MATCH(A737,Raw_Shipments!B737:B3165))</f>
        <v>No</v>
      </c>
    </row>
    <row r="738" spans="1:12" x14ac:dyDescent="0.3">
      <c r="A738" s="2" t="s">
        <v>887</v>
      </c>
      <c r="B738" s="3">
        <v>45776</v>
      </c>
      <c r="C738" s="2" t="s">
        <v>122</v>
      </c>
      <c r="D738" s="2" t="s">
        <v>25</v>
      </c>
      <c r="E738" s="2" t="s">
        <v>31</v>
      </c>
      <c r="F738" s="2" t="s">
        <v>32</v>
      </c>
      <c r="G738" s="2" t="s">
        <v>33</v>
      </c>
      <c r="H738" s="2">
        <v>47</v>
      </c>
      <c r="I738" s="4">
        <v>689</v>
      </c>
      <c r="J738" s="3">
        <v>45780</v>
      </c>
      <c r="K738">
        <f t="shared" si="11"/>
        <v>32383</v>
      </c>
      <c r="L738" t="str">
        <f>INDEX(Raw_Shipments!L738:L3166,MATCH(A738,Raw_Shipments!B738:B3166))</f>
        <v>No</v>
      </c>
    </row>
    <row r="739" spans="1:12" x14ac:dyDescent="0.3">
      <c r="A739" s="5" t="s">
        <v>888</v>
      </c>
      <c r="B739" s="6">
        <v>45776</v>
      </c>
      <c r="C739" s="5" t="s">
        <v>510</v>
      </c>
      <c r="D739" s="5" t="s">
        <v>45</v>
      </c>
      <c r="E739" s="5" t="s">
        <v>36</v>
      </c>
      <c r="F739" s="5" t="s">
        <v>37</v>
      </c>
      <c r="G739" s="5" t="s">
        <v>33</v>
      </c>
      <c r="H739" s="5">
        <v>20</v>
      </c>
      <c r="I739" s="7">
        <v>1064.79</v>
      </c>
      <c r="J739" s="6">
        <v>45785</v>
      </c>
      <c r="K739">
        <f t="shared" si="11"/>
        <v>21295.8</v>
      </c>
      <c r="L739" t="str">
        <f>INDEX(Raw_Shipments!L739:L3167,MATCH(A739,Raw_Shipments!B739:B3167))</f>
        <v>Yes</v>
      </c>
    </row>
    <row r="740" spans="1:12" x14ac:dyDescent="0.3">
      <c r="A740" s="2" t="s">
        <v>889</v>
      </c>
      <c r="B740" s="3">
        <v>45776</v>
      </c>
      <c r="C740" s="2" t="s">
        <v>343</v>
      </c>
      <c r="D740" s="2" t="s">
        <v>14</v>
      </c>
      <c r="E740" s="2" t="s">
        <v>40</v>
      </c>
      <c r="F740" s="2" t="s">
        <v>41</v>
      </c>
      <c r="G740" s="2" t="s">
        <v>42</v>
      </c>
      <c r="H740" s="2">
        <v>33</v>
      </c>
      <c r="I740" s="4">
        <v>2445.11</v>
      </c>
      <c r="J740" s="3">
        <v>45780</v>
      </c>
      <c r="K740">
        <f t="shared" si="11"/>
        <v>80688.63</v>
      </c>
      <c r="L740" t="str">
        <f>INDEX(Raw_Shipments!L740:L3168,MATCH(A740,Raw_Shipments!B740:B3168))</f>
        <v>No</v>
      </c>
    </row>
    <row r="741" spans="1:12" x14ac:dyDescent="0.3">
      <c r="A741" s="5" t="s">
        <v>890</v>
      </c>
      <c r="B741" s="6">
        <v>45777</v>
      </c>
      <c r="C741" s="5" t="s">
        <v>185</v>
      </c>
      <c r="D741" s="5" t="s">
        <v>14</v>
      </c>
      <c r="E741" s="5" t="s">
        <v>66</v>
      </c>
      <c r="F741" s="5" t="s">
        <v>67</v>
      </c>
      <c r="G741" s="5" t="s">
        <v>17</v>
      </c>
      <c r="H741" s="5">
        <v>10</v>
      </c>
      <c r="I741" s="7">
        <v>850.8</v>
      </c>
      <c r="J741" s="6">
        <v>45780</v>
      </c>
      <c r="K741">
        <f t="shared" si="11"/>
        <v>8508</v>
      </c>
      <c r="L741" t="str">
        <f>INDEX(Raw_Shipments!L741:L3169,MATCH(A741,Raw_Shipments!B741:B3169))</f>
        <v>No</v>
      </c>
    </row>
    <row r="742" spans="1:12" x14ac:dyDescent="0.3">
      <c r="A742" s="2" t="s">
        <v>891</v>
      </c>
      <c r="B742" s="3">
        <v>45777</v>
      </c>
      <c r="C742" s="2" t="s">
        <v>175</v>
      </c>
      <c r="D742" s="2" t="s">
        <v>45</v>
      </c>
      <c r="E742" s="2" t="s">
        <v>97</v>
      </c>
      <c r="F742" s="2" t="s">
        <v>98</v>
      </c>
      <c r="G742" s="2" t="s">
        <v>17</v>
      </c>
      <c r="H742" s="2">
        <v>25</v>
      </c>
      <c r="I742" s="4">
        <v>1110.6500000000001</v>
      </c>
      <c r="J742" s="3">
        <v>45786</v>
      </c>
      <c r="K742">
        <f t="shared" si="11"/>
        <v>27766.250000000004</v>
      </c>
      <c r="L742" t="str">
        <f>INDEX(Raw_Shipments!L742:L3170,MATCH(A742,Raw_Shipments!B742:B3170))</f>
        <v>Yes</v>
      </c>
    </row>
    <row r="743" spans="1:12" x14ac:dyDescent="0.3">
      <c r="A743" s="5" t="s">
        <v>892</v>
      </c>
      <c r="B743" s="6">
        <v>45777</v>
      </c>
      <c r="C743" s="5" t="s">
        <v>166</v>
      </c>
      <c r="D743" s="5" t="s">
        <v>14</v>
      </c>
      <c r="E743" s="5" t="s">
        <v>15</v>
      </c>
      <c r="F743" s="5" t="s">
        <v>16</v>
      </c>
      <c r="G743" s="5" t="s">
        <v>17</v>
      </c>
      <c r="H743" s="5">
        <v>11</v>
      </c>
      <c r="I743" s="7">
        <v>183.06</v>
      </c>
      <c r="J743" s="6">
        <v>45784</v>
      </c>
      <c r="K743">
        <f t="shared" si="11"/>
        <v>2013.66</v>
      </c>
      <c r="L743" t="str">
        <f>INDEX(Raw_Shipments!L743:L3171,MATCH(A743,Raw_Shipments!B743:B3171))</f>
        <v>No</v>
      </c>
    </row>
    <row r="744" spans="1:12" x14ac:dyDescent="0.3">
      <c r="A744" s="2" t="s">
        <v>893</v>
      </c>
      <c r="B744" s="3">
        <v>45777</v>
      </c>
      <c r="C744" s="2" t="s">
        <v>217</v>
      </c>
      <c r="D744" s="2" t="s">
        <v>30</v>
      </c>
      <c r="E744" s="2" t="s">
        <v>20</v>
      </c>
      <c r="F744" s="2" t="s">
        <v>21</v>
      </c>
      <c r="G744" s="2" t="s">
        <v>22</v>
      </c>
      <c r="H744" s="2">
        <v>19</v>
      </c>
      <c r="I744" s="4">
        <v>2108.56</v>
      </c>
      <c r="J744" s="3">
        <v>45780</v>
      </c>
      <c r="K744">
        <f t="shared" si="11"/>
        <v>40062.639999999999</v>
      </c>
      <c r="L744" t="str">
        <f>INDEX(Raw_Shipments!L744:L3172,MATCH(A744,Raw_Shipments!B744:B3172))</f>
        <v>No</v>
      </c>
    </row>
    <row r="745" spans="1:12" x14ac:dyDescent="0.3">
      <c r="A745" s="5" t="s">
        <v>894</v>
      </c>
      <c r="B745" s="6">
        <v>45777</v>
      </c>
      <c r="C745" s="5" t="s">
        <v>331</v>
      </c>
      <c r="D745" s="5" t="s">
        <v>30</v>
      </c>
      <c r="E745" s="5" t="s">
        <v>119</v>
      </c>
      <c r="F745" s="5" t="s">
        <v>120</v>
      </c>
      <c r="G745" s="5" t="s">
        <v>22</v>
      </c>
      <c r="H745" s="5">
        <v>49</v>
      </c>
      <c r="I745" s="7">
        <v>912.26</v>
      </c>
      <c r="J745" s="6">
        <v>45786</v>
      </c>
      <c r="K745">
        <f t="shared" si="11"/>
        <v>44700.74</v>
      </c>
      <c r="L745" t="str">
        <f>INDEX(Raw_Shipments!L745:L3173,MATCH(A745,Raw_Shipments!B745:B3173))</f>
        <v>Yes</v>
      </c>
    </row>
    <row r="746" spans="1:12" x14ac:dyDescent="0.3">
      <c r="A746" s="2" t="s">
        <v>895</v>
      </c>
      <c r="B746" s="3">
        <v>45777</v>
      </c>
      <c r="C746" s="2" t="s">
        <v>166</v>
      </c>
      <c r="D746" s="2" t="s">
        <v>14</v>
      </c>
      <c r="E746" s="2" t="s">
        <v>31</v>
      </c>
      <c r="F746" s="2" t="s">
        <v>32</v>
      </c>
      <c r="G746" s="2" t="s">
        <v>33</v>
      </c>
      <c r="H746" s="2">
        <v>49</v>
      </c>
      <c r="I746" s="4">
        <v>689</v>
      </c>
      <c r="J746" s="3">
        <v>45787</v>
      </c>
      <c r="K746">
        <f t="shared" si="11"/>
        <v>33761</v>
      </c>
      <c r="L746" t="str">
        <f>INDEX(Raw_Shipments!L746:L3174,MATCH(A746,Raw_Shipments!B746:B3174))</f>
        <v>Yes</v>
      </c>
    </row>
    <row r="747" spans="1:12" x14ac:dyDescent="0.3">
      <c r="A747" s="5" t="s">
        <v>896</v>
      </c>
      <c r="B747" s="6">
        <v>45777</v>
      </c>
      <c r="C747" s="5" t="s">
        <v>139</v>
      </c>
      <c r="D747" s="5" t="s">
        <v>30</v>
      </c>
      <c r="E747" s="5" t="s">
        <v>46</v>
      </c>
      <c r="F747" s="5" t="s">
        <v>47</v>
      </c>
      <c r="G747" s="5" t="s">
        <v>42</v>
      </c>
      <c r="H747" s="5">
        <v>8</v>
      </c>
      <c r="I747" s="7">
        <v>1833.14</v>
      </c>
      <c r="J747" s="6">
        <v>45784</v>
      </c>
      <c r="K747">
        <f t="shared" si="11"/>
        <v>14665.12</v>
      </c>
      <c r="L747" t="str">
        <f>INDEX(Raw_Shipments!L747:L3175,MATCH(A747,Raw_Shipments!B747:B3175))</f>
        <v>No</v>
      </c>
    </row>
    <row r="748" spans="1:12" x14ac:dyDescent="0.3">
      <c r="A748" s="2" t="s">
        <v>897</v>
      </c>
      <c r="B748" s="3">
        <v>45777</v>
      </c>
      <c r="C748" s="2" t="s">
        <v>545</v>
      </c>
      <c r="D748" s="2" t="s">
        <v>25</v>
      </c>
      <c r="E748" s="2" t="s">
        <v>50</v>
      </c>
      <c r="F748" s="2" t="s">
        <v>51</v>
      </c>
      <c r="G748" s="2" t="s">
        <v>42</v>
      </c>
      <c r="H748" s="2">
        <v>10</v>
      </c>
      <c r="I748" s="4">
        <v>1952.28</v>
      </c>
      <c r="J748" s="3">
        <v>45786</v>
      </c>
      <c r="K748">
        <f t="shared" si="11"/>
        <v>19522.8</v>
      </c>
      <c r="L748" t="str">
        <f>INDEX(Raw_Shipments!L748:L3176,MATCH(A748,Raw_Shipments!B748:B3176))</f>
        <v>No</v>
      </c>
    </row>
    <row r="749" spans="1:12" x14ac:dyDescent="0.3">
      <c r="A749" s="5" t="s">
        <v>898</v>
      </c>
      <c r="B749" s="6">
        <v>45778</v>
      </c>
      <c r="C749" s="5" t="s">
        <v>208</v>
      </c>
      <c r="D749" s="5" t="s">
        <v>45</v>
      </c>
      <c r="E749" s="5" t="s">
        <v>53</v>
      </c>
      <c r="F749" s="5" t="s">
        <v>54</v>
      </c>
      <c r="G749" s="5" t="s">
        <v>55</v>
      </c>
      <c r="H749" s="5">
        <v>31</v>
      </c>
      <c r="I749" s="7">
        <v>2055.9</v>
      </c>
      <c r="J749" s="6">
        <v>45786</v>
      </c>
      <c r="K749">
        <f t="shared" si="11"/>
        <v>63732.9</v>
      </c>
      <c r="L749" t="str">
        <f>INDEX(Raw_Shipments!L749:L3177,MATCH(A749,Raw_Shipments!B749:B3177))</f>
        <v>Yes</v>
      </c>
    </row>
    <row r="750" spans="1:12" x14ac:dyDescent="0.3">
      <c r="A750" s="2" t="s">
        <v>899</v>
      </c>
      <c r="B750" s="3">
        <v>45778</v>
      </c>
      <c r="C750" s="2" t="s">
        <v>75</v>
      </c>
      <c r="D750" s="2" t="s">
        <v>14</v>
      </c>
      <c r="E750" s="2" t="s">
        <v>62</v>
      </c>
      <c r="F750" s="2" t="s">
        <v>63</v>
      </c>
      <c r="G750" s="2" t="s">
        <v>55</v>
      </c>
      <c r="H750" s="2">
        <v>22</v>
      </c>
      <c r="I750" s="4">
        <v>2555.2199999999998</v>
      </c>
      <c r="J750" s="3">
        <v>45788</v>
      </c>
      <c r="K750">
        <f t="shared" si="11"/>
        <v>56214.84</v>
      </c>
      <c r="L750" t="str">
        <f>INDEX(Raw_Shipments!L750:L3178,MATCH(A750,Raw_Shipments!B750:B3178))</f>
        <v>No</v>
      </c>
    </row>
    <row r="751" spans="1:12" x14ac:dyDescent="0.3">
      <c r="A751" s="5" t="s">
        <v>900</v>
      </c>
      <c r="B751" s="6">
        <v>45778</v>
      </c>
      <c r="C751" s="5" t="s">
        <v>595</v>
      </c>
      <c r="D751" s="5" t="s">
        <v>25</v>
      </c>
      <c r="E751" s="5" t="s">
        <v>66</v>
      </c>
      <c r="F751" s="5" t="s">
        <v>67</v>
      </c>
      <c r="G751" s="5" t="s">
        <v>17</v>
      </c>
      <c r="H751" s="5">
        <v>21</v>
      </c>
      <c r="I751" s="7">
        <v>850.8</v>
      </c>
      <c r="J751" s="6">
        <v>45784</v>
      </c>
      <c r="K751">
        <f t="shared" si="11"/>
        <v>17866.8</v>
      </c>
      <c r="L751" t="str">
        <f>INDEX(Raw_Shipments!L751:L3179,MATCH(A751,Raw_Shipments!B751:B3179))</f>
        <v>No</v>
      </c>
    </row>
    <row r="752" spans="1:12" x14ac:dyDescent="0.3">
      <c r="A752" s="2" t="s">
        <v>901</v>
      </c>
      <c r="B752" s="3">
        <v>45778</v>
      </c>
      <c r="C752" s="2" t="s">
        <v>35</v>
      </c>
      <c r="D752" s="2" t="s">
        <v>14</v>
      </c>
      <c r="E752" s="2" t="s">
        <v>97</v>
      </c>
      <c r="F752" s="2" t="s">
        <v>98</v>
      </c>
      <c r="G752" s="2" t="s">
        <v>17</v>
      </c>
      <c r="H752" s="2">
        <v>26</v>
      </c>
      <c r="I752" s="4">
        <v>1110.6500000000001</v>
      </c>
      <c r="J752" s="3">
        <v>45781</v>
      </c>
      <c r="K752">
        <f t="shared" si="11"/>
        <v>28876.9</v>
      </c>
      <c r="L752" t="str">
        <f>INDEX(Raw_Shipments!L752:L3180,MATCH(A752,Raw_Shipments!B752:B3180))</f>
        <v>No</v>
      </c>
    </row>
    <row r="753" spans="1:12" x14ac:dyDescent="0.3">
      <c r="A753" s="5" t="s">
        <v>902</v>
      </c>
      <c r="B753" s="6">
        <v>45778</v>
      </c>
      <c r="C753" s="5" t="s">
        <v>318</v>
      </c>
      <c r="D753" s="5" t="s">
        <v>30</v>
      </c>
      <c r="E753" s="5" t="s">
        <v>119</v>
      </c>
      <c r="F753" s="5" t="s">
        <v>120</v>
      </c>
      <c r="G753" s="5" t="s">
        <v>22</v>
      </c>
      <c r="H753" s="5">
        <v>34</v>
      </c>
      <c r="I753" s="7">
        <v>912.26</v>
      </c>
      <c r="J753" s="6">
        <v>45782</v>
      </c>
      <c r="K753">
        <f t="shared" si="11"/>
        <v>31016.84</v>
      </c>
      <c r="L753" t="str">
        <f>INDEX(Raw_Shipments!L753:L3181,MATCH(A753,Raw_Shipments!B753:B3181))</f>
        <v>No</v>
      </c>
    </row>
    <row r="754" spans="1:12" x14ac:dyDescent="0.3">
      <c r="A754" s="2" t="s">
        <v>903</v>
      </c>
      <c r="B754" s="3">
        <v>45778</v>
      </c>
      <c r="C754" s="2" t="s">
        <v>217</v>
      </c>
      <c r="D754" s="2" t="s">
        <v>30</v>
      </c>
      <c r="E754" s="2" t="s">
        <v>31</v>
      </c>
      <c r="F754" s="2" t="s">
        <v>32</v>
      </c>
      <c r="G754" s="2" t="s">
        <v>33</v>
      </c>
      <c r="H754" s="2">
        <v>37</v>
      </c>
      <c r="I754" s="4">
        <v>689</v>
      </c>
      <c r="J754" s="3">
        <v>45785</v>
      </c>
      <c r="K754">
        <f t="shared" si="11"/>
        <v>25493</v>
      </c>
      <c r="L754" t="str">
        <f>INDEX(Raw_Shipments!L754:L3182,MATCH(A754,Raw_Shipments!B754:B3182))</f>
        <v>No</v>
      </c>
    </row>
    <row r="755" spans="1:12" x14ac:dyDescent="0.3">
      <c r="A755" s="5" t="s">
        <v>904</v>
      </c>
      <c r="B755" s="6">
        <v>45778</v>
      </c>
      <c r="C755" s="5" t="s">
        <v>93</v>
      </c>
      <c r="D755" s="5" t="s">
        <v>14</v>
      </c>
      <c r="E755" s="5" t="s">
        <v>50</v>
      </c>
      <c r="F755" s="5" t="s">
        <v>51</v>
      </c>
      <c r="G755" s="5" t="s">
        <v>42</v>
      </c>
      <c r="H755" s="5">
        <v>7</v>
      </c>
      <c r="I755" s="7">
        <v>1952.28</v>
      </c>
      <c r="J755" s="6">
        <v>45781</v>
      </c>
      <c r="K755">
        <f t="shared" si="11"/>
        <v>13665.96</v>
      </c>
      <c r="L755" t="str">
        <f>INDEX(Raw_Shipments!L755:L3183,MATCH(A755,Raw_Shipments!B755:B3183))</f>
        <v>No</v>
      </c>
    </row>
    <row r="756" spans="1:12" x14ac:dyDescent="0.3">
      <c r="A756" s="2" t="s">
        <v>905</v>
      </c>
      <c r="B756" s="3">
        <v>45779</v>
      </c>
      <c r="C756" s="2" t="s">
        <v>141</v>
      </c>
      <c r="D756" s="2" t="s">
        <v>30</v>
      </c>
      <c r="E756" s="2" t="s">
        <v>53</v>
      </c>
      <c r="F756" s="2" t="s">
        <v>54</v>
      </c>
      <c r="G756" s="2" t="s">
        <v>55</v>
      </c>
      <c r="H756" s="2">
        <v>39</v>
      </c>
      <c r="I756" s="4">
        <v>2055.9</v>
      </c>
      <c r="J756" s="3">
        <v>45786</v>
      </c>
      <c r="K756">
        <f t="shared" si="11"/>
        <v>80180.100000000006</v>
      </c>
      <c r="L756" t="str">
        <f>INDEX(Raw_Shipments!L756:L3184,MATCH(A756,Raw_Shipments!B756:B3184))</f>
        <v>No</v>
      </c>
    </row>
    <row r="757" spans="1:12" x14ac:dyDescent="0.3">
      <c r="A757" s="5" t="s">
        <v>906</v>
      </c>
      <c r="B757" s="6">
        <v>45779</v>
      </c>
      <c r="C757" s="5" t="s">
        <v>39</v>
      </c>
      <c r="D757" s="5" t="s">
        <v>25</v>
      </c>
      <c r="E757" s="5" t="s">
        <v>62</v>
      </c>
      <c r="F757" s="5" t="s">
        <v>63</v>
      </c>
      <c r="G757" s="5" t="s">
        <v>55</v>
      </c>
      <c r="H757" s="5">
        <v>53</v>
      </c>
      <c r="I757" s="7">
        <v>2555.2199999999998</v>
      </c>
      <c r="J757" s="6">
        <v>45788</v>
      </c>
      <c r="K757">
        <f t="shared" si="11"/>
        <v>135426.66</v>
      </c>
      <c r="L757" t="str">
        <f>INDEX(Raw_Shipments!L757:L3185,MATCH(A757,Raw_Shipments!B757:B3185))</f>
        <v>No</v>
      </c>
    </row>
    <row r="758" spans="1:12" x14ac:dyDescent="0.3">
      <c r="A758" s="2" t="s">
        <v>907</v>
      </c>
      <c r="B758" s="3">
        <v>45779</v>
      </c>
      <c r="C758" s="2" t="s">
        <v>113</v>
      </c>
      <c r="D758" s="2" t="s">
        <v>30</v>
      </c>
      <c r="E758" s="2" t="s">
        <v>15</v>
      </c>
      <c r="F758" s="2" t="s">
        <v>16</v>
      </c>
      <c r="G758" s="2" t="s">
        <v>17</v>
      </c>
      <c r="H758" s="2">
        <v>17</v>
      </c>
      <c r="I758" s="4">
        <v>183.06</v>
      </c>
      <c r="J758" s="3">
        <v>45788</v>
      </c>
      <c r="K758">
        <f t="shared" si="11"/>
        <v>3112.02</v>
      </c>
      <c r="L758" t="str">
        <f>INDEX(Raw_Shipments!L758:L3186,MATCH(A758,Raw_Shipments!B758:B3186))</f>
        <v>No</v>
      </c>
    </row>
    <row r="759" spans="1:12" x14ac:dyDescent="0.3">
      <c r="A759" s="5" t="s">
        <v>908</v>
      </c>
      <c r="B759" s="6">
        <v>45779</v>
      </c>
      <c r="C759" s="5" t="s">
        <v>331</v>
      </c>
      <c r="D759" s="5" t="s">
        <v>30</v>
      </c>
      <c r="E759" s="5" t="s">
        <v>86</v>
      </c>
      <c r="F759" s="5" t="s">
        <v>87</v>
      </c>
      <c r="G759" s="5" t="s">
        <v>33</v>
      </c>
      <c r="H759" s="5">
        <v>31</v>
      </c>
      <c r="I759" s="7">
        <v>815.88</v>
      </c>
      <c r="J759" s="6">
        <v>45785</v>
      </c>
      <c r="K759">
        <f t="shared" si="11"/>
        <v>25292.28</v>
      </c>
      <c r="L759" t="str">
        <f>INDEX(Raw_Shipments!L759:L3187,MATCH(A759,Raw_Shipments!B759:B3187))</f>
        <v>No</v>
      </c>
    </row>
    <row r="760" spans="1:12" x14ac:dyDescent="0.3">
      <c r="A760" s="2" t="s">
        <v>909</v>
      </c>
      <c r="B760" s="3">
        <v>45779</v>
      </c>
      <c r="C760" s="2" t="s">
        <v>166</v>
      </c>
      <c r="D760" s="2" t="s">
        <v>14</v>
      </c>
      <c r="E760" s="2" t="s">
        <v>50</v>
      </c>
      <c r="F760" s="2" t="s">
        <v>51</v>
      </c>
      <c r="G760" s="2" t="s">
        <v>42</v>
      </c>
      <c r="H760" s="2">
        <v>11</v>
      </c>
      <c r="I760" s="4">
        <v>1952.28</v>
      </c>
      <c r="J760" s="3">
        <v>45789</v>
      </c>
      <c r="K760">
        <f t="shared" si="11"/>
        <v>21475.079999999998</v>
      </c>
      <c r="L760" t="str">
        <f>INDEX(Raw_Shipments!L760:L3188,MATCH(A760,Raw_Shipments!B760:B3188))</f>
        <v>No</v>
      </c>
    </row>
    <row r="761" spans="1:12" x14ac:dyDescent="0.3">
      <c r="A761" s="5" t="s">
        <v>910</v>
      </c>
      <c r="B761" s="6">
        <v>45780</v>
      </c>
      <c r="C761" s="5" t="s">
        <v>183</v>
      </c>
      <c r="D761" s="5" t="s">
        <v>25</v>
      </c>
      <c r="E761" s="5" t="s">
        <v>53</v>
      </c>
      <c r="F761" s="5" t="s">
        <v>54</v>
      </c>
      <c r="G761" s="5" t="s">
        <v>55</v>
      </c>
      <c r="H761" s="5">
        <v>28</v>
      </c>
      <c r="I761" s="7">
        <v>2055.9</v>
      </c>
      <c r="J761" s="6">
        <v>45788</v>
      </c>
      <c r="K761">
        <f t="shared" si="11"/>
        <v>57565.200000000004</v>
      </c>
      <c r="L761" t="str">
        <f>INDEX(Raw_Shipments!L761:L3189,MATCH(A761,Raw_Shipments!B761:B3189))</f>
        <v>Yes</v>
      </c>
    </row>
    <row r="762" spans="1:12" x14ac:dyDescent="0.3">
      <c r="A762" s="2" t="s">
        <v>911</v>
      </c>
      <c r="B762" s="3">
        <v>45780</v>
      </c>
      <c r="C762" s="2" t="s">
        <v>447</v>
      </c>
      <c r="D762" s="2" t="s">
        <v>25</v>
      </c>
      <c r="E762" s="2" t="s">
        <v>58</v>
      </c>
      <c r="F762" s="2" t="s">
        <v>59</v>
      </c>
      <c r="G762" s="2" t="s">
        <v>55</v>
      </c>
      <c r="H762" s="2">
        <v>24</v>
      </c>
      <c r="I762" s="4">
        <v>1695.1</v>
      </c>
      <c r="J762" s="3">
        <v>45783</v>
      </c>
      <c r="K762">
        <f t="shared" si="11"/>
        <v>40682.399999999994</v>
      </c>
      <c r="L762" t="str">
        <f>INDEX(Raw_Shipments!L762:L3190,MATCH(A762,Raw_Shipments!B762:B3190))</f>
        <v>No</v>
      </c>
    </row>
    <row r="763" spans="1:12" x14ac:dyDescent="0.3">
      <c r="A763" s="5" t="s">
        <v>912</v>
      </c>
      <c r="B763" s="6">
        <v>45780</v>
      </c>
      <c r="C763" s="5" t="s">
        <v>248</v>
      </c>
      <c r="D763" s="5" t="s">
        <v>14</v>
      </c>
      <c r="E763" s="5" t="s">
        <v>15</v>
      </c>
      <c r="F763" s="5" t="s">
        <v>16</v>
      </c>
      <c r="G763" s="5" t="s">
        <v>17</v>
      </c>
      <c r="H763" s="5">
        <v>13</v>
      </c>
      <c r="I763" s="7">
        <v>183.06</v>
      </c>
      <c r="J763" s="6">
        <v>45787</v>
      </c>
      <c r="K763">
        <f t="shared" si="11"/>
        <v>2379.7800000000002</v>
      </c>
      <c r="L763" t="str">
        <f>INDEX(Raw_Shipments!L763:L3191,MATCH(A763,Raw_Shipments!B763:B3191))</f>
        <v>No</v>
      </c>
    </row>
    <row r="764" spans="1:12" x14ac:dyDescent="0.3">
      <c r="A764" s="2" t="s">
        <v>913</v>
      </c>
      <c r="B764" s="3">
        <v>45780</v>
      </c>
      <c r="C764" s="2" t="s">
        <v>400</v>
      </c>
      <c r="D764" s="2" t="s">
        <v>14</v>
      </c>
      <c r="E764" s="2" t="s">
        <v>20</v>
      </c>
      <c r="F764" s="2" t="s">
        <v>21</v>
      </c>
      <c r="G764" s="2" t="s">
        <v>22</v>
      </c>
      <c r="H764" s="2">
        <v>11</v>
      </c>
      <c r="I764" s="4">
        <v>2108.56</v>
      </c>
      <c r="J764" s="3">
        <v>45789</v>
      </c>
      <c r="K764">
        <f t="shared" si="11"/>
        <v>23194.16</v>
      </c>
      <c r="L764" t="str">
        <f>INDEX(Raw_Shipments!L764:L3192,MATCH(A764,Raw_Shipments!B764:B3192))</f>
        <v>Yes</v>
      </c>
    </row>
    <row r="765" spans="1:12" x14ac:dyDescent="0.3">
      <c r="A765" s="5" t="s">
        <v>914</v>
      </c>
      <c r="B765" s="6">
        <v>45780</v>
      </c>
      <c r="C765" s="5" t="s">
        <v>545</v>
      </c>
      <c r="D765" s="5" t="s">
        <v>25</v>
      </c>
      <c r="E765" s="5" t="s">
        <v>119</v>
      </c>
      <c r="F765" s="5" t="s">
        <v>120</v>
      </c>
      <c r="G765" s="5" t="s">
        <v>22</v>
      </c>
      <c r="H765" s="5">
        <v>45</v>
      </c>
      <c r="I765" s="7">
        <v>912.26</v>
      </c>
      <c r="J765" s="6">
        <v>45785</v>
      </c>
      <c r="K765">
        <f t="shared" si="11"/>
        <v>41051.699999999997</v>
      </c>
      <c r="L765" t="str">
        <f>INDEX(Raw_Shipments!L765:L3193,MATCH(A765,Raw_Shipments!B765:B3193))</f>
        <v>No</v>
      </c>
    </row>
    <row r="766" spans="1:12" x14ac:dyDescent="0.3">
      <c r="A766" s="2" t="s">
        <v>915</v>
      </c>
      <c r="B766" s="3">
        <v>45780</v>
      </c>
      <c r="C766" s="2" t="s">
        <v>504</v>
      </c>
      <c r="D766" s="2" t="s">
        <v>14</v>
      </c>
      <c r="E766" s="2" t="s">
        <v>31</v>
      </c>
      <c r="F766" s="2" t="s">
        <v>32</v>
      </c>
      <c r="G766" s="2" t="s">
        <v>33</v>
      </c>
      <c r="H766" s="2">
        <v>29</v>
      </c>
      <c r="I766" s="4">
        <v>689</v>
      </c>
      <c r="J766" s="3">
        <v>45785</v>
      </c>
      <c r="K766">
        <f t="shared" si="11"/>
        <v>19981</v>
      </c>
      <c r="L766" t="str">
        <f>INDEX(Raw_Shipments!L766:L3194,MATCH(A766,Raw_Shipments!B766:B3194))</f>
        <v>No</v>
      </c>
    </row>
    <row r="767" spans="1:12" x14ac:dyDescent="0.3">
      <c r="A767" s="5" t="s">
        <v>916</v>
      </c>
      <c r="B767" s="6">
        <v>45780</v>
      </c>
      <c r="C767" s="5" t="s">
        <v>102</v>
      </c>
      <c r="D767" s="5" t="s">
        <v>14</v>
      </c>
      <c r="E767" s="5" t="s">
        <v>86</v>
      </c>
      <c r="F767" s="5" t="s">
        <v>87</v>
      </c>
      <c r="G767" s="5" t="s">
        <v>33</v>
      </c>
      <c r="H767" s="5">
        <v>24</v>
      </c>
      <c r="I767" s="7">
        <v>815.88</v>
      </c>
      <c r="J767" s="6">
        <v>45785</v>
      </c>
      <c r="K767">
        <f t="shared" si="11"/>
        <v>19581.12</v>
      </c>
      <c r="L767" t="str">
        <f>INDEX(Raw_Shipments!L767:L3195,MATCH(A767,Raw_Shipments!B767:B3195))</f>
        <v>No</v>
      </c>
    </row>
    <row r="768" spans="1:12" x14ac:dyDescent="0.3">
      <c r="A768" s="2" t="s">
        <v>917</v>
      </c>
      <c r="B768" s="3">
        <v>45780</v>
      </c>
      <c r="C768" s="2" t="s">
        <v>420</v>
      </c>
      <c r="D768" s="2" t="s">
        <v>25</v>
      </c>
      <c r="E768" s="2" t="s">
        <v>50</v>
      </c>
      <c r="F768" s="2" t="s">
        <v>51</v>
      </c>
      <c r="G768" s="2" t="s">
        <v>42</v>
      </c>
      <c r="H768" s="2">
        <v>12</v>
      </c>
      <c r="I768" s="4">
        <v>1952.28</v>
      </c>
      <c r="J768" s="3">
        <v>45784</v>
      </c>
      <c r="K768">
        <f t="shared" si="11"/>
        <v>23427.360000000001</v>
      </c>
      <c r="L768" t="str">
        <f>INDEX(Raw_Shipments!L768:L3196,MATCH(A768,Raw_Shipments!B768:B3196))</f>
        <v>No</v>
      </c>
    </row>
    <row r="769" spans="1:12" x14ac:dyDescent="0.3">
      <c r="A769" s="5" t="s">
        <v>918</v>
      </c>
      <c r="B769" s="6">
        <v>45781</v>
      </c>
      <c r="C769" s="5" t="s">
        <v>150</v>
      </c>
      <c r="D769" s="5" t="s">
        <v>25</v>
      </c>
      <c r="E769" s="5" t="s">
        <v>58</v>
      </c>
      <c r="F769" s="5" t="s">
        <v>59</v>
      </c>
      <c r="G769" s="5" t="s">
        <v>55</v>
      </c>
      <c r="H769" s="5">
        <v>20</v>
      </c>
      <c r="I769" s="7">
        <v>1695.1</v>
      </c>
      <c r="J769" s="6">
        <v>45784</v>
      </c>
      <c r="K769">
        <f t="shared" si="11"/>
        <v>33902</v>
      </c>
      <c r="L769" t="str">
        <f>INDEX(Raw_Shipments!L769:L3197,MATCH(A769,Raw_Shipments!B769:B3197))</f>
        <v>No</v>
      </c>
    </row>
    <row r="770" spans="1:12" x14ac:dyDescent="0.3">
      <c r="A770" s="2" t="s">
        <v>919</v>
      </c>
      <c r="B770" s="3">
        <v>45781</v>
      </c>
      <c r="C770" s="2" t="s">
        <v>438</v>
      </c>
      <c r="D770" s="2" t="s">
        <v>14</v>
      </c>
      <c r="E770" s="2" t="s">
        <v>66</v>
      </c>
      <c r="F770" s="2" t="s">
        <v>67</v>
      </c>
      <c r="G770" s="2" t="s">
        <v>17</v>
      </c>
      <c r="H770" s="2">
        <v>9</v>
      </c>
      <c r="I770" s="4">
        <v>850.8</v>
      </c>
      <c r="J770" s="3">
        <v>45788</v>
      </c>
      <c r="K770">
        <f t="shared" si="11"/>
        <v>7657.2</v>
      </c>
      <c r="L770" t="str">
        <f>INDEX(Raw_Shipments!L770:L3198,MATCH(A770,Raw_Shipments!B770:B3198))</f>
        <v>No</v>
      </c>
    </row>
    <row r="771" spans="1:12" x14ac:dyDescent="0.3">
      <c r="A771" s="5" t="s">
        <v>920</v>
      </c>
      <c r="B771" s="6">
        <v>45781</v>
      </c>
      <c r="C771" s="5" t="s">
        <v>154</v>
      </c>
      <c r="D771" s="5" t="s">
        <v>25</v>
      </c>
      <c r="E771" s="5" t="s">
        <v>97</v>
      </c>
      <c r="F771" s="5" t="s">
        <v>98</v>
      </c>
      <c r="G771" s="5" t="s">
        <v>17</v>
      </c>
      <c r="H771" s="5">
        <v>32</v>
      </c>
      <c r="I771" s="7">
        <v>1110.6500000000001</v>
      </c>
      <c r="J771" s="6">
        <v>45786</v>
      </c>
      <c r="K771">
        <f t="shared" ref="K771:K834" si="12">I771*H771</f>
        <v>35540.800000000003</v>
      </c>
      <c r="L771" t="str">
        <f>INDEX(Raw_Shipments!L771:L3199,MATCH(A771,Raw_Shipments!B771:B3199))</f>
        <v>No</v>
      </c>
    </row>
    <row r="772" spans="1:12" x14ac:dyDescent="0.3">
      <c r="A772" s="2" t="s">
        <v>921</v>
      </c>
      <c r="B772" s="3">
        <v>45781</v>
      </c>
      <c r="C772" s="2" t="s">
        <v>158</v>
      </c>
      <c r="D772" s="2" t="s">
        <v>30</v>
      </c>
      <c r="E772" s="2" t="s">
        <v>26</v>
      </c>
      <c r="F772" s="2" t="s">
        <v>27</v>
      </c>
      <c r="G772" s="2" t="s">
        <v>22</v>
      </c>
      <c r="H772" s="2">
        <v>22</v>
      </c>
      <c r="I772" s="4">
        <v>1646.8</v>
      </c>
      <c r="J772" s="3">
        <v>45791</v>
      </c>
      <c r="K772">
        <f t="shared" si="12"/>
        <v>36229.599999999999</v>
      </c>
      <c r="L772" t="str">
        <f>INDEX(Raw_Shipments!L772:L3200,MATCH(A772,Raw_Shipments!B772:B3200))</f>
        <v>No</v>
      </c>
    </row>
    <row r="773" spans="1:12" x14ac:dyDescent="0.3">
      <c r="A773" s="5" t="s">
        <v>922</v>
      </c>
      <c r="B773" s="6">
        <v>45781</v>
      </c>
      <c r="C773" s="5" t="s">
        <v>527</v>
      </c>
      <c r="D773" s="5" t="s">
        <v>30</v>
      </c>
      <c r="E773" s="5" t="s">
        <v>36</v>
      </c>
      <c r="F773" s="5" t="s">
        <v>37</v>
      </c>
      <c r="G773" s="5" t="s">
        <v>33</v>
      </c>
      <c r="H773" s="5">
        <v>39</v>
      </c>
      <c r="I773" s="7">
        <v>1064.79</v>
      </c>
      <c r="J773" s="6">
        <v>45790</v>
      </c>
      <c r="K773">
        <f t="shared" si="12"/>
        <v>41526.81</v>
      </c>
      <c r="L773" t="str">
        <f>INDEX(Raw_Shipments!L773:L3201,MATCH(A773,Raw_Shipments!B773:B3201))</f>
        <v>No</v>
      </c>
    </row>
    <row r="774" spans="1:12" x14ac:dyDescent="0.3">
      <c r="A774" s="2" t="s">
        <v>923</v>
      </c>
      <c r="B774" s="3">
        <v>45781</v>
      </c>
      <c r="C774" s="2" t="s">
        <v>203</v>
      </c>
      <c r="D774" s="2" t="s">
        <v>30</v>
      </c>
      <c r="E774" s="2" t="s">
        <v>86</v>
      </c>
      <c r="F774" s="2" t="s">
        <v>87</v>
      </c>
      <c r="G774" s="2" t="s">
        <v>33</v>
      </c>
      <c r="H774" s="2">
        <v>27</v>
      </c>
      <c r="I774" s="4">
        <v>815.88</v>
      </c>
      <c r="J774" s="3">
        <v>45784</v>
      </c>
      <c r="K774">
        <f t="shared" si="12"/>
        <v>22028.76</v>
      </c>
      <c r="L774" t="str">
        <f>INDEX(Raw_Shipments!L774:L3202,MATCH(A774,Raw_Shipments!B774:B3202))</f>
        <v>No</v>
      </c>
    </row>
    <row r="775" spans="1:12" x14ac:dyDescent="0.3">
      <c r="A775" s="5" t="s">
        <v>924</v>
      </c>
      <c r="B775" s="6">
        <v>45781</v>
      </c>
      <c r="C775" s="5" t="s">
        <v>61</v>
      </c>
      <c r="D775" s="5" t="s">
        <v>14</v>
      </c>
      <c r="E775" s="5" t="s">
        <v>40</v>
      </c>
      <c r="F775" s="5" t="s">
        <v>41</v>
      </c>
      <c r="G775" s="5" t="s">
        <v>42</v>
      </c>
      <c r="H775" s="5">
        <v>28</v>
      </c>
      <c r="I775" s="7">
        <v>2445.11</v>
      </c>
      <c r="J775" s="6">
        <v>45787</v>
      </c>
      <c r="K775">
        <f t="shared" si="12"/>
        <v>68463.08</v>
      </c>
      <c r="L775" t="str">
        <f>INDEX(Raw_Shipments!L775:L3203,MATCH(A775,Raw_Shipments!B775:B3203))</f>
        <v>No</v>
      </c>
    </row>
    <row r="776" spans="1:12" x14ac:dyDescent="0.3">
      <c r="A776" s="2" t="s">
        <v>925</v>
      </c>
      <c r="B776" s="3">
        <v>45781</v>
      </c>
      <c r="C776" s="2" t="s">
        <v>363</v>
      </c>
      <c r="D776" s="2" t="s">
        <v>25</v>
      </c>
      <c r="E776" s="2" t="s">
        <v>46</v>
      </c>
      <c r="F776" s="2" t="s">
        <v>47</v>
      </c>
      <c r="G776" s="2" t="s">
        <v>42</v>
      </c>
      <c r="H776" s="2">
        <v>12</v>
      </c>
      <c r="I776" s="4">
        <v>1833.14</v>
      </c>
      <c r="J776" s="3">
        <v>45791</v>
      </c>
      <c r="K776">
        <f t="shared" si="12"/>
        <v>21997.68</v>
      </c>
      <c r="L776" t="str">
        <f>INDEX(Raw_Shipments!L776:L3204,MATCH(A776,Raw_Shipments!B776:B3204))</f>
        <v>No</v>
      </c>
    </row>
    <row r="777" spans="1:12" x14ac:dyDescent="0.3">
      <c r="A777" s="5" t="s">
        <v>926</v>
      </c>
      <c r="B777" s="6">
        <v>45782</v>
      </c>
      <c r="C777" s="5" t="s">
        <v>312</v>
      </c>
      <c r="D777" s="5" t="s">
        <v>30</v>
      </c>
      <c r="E777" s="5" t="s">
        <v>58</v>
      </c>
      <c r="F777" s="5" t="s">
        <v>59</v>
      </c>
      <c r="G777" s="5" t="s">
        <v>55</v>
      </c>
      <c r="H777" s="5">
        <v>9</v>
      </c>
      <c r="I777" s="7">
        <v>1695.1</v>
      </c>
      <c r="J777" s="6">
        <v>45785</v>
      </c>
      <c r="K777">
        <f t="shared" si="12"/>
        <v>15255.9</v>
      </c>
      <c r="L777" t="str">
        <f>INDEX(Raw_Shipments!L777:L3205,MATCH(A777,Raw_Shipments!B777:B3205))</f>
        <v>No</v>
      </c>
    </row>
    <row r="778" spans="1:12" x14ac:dyDescent="0.3">
      <c r="A778" s="2" t="s">
        <v>927</v>
      </c>
      <c r="B778" s="3">
        <v>45782</v>
      </c>
      <c r="C778" s="2" t="s">
        <v>400</v>
      </c>
      <c r="D778" s="2" t="s">
        <v>45</v>
      </c>
      <c r="E778" s="2" t="s">
        <v>66</v>
      </c>
      <c r="F778" s="2" t="s">
        <v>67</v>
      </c>
      <c r="G778" s="2" t="s">
        <v>17</v>
      </c>
      <c r="H778" s="2">
        <v>19</v>
      </c>
      <c r="I778" s="4">
        <v>850.8</v>
      </c>
      <c r="J778" s="3">
        <v>45785</v>
      </c>
      <c r="K778">
        <f t="shared" si="12"/>
        <v>16165.199999999999</v>
      </c>
      <c r="L778" t="str">
        <f>INDEX(Raw_Shipments!L778:L3206,MATCH(A778,Raw_Shipments!B778:B3206))</f>
        <v>No</v>
      </c>
    </row>
    <row r="779" spans="1:12" x14ac:dyDescent="0.3">
      <c r="A779" s="5" t="s">
        <v>928</v>
      </c>
      <c r="B779" s="6">
        <v>45782</v>
      </c>
      <c r="C779" s="5" t="s">
        <v>400</v>
      </c>
      <c r="D779" s="5" t="s">
        <v>30</v>
      </c>
      <c r="E779" s="5" t="s">
        <v>20</v>
      </c>
      <c r="F779" s="5" t="s">
        <v>21</v>
      </c>
      <c r="G779" s="5" t="s">
        <v>22</v>
      </c>
      <c r="H779" s="5">
        <v>11</v>
      </c>
      <c r="I779" s="7">
        <v>2108.56</v>
      </c>
      <c r="J779" s="6">
        <v>45788</v>
      </c>
      <c r="K779">
        <f t="shared" si="12"/>
        <v>23194.16</v>
      </c>
      <c r="L779" t="str">
        <f>INDEX(Raw_Shipments!L779:L3207,MATCH(A779,Raw_Shipments!B779:B3207))</f>
        <v>No</v>
      </c>
    </row>
    <row r="780" spans="1:12" x14ac:dyDescent="0.3">
      <c r="A780" s="2" t="s">
        <v>929</v>
      </c>
      <c r="B780" s="3">
        <v>45782</v>
      </c>
      <c r="C780" s="2" t="s">
        <v>213</v>
      </c>
      <c r="D780" s="2" t="s">
        <v>25</v>
      </c>
      <c r="E780" s="2" t="s">
        <v>26</v>
      </c>
      <c r="F780" s="2" t="s">
        <v>27</v>
      </c>
      <c r="G780" s="2" t="s">
        <v>22</v>
      </c>
      <c r="H780" s="2">
        <v>11</v>
      </c>
      <c r="I780" s="4">
        <v>1646.8</v>
      </c>
      <c r="J780" s="3">
        <v>45785</v>
      </c>
      <c r="K780">
        <f t="shared" si="12"/>
        <v>18114.8</v>
      </c>
      <c r="L780" t="str">
        <f>INDEX(Raw_Shipments!L780:L3208,MATCH(A780,Raw_Shipments!B780:B3208))</f>
        <v>No</v>
      </c>
    </row>
    <row r="781" spans="1:12" x14ac:dyDescent="0.3">
      <c r="A781" s="5" t="s">
        <v>930</v>
      </c>
      <c r="B781" s="6">
        <v>45782</v>
      </c>
      <c r="C781" s="5" t="s">
        <v>139</v>
      </c>
      <c r="D781" s="5" t="s">
        <v>25</v>
      </c>
      <c r="E781" s="5" t="s">
        <v>31</v>
      </c>
      <c r="F781" s="5" t="s">
        <v>32</v>
      </c>
      <c r="G781" s="5" t="s">
        <v>33</v>
      </c>
      <c r="H781" s="5">
        <v>53</v>
      </c>
      <c r="I781" s="7">
        <v>689</v>
      </c>
      <c r="J781" s="6">
        <v>45789</v>
      </c>
      <c r="K781">
        <f t="shared" si="12"/>
        <v>36517</v>
      </c>
      <c r="L781" t="str">
        <f>INDEX(Raw_Shipments!L781:L3209,MATCH(A781,Raw_Shipments!B781:B3209))</f>
        <v>No</v>
      </c>
    </row>
    <row r="782" spans="1:12" x14ac:dyDescent="0.3">
      <c r="A782" s="2" t="s">
        <v>931</v>
      </c>
      <c r="B782" s="3">
        <v>45782</v>
      </c>
      <c r="C782" s="2" t="s">
        <v>156</v>
      </c>
      <c r="D782" s="2" t="s">
        <v>30</v>
      </c>
      <c r="E782" s="2" t="s">
        <v>86</v>
      </c>
      <c r="F782" s="2" t="s">
        <v>87</v>
      </c>
      <c r="G782" s="2" t="s">
        <v>33</v>
      </c>
      <c r="H782" s="2">
        <v>24</v>
      </c>
      <c r="I782" s="4">
        <v>815.88</v>
      </c>
      <c r="J782" s="3">
        <v>45787</v>
      </c>
      <c r="K782">
        <f t="shared" si="12"/>
        <v>19581.12</v>
      </c>
      <c r="L782" t="str">
        <f>INDEX(Raw_Shipments!L782:L3210,MATCH(A782,Raw_Shipments!B782:B3210))</f>
        <v>No</v>
      </c>
    </row>
    <row r="783" spans="1:12" x14ac:dyDescent="0.3">
      <c r="A783" s="5" t="s">
        <v>932</v>
      </c>
      <c r="B783" s="6">
        <v>45782</v>
      </c>
      <c r="C783" s="5" t="s">
        <v>420</v>
      </c>
      <c r="D783" s="5" t="s">
        <v>14</v>
      </c>
      <c r="E783" s="5" t="s">
        <v>40</v>
      </c>
      <c r="F783" s="5" t="s">
        <v>41</v>
      </c>
      <c r="G783" s="5" t="s">
        <v>42</v>
      </c>
      <c r="H783" s="5">
        <v>24</v>
      </c>
      <c r="I783" s="7">
        <v>2445.11</v>
      </c>
      <c r="J783" s="6">
        <v>45786</v>
      </c>
      <c r="K783">
        <f t="shared" si="12"/>
        <v>58682.64</v>
      </c>
      <c r="L783" t="str">
        <f>INDEX(Raw_Shipments!L783:L3211,MATCH(A783,Raw_Shipments!B783:B3211))</f>
        <v>No</v>
      </c>
    </row>
    <row r="784" spans="1:12" x14ac:dyDescent="0.3">
      <c r="A784" s="2" t="s">
        <v>933</v>
      </c>
      <c r="B784" s="3">
        <v>45782</v>
      </c>
      <c r="C784" s="2" t="s">
        <v>282</v>
      </c>
      <c r="D784" s="2" t="s">
        <v>14</v>
      </c>
      <c r="E784" s="2" t="s">
        <v>46</v>
      </c>
      <c r="F784" s="2" t="s">
        <v>47</v>
      </c>
      <c r="G784" s="2" t="s">
        <v>42</v>
      </c>
      <c r="H784" s="2">
        <v>6</v>
      </c>
      <c r="I784" s="4">
        <v>1833.14</v>
      </c>
      <c r="J784" s="3">
        <v>45792</v>
      </c>
      <c r="K784">
        <f t="shared" si="12"/>
        <v>10998.84</v>
      </c>
      <c r="L784" t="str">
        <f>INDEX(Raw_Shipments!L784:L3212,MATCH(A784,Raw_Shipments!B784:B3212))</f>
        <v>No</v>
      </c>
    </row>
    <row r="785" spans="1:12" x14ac:dyDescent="0.3">
      <c r="A785" s="5" t="s">
        <v>934</v>
      </c>
      <c r="B785" s="6">
        <v>45783</v>
      </c>
      <c r="C785" s="5" t="s">
        <v>363</v>
      </c>
      <c r="D785" s="5" t="s">
        <v>14</v>
      </c>
      <c r="E785" s="5" t="s">
        <v>53</v>
      </c>
      <c r="F785" s="5" t="s">
        <v>54</v>
      </c>
      <c r="G785" s="5" t="s">
        <v>55</v>
      </c>
      <c r="H785" s="5">
        <v>35</v>
      </c>
      <c r="I785" s="7">
        <v>2055.9</v>
      </c>
      <c r="J785" s="6">
        <v>45791</v>
      </c>
      <c r="K785">
        <f t="shared" si="12"/>
        <v>71956.5</v>
      </c>
      <c r="L785" t="str">
        <f>INDEX(Raw_Shipments!L785:L3213,MATCH(A785,Raw_Shipments!B785:B3213))</f>
        <v>No</v>
      </c>
    </row>
    <row r="786" spans="1:12" x14ac:dyDescent="0.3">
      <c r="A786" s="2" t="s">
        <v>935</v>
      </c>
      <c r="B786" s="3">
        <v>45783</v>
      </c>
      <c r="C786" s="2" t="s">
        <v>510</v>
      </c>
      <c r="D786" s="2" t="s">
        <v>30</v>
      </c>
      <c r="E786" s="2" t="s">
        <v>62</v>
      </c>
      <c r="F786" s="2" t="s">
        <v>63</v>
      </c>
      <c r="G786" s="2" t="s">
        <v>55</v>
      </c>
      <c r="H786" s="2">
        <v>45</v>
      </c>
      <c r="I786" s="4">
        <v>2555.2199999999998</v>
      </c>
      <c r="J786" s="3">
        <v>45791</v>
      </c>
      <c r="K786">
        <f t="shared" si="12"/>
        <v>114984.9</v>
      </c>
      <c r="L786" t="str">
        <f>INDEX(Raw_Shipments!L786:L3214,MATCH(A786,Raw_Shipments!B786:B3214))</f>
        <v>Yes</v>
      </c>
    </row>
    <row r="787" spans="1:12" x14ac:dyDescent="0.3">
      <c r="A787" s="5" t="s">
        <v>936</v>
      </c>
      <c r="B787" s="6">
        <v>45783</v>
      </c>
      <c r="C787" s="5" t="s">
        <v>104</v>
      </c>
      <c r="D787" s="5" t="s">
        <v>14</v>
      </c>
      <c r="E787" s="5" t="s">
        <v>20</v>
      </c>
      <c r="F787" s="5" t="s">
        <v>21</v>
      </c>
      <c r="G787" s="5" t="s">
        <v>22</v>
      </c>
      <c r="H787" s="5">
        <v>17</v>
      </c>
      <c r="I787" s="7">
        <v>2108.56</v>
      </c>
      <c r="J787" s="6">
        <v>45792</v>
      </c>
      <c r="K787">
        <f t="shared" si="12"/>
        <v>35845.519999999997</v>
      </c>
      <c r="L787" t="str">
        <f>INDEX(Raw_Shipments!L787:L3215,MATCH(A787,Raw_Shipments!B787:B3215))</f>
        <v>No</v>
      </c>
    </row>
    <row r="788" spans="1:12" x14ac:dyDescent="0.3">
      <c r="A788" s="2" t="s">
        <v>937</v>
      </c>
      <c r="B788" s="3">
        <v>45783</v>
      </c>
      <c r="C788" s="2" t="s">
        <v>260</v>
      </c>
      <c r="D788" s="2" t="s">
        <v>25</v>
      </c>
      <c r="E788" s="2" t="s">
        <v>36</v>
      </c>
      <c r="F788" s="2" t="s">
        <v>37</v>
      </c>
      <c r="G788" s="2" t="s">
        <v>33</v>
      </c>
      <c r="H788" s="2">
        <v>44</v>
      </c>
      <c r="I788" s="4">
        <v>1064.79</v>
      </c>
      <c r="J788" s="3">
        <v>45786</v>
      </c>
      <c r="K788">
        <f t="shared" si="12"/>
        <v>46850.759999999995</v>
      </c>
      <c r="L788" t="str">
        <f>INDEX(Raw_Shipments!L788:L3216,MATCH(A788,Raw_Shipments!B788:B3216))</f>
        <v>No</v>
      </c>
    </row>
    <row r="789" spans="1:12" x14ac:dyDescent="0.3">
      <c r="A789" s="5" t="s">
        <v>938</v>
      </c>
      <c r="B789" s="6">
        <v>45783</v>
      </c>
      <c r="C789" s="5" t="s">
        <v>69</v>
      </c>
      <c r="D789" s="5" t="s">
        <v>14</v>
      </c>
      <c r="E789" s="5" t="s">
        <v>86</v>
      </c>
      <c r="F789" s="5" t="s">
        <v>87</v>
      </c>
      <c r="G789" s="5" t="s">
        <v>33</v>
      </c>
      <c r="H789" s="5">
        <v>22</v>
      </c>
      <c r="I789" s="7">
        <v>815.88</v>
      </c>
      <c r="J789" s="6">
        <v>45793</v>
      </c>
      <c r="K789">
        <f t="shared" si="12"/>
        <v>17949.36</v>
      </c>
      <c r="L789" t="str">
        <f>INDEX(Raw_Shipments!L789:L3217,MATCH(A789,Raw_Shipments!B789:B3217))</f>
        <v>Yes</v>
      </c>
    </row>
    <row r="790" spans="1:12" x14ac:dyDescent="0.3">
      <c r="A790" s="2" t="s">
        <v>939</v>
      </c>
      <c r="B790" s="3">
        <v>45783</v>
      </c>
      <c r="C790" s="2" t="s">
        <v>170</v>
      </c>
      <c r="D790" s="2" t="s">
        <v>30</v>
      </c>
      <c r="E790" s="2" t="s">
        <v>40</v>
      </c>
      <c r="F790" s="2" t="s">
        <v>41</v>
      </c>
      <c r="G790" s="2" t="s">
        <v>42</v>
      </c>
      <c r="H790" s="2">
        <v>30</v>
      </c>
      <c r="I790" s="4">
        <v>2445.11</v>
      </c>
      <c r="J790" s="3">
        <v>45790</v>
      </c>
      <c r="K790">
        <f t="shared" si="12"/>
        <v>73353.3</v>
      </c>
      <c r="L790" t="str">
        <f>INDEX(Raw_Shipments!L790:L3218,MATCH(A790,Raw_Shipments!B790:B3218))</f>
        <v>No</v>
      </c>
    </row>
    <row r="791" spans="1:12" x14ac:dyDescent="0.3">
      <c r="A791" s="5" t="s">
        <v>940</v>
      </c>
      <c r="B791" s="6">
        <v>45784</v>
      </c>
      <c r="C791" s="5" t="s">
        <v>79</v>
      </c>
      <c r="D791" s="5" t="s">
        <v>30</v>
      </c>
      <c r="E791" s="5" t="s">
        <v>66</v>
      </c>
      <c r="F791" s="5" t="s">
        <v>67</v>
      </c>
      <c r="G791" s="5" t="s">
        <v>17</v>
      </c>
      <c r="H791" s="5">
        <v>16</v>
      </c>
      <c r="I791" s="7">
        <v>850.8</v>
      </c>
      <c r="J791" s="6">
        <v>45794</v>
      </c>
      <c r="K791">
        <f t="shared" si="12"/>
        <v>13612.8</v>
      </c>
      <c r="L791" t="str">
        <f>INDEX(Raw_Shipments!L791:L3219,MATCH(A791,Raw_Shipments!B791:B3219))</f>
        <v>No</v>
      </c>
    </row>
    <row r="792" spans="1:12" x14ac:dyDescent="0.3">
      <c r="A792" s="2" t="s">
        <v>941</v>
      </c>
      <c r="B792" s="3">
        <v>45784</v>
      </c>
      <c r="C792" s="2" t="s">
        <v>75</v>
      </c>
      <c r="D792" s="2" t="s">
        <v>14</v>
      </c>
      <c r="E792" s="2" t="s">
        <v>97</v>
      </c>
      <c r="F792" s="2" t="s">
        <v>98</v>
      </c>
      <c r="G792" s="2" t="s">
        <v>17</v>
      </c>
      <c r="H792" s="2">
        <v>26</v>
      </c>
      <c r="I792" s="4">
        <v>1110.6500000000001</v>
      </c>
      <c r="J792" s="3">
        <v>45791</v>
      </c>
      <c r="K792">
        <f t="shared" si="12"/>
        <v>28876.9</v>
      </c>
      <c r="L792" t="str">
        <f>INDEX(Raw_Shipments!L792:L3220,MATCH(A792,Raw_Shipments!B792:B3220))</f>
        <v>No</v>
      </c>
    </row>
    <row r="793" spans="1:12" x14ac:dyDescent="0.3">
      <c r="A793" s="5" t="s">
        <v>942</v>
      </c>
      <c r="B793" s="6">
        <v>45784</v>
      </c>
      <c r="C793" s="5" t="s">
        <v>71</v>
      </c>
      <c r="D793" s="5" t="s">
        <v>25</v>
      </c>
      <c r="E793" s="5" t="s">
        <v>15</v>
      </c>
      <c r="F793" s="5" t="s">
        <v>16</v>
      </c>
      <c r="G793" s="5" t="s">
        <v>17</v>
      </c>
      <c r="H793" s="5">
        <v>13</v>
      </c>
      <c r="I793" s="7">
        <v>183.06</v>
      </c>
      <c r="J793" s="6">
        <v>45789</v>
      </c>
      <c r="K793">
        <f t="shared" si="12"/>
        <v>2379.7800000000002</v>
      </c>
      <c r="L793" t="str">
        <f>INDEX(Raw_Shipments!L793:L3221,MATCH(A793,Raw_Shipments!B793:B3221))</f>
        <v>No</v>
      </c>
    </row>
    <row r="794" spans="1:12" x14ac:dyDescent="0.3">
      <c r="A794" s="2" t="s">
        <v>943</v>
      </c>
      <c r="B794" s="3">
        <v>45784</v>
      </c>
      <c r="C794" s="2" t="s">
        <v>146</v>
      </c>
      <c r="D794" s="2" t="s">
        <v>45</v>
      </c>
      <c r="E794" s="2" t="s">
        <v>20</v>
      </c>
      <c r="F794" s="2" t="s">
        <v>21</v>
      </c>
      <c r="G794" s="2" t="s">
        <v>22</v>
      </c>
      <c r="H794" s="2">
        <v>18</v>
      </c>
      <c r="I794" s="4">
        <v>2108.56</v>
      </c>
      <c r="J794" s="3">
        <v>45791</v>
      </c>
      <c r="K794">
        <f t="shared" si="12"/>
        <v>37954.080000000002</v>
      </c>
      <c r="L794" t="str">
        <f>INDEX(Raw_Shipments!L794:L3222,MATCH(A794,Raw_Shipments!B794:B3222))</f>
        <v>No</v>
      </c>
    </row>
    <row r="795" spans="1:12" x14ac:dyDescent="0.3">
      <c r="A795" s="5" t="s">
        <v>944</v>
      </c>
      <c r="B795" s="6">
        <v>45784</v>
      </c>
      <c r="C795" s="5" t="s">
        <v>107</v>
      </c>
      <c r="D795" s="5" t="s">
        <v>14</v>
      </c>
      <c r="E795" s="5" t="s">
        <v>119</v>
      </c>
      <c r="F795" s="5" t="s">
        <v>120</v>
      </c>
      <c r="G795" s="5" t="s">
        <v>22</v>
      </c>
      <c r="H795" s="5">
        <v>23</v>
      </c>
      <c r="I795" s="7">
        <v>912.26</v>
      </c>
      <c r="J795" s="6">
        <v>45793</v>
      </c>
      <c r="K795">
        <f t="shared" si="12"/>
        <v>20981.98</v>
      </c>
      <c r="L795" t="str">
        <f>INDEX(Raw_Shipments!L795:L3223,MATCH(A795,Raw_Shipments!B795:B3223))</f>
        <v>No</v>
      </c>
    </row>
    <row r="796" spans="1:12" x14ac:dyDescent="0.3">
      <c r="A796" s="2" t="s">
        <v>945</v>
      </c>
      <c r="B796" s="3">
        <v>45784</v>
      </c>
      <c r="C796" s="2" t="s">
        <v>250</v>
      </c>
      <c r="D796" s="2" t="s">
        <v>25</v>
      </c>
      <c r="E796" s="2" t="s">
        <v>46</v>
      </c>
      <c r="F796" s="2" t="s">
        <v>47</v>
      </c>
      <c r="G796" s="2" t="s">
        <v>42</v>
      </c>
      <c r="H796" s="2">
        <v>3</v>
      </c>
      <c r="I796" s="4">
        <v>1833.14</v>
      </c>
      <c r="J796" s="3">
        <v>45787</v>
      </c>
      <c r="K796">
        <f t="shared" si="12"/>
        <v>5499.42</v>
      </c>
      <c r="L796" t="str">
        <f>INDEX(Raw_Shipments!L796:L3224,MATCH(A796,Raw_Shipments!B796:B3224))</f>
        <v>No</v>
      </c>
    </row>
    <row r="797" spans="1:12" x14ac:dyDescent="0.3">
      <c r="A797" s="5" t="s">
        <v>946</v>
      </c>
      <c r="B797" s="6">
        <v>45784</v>
      </c>
      <c r="C797" s="5" t="s">
        <v>222</v>
      </c>
      <c r="D797" s="5" t="s">
        <v>30</v>
      </c>
      <c r="E797" s="5" t="s">
        <v>50</v>
      </c>
      <c r="F797" s="5" t="s">
        <v>51</v>
      </c>
      <c r="G797" s="5" t="s">
        <v>42</v>
      </c>
      <c r="H797" s="5">
        <v>10</v>
      </c>
      <c r="I797" s="7">
        <v>1952.28</v>
      </c>
      <c r="J797" s="6">
        <v>45793</v>
      </c>
      <c r="K797">
        <f t="shared" si="12"/>
        <v>19522.8</v>
      </c>
      <c r="L797" t="str">
        <f>INDEX(Raw_Shipments!L797:L3225,MATCH(A797,Raw_Shipments!B797:B3225))</f>
        <v>No</v>
      </c>
    </row>
    <row r="798" spans="1:12" x14ac:dyDescent="0.3">
      <c r="A798" s="2" t="s">
        <v>947</v>
      </c>
      <c r="B798" s="3">
        <v>45785</v>
      </c>
      <c r="C798" s="2" t="s">
        <v>146</v>
      </c>
      <c r="D798" s="2" t="s">
        <v>30</v>
      </c>
      <c r="E798" s="2" t="s">
        <v>58</v>
      </c>
      <c r="F798" s="2" t="s">
        <v>59</v>
      </c>
      <c r="G798" s="2" t="s">
        <v>55</v>
      </c>
      <c r="H798" s="2">
        <v>14</v>
      </c>
      <c r="I798" s="4">
        <v>1695.1</v>
      </c>
      <c r="J798" s="3">
        <v>45792</v>
      </c>
      <c r="K798">
        <f t="shared" si="12"/>
        <v>23731.399999999998</v>
      </c>
      <c r="L798" t="str">
        <f>INDEX(Raw_Shipments!L798:L3226,MATCH(A798,Raw_Shipments!B798:B3226))</f>
        <v>Yes</v>
      </c>
    </row>
    <row r="799" spans="1:12" x14ac:dyDescent="0.3">
      <c r="A799" s="5" t="s">
        <v>948</v>
      </c>
      <c r="B799" s="6">
        <v>45785</v>
      </c>
      <c r="C799" s="5" t="s">
        <v>65</v>
      </c>
      <c r="D799" s="5" t="s">
        <v>25</v>
      </c>
      <c r="E799" s="5" t="s">
        <v>15</v>
      </c>
      <c r="F799" s="5" t="s">
        <v>16</v>
      </c>
      <c r="G799" s="5" t="s">
        <v>17</v>
      </c>
      <c r="H799" s="5">
        <v>14</v>
      </c>
      <c r="I799" s="7">
        <v>183.06</v>
      </c>
      <c r="J799" s="6">
        <v>45789</v>
      </c>
      <c r="K799">
        <f t="shared" si="12"/>
        <v>2562.84</v>
      </c>
      <c r="L799" t="str">
        <f>INDEX(Raw_Shipments!L799:L3227,MATCH(A799,Raw_Shipments!B799:B3227))</f>
        <v>No</v>
      </c>
    </row>
    <row r="800" spans="1:12" x14ac:dyDescent="0.3">
      <c r="A800" s="2" t="s">
        <v>949</v>
      </c>
      <c r="B800" s="3">
        <v>45785</v>
      </c>
      <c r="C800" s="2" t="s">
        <v>268</v>
      </c>
      <c r="D800" s="2" t="s">
        <v>30</v>
      </c>
      <c r="E800" s="2" t="s">
        <v>20</v>
      </c>
      <c r="F800" s="2" t="s">
        <v>21</v>
      </c>
      <c r="G800" s="2" t="s">
        <v>22</v>
      </c>
      <c r="H800" s="2">
        <v>16</v>
      </c>
      <c r="I800" s="4">
        <v>2108.56</v>
      </c>
      <c r="J800" s="3">
        <v>45793</v>
      </c>
      <c r="K800">
        <f t="shared" si="12"/>
        <v>33736.959999999999</v>
      </c>
      <c r="L800" t="str">
        <f>INDEX(Raw_Shipments!L800:L3228,MATCH(A800,Raw_Shipments!B800:B3228))</f>
        <v>No</v>
      </c>
    </row>
    <row r="801" spans="1:12" x14ac:dyDescent="0.3">
      <c r="A801" s="5" t="s">
        <v>950</v>
      </c>
      <c r="B801" s="6">
        <v>45785</v>
      </c>
      <c r="C801" s="5" t="s">
        <v>172</v>
      </c>
      <c r="D801" s="5" t="s">
        <v>25</v>
      </c>
      <c r="E801" s="5" t="s">
        <v>36</v>
      </c>
      <c r="F801" s="5" t="s">
        <v>37</v>
      </c>
      <c r="G801" s="5" t="s">
        <v>33</v>
      </c>
      <c r="H801" s="5">
        <v>30</v>
      </c>
      <c r="I801" s="7">
        <v>1064.79</v>
      </c>
      <c r="J801" s="6">
        <v>45791</v>
      </c>
      <c r="K801">
        <f t="shared" si="12"/>
        <v>31943.699999999997</v>
      </c>
      <c r="L801" t="str">
        <f>INDEX(Raw_Shipments!L801:L3229,MATCH(A801,Raw_Shipments!B801:B3229))</f>
        <v>No</v>
      </c>
    </row>
    <row r="802" spans="1:12" x14ac:dyDescent="0.3">
      <c r="A802" s="2" t="s">
        <v>951</v>
      </c>
      <c r="B802" s="3">
        <v>45785</v>
      </c>
      <c r="C802" s="2" t="s">
        <v>442</v>
      </c>
      <c r="D802" s="2" t="s">
        <v>14</v>
      </c>
      <c r="E802" s="2" t="s">
        <v>40</v>
      </c>
      <c r="F802" s="2" t="s">
        <v>41</v>
      </c>
      <c r="G802" s="2" t="s">
        <v>42</v>
      </c>
      <c r="H802" s="2">
        <v>38</v>
      </c>
      <c r="I802" s="4">
        <v>2445.11</v>
      </c>
      <c r="J802" s="3">
        <v>45789</v>
      </c>
      <c r="K802">
        <f t="shared" si="12"/>
        <v>92914.180000000008</v>
      </c>
      <c r="L802" t="str">
        <f>INDEX(Raw_Shipments!L802:L3230,MATCH(A802,Raw_Shipments!B802:B3230))</f>
        <v>No</v>
      </c>
    </row>
    <row r="803" spans="1:12" x14ac:dyDescent="0.3">
      <c r="A803" s="5" t="s">
        <v>952</v>
      </c>
      <c r="B803" s="6">
        <v>45786</v>
      </c>
      <c r="C803" s="5" t="s">
        <v>208</v>
      </c>
      <c r="D803" s="5" t="s">
        <v>14</v>
      </c>
      <c r="E803" s="5" t="s">
        <v>53</v>
      </c>
      <c r="F803" s="5" t="s">
        <v>54</v>
      </c>
      <c r="G803" s="5" t="s">
        <v>55</v>
      </c>
      <c r="H803" s="5">
        <v>36</v>
      </c>
      <c r="I803" s="7">
        <v>2055.9</v>
      </c>
      <c r="J803" s="6">
        <v>45794</v>
      </c>
      <c r="K803">
        <f t="shared" si="12"/>
        <v>74012.400000000009</v>
      </c>
      <c r="L803" t="str">
        <f>INDEX(Raw_Shipments!L803:L3231,MATCH(A803,Raw_Shipments!B803:B3231))</f>
        <v>Yes</v>
      </c>
    </row>
    <row r="804" spans="1:12" x14ac:dyDescent="0.3">
      <c r="A804" s="2" t="s">
        <v>953</v>
      </c>
      <c r="B804" s="3">
        <v>45786</v>
      </c>
      <c r="C804" s="2" t="s">
        <v>318</v>
      </c>
      <c r="D804" s="2" t="s">
        <v>25</v>
      </c>
      <c r="E804" s="2" t="s">
        <v>58</v>
      </c>
      <c r="F804" s="2" t="s">
        <v>59</v>
      </c>
      <c r="G804" s="2" t="s">
        <v>55</v>
      </c>
      <c r="H804" s="2">
        <v>18</v>
      </c>
      <c r="I804" s="4">
        <v>1695.1</v>
      </c>
      <c r="J804" s="3">
        <v>45790</v>
      </c>
      <c r="K804">
        <f t="shared" si="12"/>
        <v>30511.8</v>
      </c>
      <c r="L804" t="str">
        <f>INDEX(Raw_Shipments!L804:L3232,MATCH(A804,Raw_Shipments!B804:B3232))</f>
        <v>No</v>
      </c>
    </row>
    <row r="805" spans="1:12" x14ac:dyDescent="0.3">
      <c r="A805" s="5" t="s">
        <v>954</v>
      </c>
      <c r="B805" s="6">
        <v>45786</v>
      </c>
      <c r="C805" s="5" t="s">
        <v>100</v>
      </c>
      <c r="D805" s="5" t="s">
        <v>25</v>
      </c>
      <c r="E805" s="5" t="s">
        <v>66</v>
      </c>
      <c r="F805" s="5" t="s">
        <v>67</v>
      </c>
      <c r="G805" s="5" t="s">
        <v>17</v>
      </c>
      <c r="H805" s="5">
        <v>17</v>
      </c>
      <c r="I805" s="7">
        <v>850.8</v>
      </c>
      <c r="J805" s="6">
        <v>45789</v>
      </c>
      <c r="K805">
        <f t="shared" si="12"/>
        <v>14463.599999999999</v>
      </c>
      <c r="L805" t="str">
        <f>INDEX(Raw_Shipments!L805:L3233,MATCH(A805,Raw_Shipments!B805:B3233))</f>
        <v>No</v>
      </c>
    </row>
    <row r="806" spans="1:12" x14ac:dyDescent="0.3">
      <c r="A806" s="2" t="s">
        <v>955</v>
      </c>
      <c r="B806" s="3">
        <v>45786</v>
      </c>
      <c r="C806" s="2" t="s">
        <v>107</v>
      </c>
      <c r="D806" s="2" t="s">
        <v>14</v>
      </c>
      <c r="E806" s="2" t="s">
        <v>97</v>
      </c>
      <c r="F806" s="2" t="s">
        <v>98</v>
      </c>
      <c r="G806" s="2" t="s">
        <v>17</v>
      </c>
      <c r="H806" s="2">
        <v>25</v>
      </c>
      <c r="I806" s="4">
        <v>1110.6500000000001</v>
      </c>
      <c r="J806" s="3">
        <v>45789</v>
      </c>
      <c r="K806">
        <f t="shared" si="12"/>
        <v>27766.250000000004</v>
      </c>
      <c r="L806" t="str">
        <f>INDEX(Raw_Shipments!L806:L3234,MATCH(A806,Raw_Shipments!B806:B3234))</f>
        <v>No</v>
      </c>
    </row>
    <row r="807" spans="1:12" x14ac:dyDescent="0.3">
      <c r="A807" s="5" t="s">
        <v>956</v>
      </c>
      <c r="B807" s="6">
        <v>45786</v>
      </c>
      <c r="C807" s="5" t="s">
        <v>44</v>
      </c>
      <c r="D807" s="5" t="s">
        <v>30</v>
      </c>
      <c r="E807" s="5" t="s">
        <v>15</v>
      </c>
      <c r="F807" s="5" t="s">
        <v>16</v>
      </c>
      <c r="G807" s="5" t="s">
        <v>17</v>
      </c>
      <c r="H807" s="5">
        <v>7</v>
      </c>
      <c r="I807" s="7">
        <v>183.06</v>
      </c>
      <c r="J807" s="6">
        <v>45794</v>
      </c>
      <c r="K807">
        <f t="shared" si="12"/>
        <v>1281.42</v>
      </c>
      <c r="L807" t="str">
        <f>INDEX(Raw_Shipments!L807:L3235,MATCH(A807,Raw_Shipments!B807:B3235))</f>
        <v>No</v>
      </c>
    </row>
    <row r="808" spans="1:12" x14ac:dyDescent="0.3">
      <c r="A808" s="2" t="s">
        <v>957</v>
      </c>
      <c r="B808" s="3">
        <v>45786</v>
      </c>
      <c r="C808" s="2" t="s">
        <v>400</v>
      </c>
      <c r="D808" s="2" t="s">
        <v>25</v>
      </c>
      <c r="E808" s="2" t="s">
        <v>46</v>
      </c>
      <c r="F808" s="2" t="s">
        <v>47</v>
      </c>
      <c r="G808" s="2" t="s">
        <v>42</v>
      </c>
      <c r="H808" s="2">
        <v>7</v>
      </c>
      <c r="I808" s="4">
        <v>1833.14</v>
      </c>
      <c r="J808" s="3">
        <v>45789</v>
      </c>
      <c r="K808">
        <f t="shared" si="12"/>
        <v>12831.980000000001</v>
      </c>
      <c r="L808" t="str">
        <f>INDEX(Raw_Shipments!L808:L3236,MATCH(A808,Raw_Shipments!B808:B3236))</f>
        <v>No</v>
      </c>
    </row>
    <row r="809" spans="1:12" x14ac:dyDescent="0.3">
      <c r="A809" s="5" t="s">
        <v>958</v>
      </c>
      <c r="B809" s="6">
        <v>45787</v>
      </c>
      <c r="C809" s="5" t="s">
        <v>183</v>
      </c>
      <c r="D809" s="5" t="s">
        <v>45</v>
      </c>
      <c r="E809" s="5" t="s">
        <v>62</v>
      </c>
      <c r="F809" s="5" t="s">
        <v>63</v>
      </c>
      <c r="G809" s="5" t="s">
        <v>55</v>
      </c>
      <c r="H809" s="5">
        <v>23</v>
      </c>
      <c r="I809" s="7">
        <v>2555.2199999999998</v>
      </c>
      <c r="J809" s="6">
        <v>45795</v>
      </c>
      <c r="K809">
        <f t="shared" si="12"/>
        <v>58770.06</v>
      </c>
      <c r="L809" t="str">
        <f>INDEX(Raw_Shipments!L809:L3237,MATCH(A809,Raw_Shipments!B809:B3237))</f>
        <v>No</v>
      </c>
    </row>
    <row r="810" spans="1:12" x14ac:dyDescent="0.3">
      <c r="A810" s="2" t="s">
        <v>959</v>
      </c>
      <c r="B810" s="3">
        <v>45787</v>
      </c>
      <c r="C810" s="2" t="s">
        <v>191</v>
      </c>
      <c r="D810" s="2" t="s">
        <v>30</v>
      </c>
      <c r="E810" s="2" t="s">
        <v>97</v>
      </c>
      <c r="F810" s="2" t="s">
        <v>98</v>
      </c>
      <c r="G810" s="2" t="s">
        <v>17</v>
      </c>
      <c r="H810" s="2">
        <v>54</v>
      </c>
      <c r="I810" s="4">
        <v>1110.6500000000001</v>
      </c>
      <c r="J810" s="3">
        <v>45792</v>
      </c>
      <c r="K810">
        <f t="shared" si="12"/>
        <v>59975.100000000006</v>
      </c>
      <c r="L810" t="str">
        <f>INDEX(Raw_Shipments!L810:L3238,MATCH(A810,Raw_Shipments!B810:B3238))</f>
        <v>No</v>
      </c>
    </row>
    <row r="811" spans="1:12" x14ac:dyDescent="0.3">
      <c r="A811" s="5" t="s">
        <v>960</v>
      </c>
      <c r="B811" s="6">
        <v>45787</v>
      </c>
      <c r="C811" s="5" t="s">
        <v>61</v>
      </c>
      <c r="D811" s="5" t="s">
        <v>25</v>
      </c>
      <c r="E811" s="5" t="s">
        <v>15</v>
      </c>
      <c r="F811" s="5" t="s">
        <v>16</v>
      </c>
      <c r="G811" s="5" t="s">
        <v>17</v>
      </c>
      <c r="H811" s="5">
        <v>16</v>
      </c>
      <c r="I811" s="7">
        <v>183.06</v>
      </c>
      <c r="J811" s="6">
        <v>45791</v>
      </c>
      <c r="K811">
        <f t="shared" si="12"/>
        <v>2928.96</v>
      </c>
      <c r="L811" t="str">
        <f>INDEX(Raw_Shipments!L811:L3239,MATCH(A811,Raw_Shipments!B811:B3239))</f>
        <v>No</v>
      </c>
    </row>
    <row r="812" spans="1:12" x14ac:dyDescent="0.3">
      <c r="A812" s="2" t="s">
        <v>961</v>
      </c>
      <c r="B812" s="3">
        <v>45787</v>
      </c>
      <c r="C812" s="2" t="s">
        <v>262</v>
      </c>
      <c r="D812" s="2" t="s">
        <v>25</v>
      </c>
      <c r="E812" s="2" t="s">
        <v>119</v>
      </c>
      <c r="F812" s="2" t="s">
        <v>120</v>
      </c>
      <c r="G812" s="2" t="s">
        <v>22</v>
      </c>
      <c r="H812" s="2">
        <v>54</v>
      </c>
      <c r="I812" s="4">
        <v>912.26</v>
      </c>
      <c r="J812" s="3">
        <v>45797</v>
      </c>
      <c r="K812">
        <f t="shared" si="12"/>
        <v>49262.04</v>
      </c>
      <c r="L812" t="str">
        <f>INDEX(Raw_Shipments!L812:L3240,MATCH(A812,Raw_Shipments!B812:B3240))</f>
        <v>Yes</v>
      </c>
    </row>
    <row r="813" spans="1:12" x14ac:dyDescent="0.3">
      <c r="A813" s="5" t="s">
        <v>962</v>
      </c>
      <c r="B813" s="6">
        <v>45787</v>
      </c>
      <c r="C813" s="5" t="s">
        <v>107</v>
      </c>
      <c r="D813" s="5" t="s">
        <v>45</v>
      </c>
      <c r="E813" s="5" t="s">
        <v>36</v>
      </c>
      <c r="F813" s="5" t="s">
        <v>37</v>
      </c>
      <c r="G813" s="5" t="s">
        <v>33</v>
      </c>
      <c r="H813" s="5">
        <v>41</v>
      </c>
      <c r="I813" s="7">
        <v>1064.79</v>
      </c>
      <c r="J813" s="6">
        <v>45794</v>
      </c>
      <c r="K813">
        <f t="shared" si="12"/>
        <v>43656.39</v>
      </c>
      <c r="L813" t="str">
        <f>INDEX(Raw_Shipments!L813:L3241,MATCH(A813,Raw_Shipments!B813:B3241))</f>
        <v>No</v>
      </c>
    </row>
    <row r="814" spans="1:12" x14ac:dyDescent="0.3">
      <c r="A814" s="2" t="s">
        <v>963</v>
      </c>
      <c r="B814" s="3">
        <v>45787</v>
      </c>
      <c r="C814" s="2" t="s">
        <v>57</v>
      </c>
      <c r="D814" s="2" t="s">
        <v>45</v>
      </c>
      <c r="E814" s="2" t="s">
        <v>86</v>
      </c>
      <c r="F814" s="2" t="s">
        <v>87</v>
      </c>
      <c r="G814" s="2" t="s">
        <v>33</v>
      </c>
      <c r="H814" s="2">
        <v>32</v>
      </c>
      <c r="I814" s="4">
        <v>815.88</v>
      </c>
      <c r="J814" s="3">
        <v>45791</v>
      </c>
      <c r="K814">
        <f t="shared" si="12"/>
        <v>26108.16</v>
      </c>
      <c r="L814" t="str">
        <f>INDEX(Raw_Shipments!L814:L3242,MATCH(A814,Raw_Shipments!B814:B3242))</f>
        <v>No</v>
      </c>
    </row>
    <row r="815" spans="1:12" x14ac:dyDescent="0.3">
      <c r="A815" s="5" t="s">
        <v>964</v>
      </c>
      <c r="B815" s="6">
        <v>45787</v>
      </c>
      <c r="C815" s="5" t="s">
        <v>65</v>
      </c>
      <c r="D815" s="5" t="s">
        <v>25</v>
      </c>
      <c r="E815" s="5" t="s">
        <v>50</v>
      </c>
      <c r="F815" s="5" t="s">
        <v>51</v>
      </c>
      <c r="G815" s="5" t="s">
        <v>42</v>
      </c>
      <c r="H815" s="5">
        <v>9</v>
      </c>
      <c r="I815" s="7">
        <v>1952.28</v>
      </c>
      <c r="J815" s="6">
        <v>45795</v>
      </c>
      <c r="K815">
        <f t="shared" si="12"/>
        <v>17570.52</v>
      </c>
      <c r="L815" t="str">
        <f>INDEX(Raw_Shipments!L815:L3243,MATCH(A815,Raw_Shipments!B815:B3243))</f>
        <v>No</v>
      </c>
    </row>
    <row r="816" spans="1:12" x14ac:dyDescent="0.3">
      <c r="A816" s="2" t="s">
        <v>965</v>
      </c>
      <c r="B816" s="3">
        <v>45788</v>
      </c>
      <c r="C816" s="2" t="s">
        <v>131</v>
      </c>
      <c r="D816" s="2" t="s">
        <v>45</v>
      </c>
      <c r="E816" s="2" t="s">
        <v>58</v>
      </c>
      <c r="F816" s="2" t="s">
        <v>59</v>
      </c>
      <c r="G816" s="2" t="s">
        <v>55</v>
      </c>
      <c r="H816" s="2">
        <v>25</v>
      </c>
      <c r="I816" s="4">
        <v>1695.1</v>
      </c>
      <c r="J816" s="3">
        <v>45793</v>
      </c>
      <c r="K816">
        <f t="shared" si="12"/>
        <v>42377.5</v>
      </c>
      <c r="L816" t="str">
        <f>INDEX(Raw_Shipments!L816:L3244,MATCH(A816,Raw_Shipments!B816:B3244))</f>
        <v>No</v>
      </c>
    </row>
    <row r="817" spans="1:12" x14ac:dyDescent="0.3">
      <c r="A817" s="5" t="s">
        <v>966</v>
      </c>
      <c r="B817" s="6">
        <v>45788</v>
      </c>
      <c r="C817" s="5" t="s">
        <v>279</v>
      </c>
      <c r="D817" s="5" t="s">
        <v>45</v>
      </c>
      <c r="E817" s="5" t="s">
        <v>15</v>
      </c>
      <c r="F817" s="5" t="s">
        <v>16</v>
      </c>
      <c r="G817" s="5" t="s">
        <v>17</v>
      </c>
      <c r="H817" s="5">
        <v>7</v>
      </c>
      <c r="I817" s="7">
        <v>183.06</v>
      </c>
      <c r="J817" s="6">
        <v>45791</v>
      </c>
      <c r="K817">
        <f t="shared" si="12"/>
        <v>1281.42</v>
      </c>
      <c r="L817" t="str">
        <f>INDEX(Raw_Shipments!L817:L3245,MATCH(A817,Raw_Shipments!B817:B3245))</f>
        <v>No</v>
      </c>
    </row>
    <row r="818" spans="1:12" x14ac:dyDescent="0.3">
      <c r="A818" s="2" t="s">
        <v>967</v>
      </c>
      <c r="B818" s="3">
        <v>45788</v>
      </c>
      <c r="C818" s="2" t="s">
        <v>19</v>
      </c>
      <c r="D818" s="2" t="s">
        <v>25</v>
      </c>
      <c r="E818" s="2" t="s">
        <v>20</v>
      </c>
      <c r="F818" s="2" t="s">
        <v>21</v>
      </c>
      <c r="G818" s="2" t="s">
        <v>22</v>
      </c>
      <c r="H818" s="2">
        <v>15</v>
      </c>
      <c r="I818" s="4">
        <v>2108.56</v>
      </c>
      <c r="J818" s="3">
        <v>45795</v>
      </c>
      <c r="K818">
        <f t="shared" si="12"/>
        <v>31628.399999999998</v>
      </c>
      <c r="L818" t="str">
        <f>INDEX(Raw_Shipments!L818:L3246,MATCH(A818,Raw_Shipments!B818:B3246))</f>
        <v>No</v>
      </c>
    </row>
    <row r="819" spans="1:12" x14ac:dyDescent="0.3">
      <c r="A819" s="5" t="s">
        <v>968</v>
      </c>
      <c r="B819" s="6">
        <v>45788</v>
      </c>
      <c r="C819" s="5" t="s">
        <v>213</v>
      </c>
      <c r="D819" s="5" t="s">
        <v>25</v>
      </c>
      <c r="E819" s="5" t="s">
        <v>26</v>
      </c>
      <c r="F819" s="5" t="s">
        <v>27</v>
      </c>
      <c r="G819" s="5" t="s">
        <v>22</v>
      </c>
      <c r="H819" s="5">
        <v>17</v>
      </c>
      <c r="I819" s="7">
        <v>1646.8</v>
      </c>
      <c r="J819" s="6">
        <v>45794</v>
      </c>
      <c r="K819">
        <f t="shared" si="12"/>
        <v>27995.599999999999</v>
      </c>
      <c r="L819" t="str">
        <f>INDEX(Raw_Shipments!L819:L3247,MATCH(A819,Raw_Shipments!B819:B3247))</f>
        <v>No</v>
      </c>
    </row>
    <row r="820" spans="1:12" x14ac:dyDescent="0.3">
      <c r="A820" s="2" t="s">
        <v>969</v>
      </c>
      <c r="B820" s="3">
        <v>45788</v>
      </c>
      <c r="C820" s="2" t="s">
        <v>203</v>
      </c>
      <c r="D820" s="2" t="s">
        <v>14</v>
      </c>
      <c r="E820" s="2" t="s">
        <v>31</v>
      </c>
      <c r="F820" s="2" t="s">
        <v>32</v>
      </c>
      <c r="G820" s="2" t="s">
        <v>33</v>
      </c>
      <c r="H820" s="2">
        <v>32</v>
      </c>
      <c r="I820" s="4">
        <v>689</v>
      </c>
      <c r="J820" s="3">
        <v>45792</v>
      </c>
      <c r="K820">
        <f t="shared" si="12"/>
        <v>22048</v>
      </c>
      <c r="L820" t="str">
        <f>INDEX(Raw_Shipments!L820:L3248,MATCH(A820,Raw_Shipments!B820:B3248))</f>
        <v>No</v>
      </c>
    </row>
    <row r="821" spans="1:12" x14ac:dyDescent="0.3">
      <c r="A821" s="5" t="s">
        <v>970</v>
      </c>
      <c r="B821" s="6">
        <v>45788</v>
      </c>
      <c r="C821" s="5" t="s">
        <v>170</v>
      </c>
      <c r="D821" s="5" t="s">
        <v>45</v>
      </c>
      <c r="E821" s="5" t="s">
        <v>36</v>
      </c>
      <c r="F821" s="5" t="s">
        <v>37</v>
      </c>
      <c r="G821" s="5" t="s">
        <v>33</v>
      </c>
      <c r="H821" s="5">
        <v>51</v>
      </c>
      <c r="I821" s="7">
        <v>1064.79</v>
      </c>
      <c r="J821" s="6">
        <v>45792</v>
      </c>
      <c r="K821">
        <f t="shared" si="12"/>
        <v>54304.29</v>
      </c>
      <c r="L821" t="str">
        <f>INDEX(Raw_Shipments!L821:L3249,MATCH(A821,Raw_Shipments!B821:B3249))</f>
        <v>No</v>
      </c>
    </row>
    <row r="822" spans="1:12" x14ac:dyDescent="0.3">
      <c r="A822" s="2" t="s">
        <v>971</v>
      </c>
      <c r="B822" s="3">
        <v>45788</v>
      </c>
      <c r="C822" s="2" t="s">
        <v>172</v>
      </c>
      <c r="D822" s="2" t="s">
        <v>25</v>
      </c>
      <c r="E822" s="2" t="s">
        <v>86</v>
      </c>
      <c r="F822" s="2" t="s">
        <v>87</v>
      </c>
      <c r="G822" s="2" t="s">
        <v>33</v>
      </c>
      <c r="H822" s="2">
        <v>21</v>
      </c>
      <c r="I822" s="4">
        <v>815.88</v>
      </c>
      <c r="J822" s="3">
        <v>45793</v>
      </c>
      <c r="K822">
        <f t="shared" si="12"/>
        <v>17133.48</v>
      </c>
      <c r="L822" t="str">
        <f>INDEX(Raw_Shipments!L822:L3250,MATCH(A822,Raw_Shipments!B822:B3250))</f>
        <v>No</v>
      </c>
    </row>
    <row r="823" spans="1:12" x14ac:dyDescent="0.3">
      <c r="A823" s="5" t="s">
        <v>972</v>
      </c>
      <c r="B823" s="6">
        <v>45788</v>
      </c>
      <c r="C823" s="5" t="s">
        <v>85</v>
      </c>
      <c r="D823" s="5" t="s">
        <v>25</v>
      </c>
      <c r="E823" s="5" t="s">
        <v>46</v>
      </c>
      <c r="F823" s="5" t="s">
        <v>47</v>
      </c>
      <c r="G823" s="5" t="s">
        <v>42</v>
      </c>
      <c r="H823" s="5">
        <v>8</v>
      </c>
      <c r="I823" s="7">
        <v>1833.14</v>
      </c>
      <c r="J823" s="6">
        <v>45795</v>
      </c>
      <c r="K823">
        <f t="shared" si="12"/>
        <v>14665.12</v>
      </c>
      <c r="L823" t="str">
        <f>INDEX(Raw_Shipments!L823:L3251,MATCH(A823,Raw_Shipments!B823:B3251))</f>
        <v>No</v>
      </c>
    </row>
    <row r="824" spans="1:12" x14ac:dyDescent="0.3">
      <c r="A824" s="2" t="s">
        <v>973</v>
      </c>
      <c r="B824" s="3">
        <v>45789</v>
      </c>
      <c r="C824" s="2" t="s">
        <v>49</v>
      </c>
      <c r="D824" s="2" t="s">
        <v>30</v>
      </c>
      <c r="E824" s="2" t="s">
        <v>53</v>
      </c>
      <c r="F824" s="2" t="s">
        <v>54</v>
      </c>
      <c r="G824" s="2" t="s">
        <v>55</v>
      </c>
      <c r="H824" s="2">
        <v>58</v>
      </c>
      <c r="I824" s="4">
        <v>2055.9</v>
      </c>
      <c r="J824" s="3">
        <v>45792</v>
      </c>
      <c r="K824">
        <f t="shared" si="12"/>
        <v>119242.20000000001</v>
      </c>
      <c r="L824" t="str">
        <f>INDEX(Raw_Shipments!L824:L3252,MATCH(A824,Raw_Shipments!B824:B3252))</f>
        <v>No</v>
      </c>
    </row>
    <row r="825" spans="1:12" x14ac:dyDescent="0.3">
      <c r="A825" s="5" t="s">
        <v>974</v>
      </c>
      <c r="B825" s="6">
        <v>45789</v>
      </c>
      <c r="C825" s="5" t="s">
        <v>166</v>
      </c>
      <c r="D825" s="5" t="s">
        <v>14</v>
      </c>
      <c r="E825" s="5" t="s">
        <v>58</v>
      </c>
      <c r="F825" s="5" t="s">
        <v>59</v>
      </c>
      <c r="G825" s="5" t="s">
        <v>55</v>
      </c>
      <c r="H825" s="5">
        <v>19</v>
      </c>
      <c r="I825" s="7">
        <v>1695.1</v>
      </c>
      <c r="J825" s="6">
        <v>45798</v>
      </c>
      <c r="K825">
        <f t="shared" si="12"/>
        <v>32206.899999999998</v>
      </c>
      <c r="L825" t="str">
        <f>INDEX(Raw_Shipments!L825:L3253,MATCH(A825,Raw_Shipments!B825:B3253))</f>
        <v>No</v>
      </c>
    </row>
    <row r="826" spans="1:12" x14ac:dyDescent="0.3">
      <c r="A826" s="2" t="s">
        <v>975</v>
      </c>
      <c r="B826" s="3">
        <v>45789</v>
      </c>
      <c r="C826" s="2" t="s">
        <v>91</v>
      </c>
      <c r="D826" s="2" t="s">
        <v>45</v>
      </c>
      <c r="E826" s="2" t="s">
        <v>20</v>
      </c>
      <c r="F826" s="2" t="s">
        <v>21</v>
      </c>
      <c r="G826" s="2" t="s">
        <v>22</v>
      </c>
      <c r="H826" s="2">
        <v>11</v>
      </c>
      <c r="I826" s="4">
        <v>2108.56</v>
      </c>
      <c r="J826" s="3">
        <v>45795</v>
      </c>
      <c r="K826">
        <f t="shared" si="12"/>
        <v>23194.16</v>
      </c>
      <c r="L826" t="str">
        <f>INDEX(Raw_Shipments!L826:L3254,MATCH(A826,Raw_Shipments!B826:B3254))</f>
        <v>Yes</v>
      </c>
    </row>
    <row r="827" spans="1:12" x14ac:dyDescent="0.3">
      <c r="A827" s="5" t="s">
        <v>976</v>
      </c>
      <c r="B827" s="6">
        <v>45789</v>
      </c>
      <c r="C827" s="5" t="s">
        <v>229</v>
      </c>
      <c r="D827" s="5" t="s">
        <v>30</v>
      </c>
      <c r="E827" s="5" t="s">
        <v>36</v>
      </c>
      <c r="F827" s="5" t="s">
        <v>37</v>
      </c>
      <c r="G827" s="5" t="s">
        <v>33</v>
      </c>
      <c r="H827" s="5">
        <v>48</v>
      </c>
      <c r="I827" s="7">
        <v>1064.79</v>
      </c>
      <c r="J827" s="6">
        <v>45799</v>
      </c>
      <c r="K827">
        <f t="shared" si="12"/>
        <v>51109.919999999998</v>
      </c>
      <c r="L827" t="str">
        <f>INDEX(Raw_Shipments!L827:L3255,MATCH(A827,Raw_Shipments!B827:B3255))</f>
        <v>No</v>
      </c>
    </row>
    <row r="828" spans="1:12" x14ac:dyDescent="0.3">
      <c r="A828" s="2" t="s">
        <v>977</v>
      </c>
      <c r="B828" s="3">
        <v>45789</v>
      </c>
      <c r="C828" s="2" t="s">
        <v>113</v>
      </c>
      <c r="D828" s="2" t="s">
        <v>14</v>
      </c>
      <c r="E828" s="2" t="s">
        <v>86</v>
      </c>
      <c r="F828" s="2" t="s">
        <v>87</v>
      </c>
      <c r="G828" s="2" t="s">
        <v>33</v>
      </c>
      <c r="H828" s="2">
        <v>16</v>
      </c>
      <c r="I828" s="4">
        <v>815.88</v>
      </c>
      <c r="J828" s="3">
        <v>45799</v>
      </c>
      <c r="K828">
        <f t="shared" si="12"/>
        <v>13054.08</v>
      </c>
      <c r="L828" t="str">
        <f>INDEX(Raw_Shipments!L828:L3256,MATCH(A828,Raw_Shipments!B828:B3256))</f>
        <v>Yes</v>
      </c>
    </row>
    <row r="829" spans="1:12" x14ac:dyDescent="0.3">
      <c r="A829" s="5" t="s">
        <v>978</v>
      </c>
      <c r="B829" s="6">
        <v>45789</v>
      </c>
      <c r="C829" s="5" t="s">
        <v>356</v>
      </c>
      <c r="D829" s="5" t="s">
        <v>30</v>
      </c>
      <c r="E829" s="5" t="s">
        <v>40</v>
      </c>
      <c r="F829" s="5" t="s">
        <v>41</v>
      </c>
      <c r="G829" s="5" t="s">
        <v>42</v>
      </c>
      <c r="H829" s="5">
        <v>14</v>
      </c>
      <c r="I829" s="7">
        <v>2445.11</v>
      </c>
      <c r="J829" s="6">
        <v>45796</v>
      </c>
      <c r="K829">
        <f t="shared" si="12"/>
        <v>34231.54</v>
      </c>
      <c r="L829" t="str">
        <f>INDEX(Raw_Shipments!L829:L3257,MATCH(A829,Raw_Shipments!B829:B3257))</f>
        <v>No</v>
      </c>
    </row>
    <row r="830" spans="1:12" x14ac:dyDescent="0.3">
      <c r="A830" s="2" t="s">
        <v>979</v>
      </c>
      <c r="B830" s="3">
        <v>45789</v>
      </c>
      <c r="C830" s="2" t="s">
        <v>79</v>
      </c>
      <c r="D830" s="2" t="s">
        <v>30</v>
      </c>
      <c r="E830" s="2" t="s">
        <v>46</v>
      </c>
      <c r="F830" s="2" t="s">
        <v>47</v>
      </c>
      <c r="G830" s="2" t="s">
        <v>42</v>
      </c>
      <c r="H830" s="2">
        <v>8</v>
      </c>
      <c r="I830" s="4">
        <v>1833.14</v>
      </c>
      <c r="J830" s="3">
        <v>45797</v>
      </c>
      <c r="K830">
        <f t="shared" si="12"/>
        <v>14665.12</v>
      </c>
      <c r="L830" t="str">
        <f>INDEX(Raw_Shipments!L830:L3258,MATCH(A830,Raw_Shipments!B830:B3258))</f>
        <v>No</v>
      </c>
    </row>
    <row r="831" spans="1:12" x14ac:dyDescent="0.3">
      <c r="A831" s="5" t="s">
        <v>980</v>
      </c>
      <c r="B831" s="6">
        <v>45789</v>
      </c>
      <c r="C831" s="5" t="s">
        <v>100</v>
      </c>
      <c r="D831" s="5" t="s">
        <v>25</v>
      </c>
      <c r="E831" s="5" t="s">
        <v>50</v>
      </c>
      <c r="F831" s="5" t="s">
        <v>51</v>
      </c>
      <c r="G831" s="5" t="s">
        <v>42</v>
      </c>
      <c r="H831" s="5">
        <v>7</v>
      </c>
      <c r="I831" s="7">
        <v>1952.28</v>
      </c>
      <c r="J831" s="6">
        <v>45799</v>
      </c>
      <c r="K831">
        <f t="shared" si="12"/>
        <v>13665.96</v>
      </c>
      <c r="L831" t="str">
        <f>INDEX(Raw_Shipments!L831:L3259,MATCH(A831,Raw_Shipments!B831:B3259))</f>
        <v>No</v>
      </c>
    </row>
    <row r="832" spans="1:12" x14ac:dyDescent="0.3">
      <c r="A832" s="2" t="s">
        <v>981</v>
      </c>
      <c r="B832" s="3">
        <v>45790</v>
      </c>
      <c r="C832" s="2" t="s">
        <v>115</v>
      </c>
      <c r="D832" s="2" t="s">
        <v>45</v>
      </c>
      <c r="E832" s="2" t="s">
        <v>62</v>
      </c>
      <c r="F832" s="2" t="s">
        <v>63</v>
      </c>
      <c r="G832" s="2" t="s">
        <v>55</v>
      </c>
      <c r="H832" s="2">
        <v>26</v>
      </c>
      <c r="I832" s="4">
        <v>2555.2199999999998</v>
      </c>
      <c r="J832" s="3">
        <v>45794</v>
      </c>
      <c r="K832">
        <f t="shared" si="12"/>
        <v>66435.72</v>
      </c>
      <c r="L832" t="str">
        <f>INDEX(Raw_Shipments!L832:L3260,MATCH(A832,Raw_Shipments!B832:B3260))</f>
        <v>No</v>
      </c>
    </row>
    <row r="833" spans="1:12" x14ac:dyDescent="0.3">
      <c r="A833" s="5" t="s">
        <v>982</v>
      </c>
      <c r="B833" s="6">
        <v>45790</v>
      </c>
      <c r="C833" s="5" t="s">
        <v>451</v>
      </c>
      <c r="D833" s="5" t="s">
        <v>30</v>
      </c>
      <c r="E833" s="5" t="s">
        <v>66</v>
      </c>
      <c r="F833" s="5" t="s">
        <v>67</v>
      </c>
      <c r="G833" s="5" t="s">
        <v>17</v>
      </c>
      <c r="H833" s="5">
        <v>19</v>
      </c>
      <c r="I833" s="7">
        <v>850.8</v>
      </c>
      <c r="J833" s="6">
        <v>45794</v>
      </c>
      <c r="K833">
        <f t="shared" si="12"/>
        <v>16165.199999999999</v>
      </c>
      <c r="L833" t="str">
        <f>INDEX(Raw_Shipments!L833:L3261,MATCH(A833,Raw_Shipments!B833:B3261))</f>
        <v>No</v>
      </c>
    </row>
    <row r="834" spans="1:12" x14ac:dyDescent="0.3">
      <c r="A834" s="2" t="s">
        <v>983</v>
      </c>
      <c r="B834" s="3">
        <v>45790</v>
      </c>
      <c r="C834" s="2" t="s">
        <v>65</v>
      </c>
      <c r="D834" s="2" t="s">
        <v>30</v>
      </c>
      <c r="E834" s="2" t="s">
        <v>97</v>
      </c>
      <c r="F834" s="2" t="s">
        <v>98</v>
      </c>
      <c r="G834" s="2" t="s">
        <v>17</v>
      </c>
      <c r="H834" s="2">
        <v>16</v>
      </c>
      <c r="I834" s="4">
        <v>1110.6500000000001</v>
      </c>
      <c r="J834" s="3">
        <v>45795</v>
      </c>
      <c r="K834">
        <f t="shared" si="12"/>
        <v>17770.400000000001</v>
      </c>
      <c r="L834" t="str">
        <f>INDEX(Raw_Shipments!L834:L3262,MATCH(A834,Raw_Shipments!B834:B3262))</f>
        <v>Yes</v>
      </c>
    </row>
    <row r="835" spans="1:12" x14ac:dyDescent="0.3">
      <c r="A835" s="5" t="s">
        <v>984</v>
      </c>
      <c r="B835" s="6">
        <v>45790</v>
      </c>
      <c r="C835" s="5" t="s">
        <v>363</v>
      </c>
      <c r="D835" s="5" t="s">
        <v>30</v>
      </c>
      <c r="E835" s="5" t="s">
        <v>15</v>
      </c>
      <c r="F835" s="5" t="s">
        <v>16</v>
      </c>
      <c r="G835" s="5" t="s">
        <v>17</v>
      </c>
      <c r="H835" s="5">
        <v>17</v>
      </c>
      <c r="I835" s="7">
        <v>183.06</v>
      </c>
      <c r="J835" s="6">
        <v>45796</v>
      </c>
      <c r="K835">
        <f t="shared" ref="K835:K898" si="13">I835*H835</f>
        <v>3112.02</v>
      </c>
      <c r="L835" t="str">
        <f>INDEX(Raw_Shipments!L835:L3263,MATCH(A835,Raw_Shipments!B835:B3263))</f>
        <v>No</v>
      </c>
    </row>
    <row r="836" spans="1:12" x14ac:dyDescent="0.3">
      <c r="A836" s="2" t="s">
        <v>985</v>
      </c>
      <c r="B836" s="3">
        <v>45790</v>
      </c>
      <c r="C836" s="2" t="s">
        <v>107</v>
      </c>
      <c r="D836" s="2" t="s">
        <v>45</v>
      </c>
      <c r="E836" s="2" t="s">
        <v>119</v>
      </c>
      <c r="F836" s="2" t="s">
        <v>120</v>
      </c>
      <c r="G836" s="2" t="s">
        <v>22</v>
      </c>
      <c r="H836" s="2">
        <v>44</v>
      </c>
      <c r="I836" s="4">
        <v>912.26</v>
      </c>
      <c r="J836" s="3">
        <v>45796</v>
      </c>
      <c r="K836">
        <f t="shared" si="13"/>
        <v>40139.440000000002</v>
      </c>
      <c r="L836" t="str">
        <f>INDEX(Raw_Shipments!L836:L3264,MATCH(A836,Raw_Shipments!B836:B3264))</f>
        <v>No</v>
      </c>
    </row>
    <row r="837" spans="1:12" x14ac:dyDescent="0.3">
      <c r="A837" s="5" t="s">
        <v>986</v>
      </c>
      <c r="B837" s="6">
        <v>45790</v>
      </c>
      <c r="C837" s="5" t="s">
        <v>128</v>
      </c>
      <c r="D837" s="5" t="s">
        <v>45</v>
      </c>
      <c r="E837" s="5" t="s">
        <v>86</v>
      </c>
      <c r="F837" s="5" t="s">
        <v>87</v>
      </c>
      <c r="G837" s="5" t="s">
        <v>33</v>
      </c>
      <c r="H837" s="5">
        <v>15</v>
      </c>
      <c r="I837" s="7">
        <v>815.88</v>
      </c>
      <c r="J837" s="6">
        <v>45800</v>
      </c>
      <c r="K837">
        <f t="shared" si="13"/>
        <v>12238.2</v>
      </c>
      <c r="L837" t="str">
        <f>INDEX(Raw_Shipments!L837:L3265,MATCH(A837,Raw_Shipments!B837:B3265))</f>
        <v>Yes</v>
      </c>
    </row>
    <row r="838" spans="1:12" x14ac:dyDescent="0.3">
      <c r="A838" s="2" t="s">
        <v>987</v>
      </c>
      <c r="B838" s="3">
        <v>45790</v>
      </c>
      <c r="C838" s="2" t="s">
        <v>279</v>
      </c>
      <c r="D838" s="2" t="s">
        <v>30</v>
      </c>
      <c r="E838" s="2" t="s">
        <v>46</v>
      </c>
      <c r="F838" s="2" t="s">
        <v>47</v>
      </c>
      <c r="G838" s="2" t="s">
        <v>42</v>
      </c>
      <c r="H838" s="2">
        <v>7</v>
      </c>
      <c r="I838" s="4">
        <v>1833.14</v>
      </c>
      <c r="J838" s="3">
        <v>45794</v>
      </c>
      <c r="K838">
        <f t="shared" si="13"/>
        <v>12831.980000000001</v>
      </c>
      <c r="L838" t="str">
        <f>INDEX(Raw_Shipments!L838:L3266,MATCH(A838,Raw_Shipments!B838:B3266))</f>
        <v>No</v>
      </c>
    </row>
    <row r="839" spans="1:12" x14ac:dyDescent="0.3">
      <c r="A839" s="5" t="s">
        <v>988</v>
      </c>
      <c r="B839" s="6">
        <v>45790</v>
      </c>
      <c r="C839" s="5" t="s">
        <v>250</v>
      </c>
      <c r="D839" s="5" t="s">
        <v>14</v>
      </c>
      <c r="E839" s="5" t="s">
        <v>50</v>
      </c>
      <c r="F839" s="5" t="s">
        <v>51</v>
      </c>
      <c r="G839" s="5" t="s">
        <v>42</v>
      </c>
      <c r="H839" s="5">
        <v>8</v>
      </c>
      <c r="I839" s="7">
        <v>1952.28</v>
      </c>
      <c r="J839" s="6">
        <v>45793</v>
      </c>
      <c r="K839">
        <f t="shared" si="13"/>
        <v>15618.24</v>
      </c>
      <c r="L839" t="str">
        <f>INDEX(Raw_Shipments!L839:L3267,MATCH(A839,Raw_Shipments!B839:B3267))</f>
        <v>No</v>
      </c>
    </row>
    <row r="840" spans="1:12" x14ac:dyDescent="0.3">
      <c r="A840" s="2" t="s">
        <v>989</v>
      </c>
      <c r="B840" s="3">
        <v>45791</v>
      </c>
      <c r="C840" s="2" t="s">
        <v>227</v>
      </c>
      <c r="D840" s="2" t="s">
        <v>30</v>
      </c>
      <c r="E840" s="2" t="s">
        <v>97</v>
      </c>
      <c r="F840" s="2" t="s">
        <v>98</v>
      </c>
      <c r="G840" s="2" t="s">
        <v>17</v>
      </c>
      <c r="H840" s="2">
        <v>30</v>
      </c>
      <c r="I840" s="4">
        <v>1110.6500000000001</v>
      </c>
      <c r="J840" s="3">
        <v>45798</v>
      </c>
      <c r="K840">
        <f t="shared" si="13"/>
        <v>33319.5</v>
      </c>
      <c r="L840" t="str">
        <f>INDEX(Raw_Shipments!L840:L3268,MATCH(A840,Raw_Shipments!B840:B3268))</f>
        <v>No</v>
      </c>
    </row>
    <row r="841" spans="1:12" x14ac:dyDescent="0.3">
      <c r="A841" s="5" t="s">
        <v>990</v>
      </c>
      <c r="B841" s="6">
        <v>45791</v>
      </c>
      <c r="C841" s="5" t="s">
        <v>451</v>
      </c>
      <c r="D841" s="5" t="s">
        <v>25</v>
      </c>
      <c r="E841" s="5" t="s">
        <v>15</v>
      </c>
      <c r="F841" s="5" t="s">
        <v>16</v>
      </c>
      <c r="G841" s="5" t="s">
        <v>17</v>
      </c>
      <c r="H841" s="5">
        <v>16</v>
      </c>
      <c r="I841" s="7">
        <v>183.06</v>
      </c>
      <c r="J841" s="6">
        <v>45799</v>
      </c>
      <c r="K841">
        <f t="shared" si="13"/>
        <v>2928.96</v>
      </c>
      <c r="L841" t="str">
        <f>INDEX(Raw_Shipments!L841:L3269,MATCH(A841,Raw_Shipments!B841:B3269))</f>
        <v>No</v>
      </c>
    </row>
    <row r="842" spans="1:12" x14ac:dyDescent="0.3">
      <c r="A842" s="2" t="s">
        <v>991</v>
      </c>
      <c r="B842" s="3">
        <v>45792</v>
      </c>
      <c r="C842" s="2" t="s">
        <v>172</v>
      </c>
      <c r="D842" s="2" t="s">
        <v>25</v>
      </c>
      <c r="E842" s="2" t="s">
        <v>58</v>
      </c>
      <c r="F842" s="2" t="s">
        <v>59</v>
      </c>
      <c r="G842" s="2" t="s">
        <v>55</v>
      </c>
      <c r="H842" s="2">
        <v>30</v>
      </c>
      <c r="I842" s="4">
        <v>1695.1</v>
      </c>
      <c r="J842" s="3">
        <v>45795</v>
      </c>
      <c r="K842">
        <f t="shared" si="13"/>
        <v>50853</v>
      </c>
      <c r="L842" t="str">
        <f>INDEX(Raw_Shipments!L842:L3270,MATCH(A842,Raw_Shipments!B842:B3270))</f>
        <v>No</v>
      </c>
    </row>
    <row r="843" spans="1:12" x14ac:dyDescent="0.3">
      <c r="A843" s="5" t="s">
        <v>992</v>
      </c>
      <c r="B843" s="6">
        <v>45792</v>
      </c>
      <c r="C843" s="5" t="s">
        <v>154</v>
      </c>
      <c r="D843" s="5" t="s">
        <v>14</v>
      </c>
      <c r="E843" s="5" t="s">
        <v>62</v>
      </c>
      <c r="F843" s="5" t="s">
        <v>63</v>
      </c>
      <c r="G843" s="5" t="s">
        <v>55</v>
      </c>
      <c r="H843" s="5">
        <v>16</v>
      </c>
      <c r="I843" s="7">
        <v>2555.2199999999998</v>
      </c>
      <c r="J843" s="6">
        <v>45799</v>
      </c>
      <c r="K843">
        <f t="shared" si="13"/>
        <v>40883.519999999997</v>
      </c>
      <c r="L843" t="str">
        <f>INDEX(Raw_Shipments!L843:L3271,MATCH(A843,Raw_Shipments!B843:B3271))</f>
        <v>No</v>
      </c>
    </row>
    <row r="844" spans="1:12" x14ac:dyDescent="0.3">
      <c r="A844" s="2" t="s">
        <v>993</v>
      </c>
      <c r="B844" s="3">
        <v>45792</v>
      </c>
      <c r="C844" s="2" t="s">
        <v>115</v>
      </c>
      <c r="D844" s="2" t="s">
        <v>30</v>
      </c>
      <c r="E844" s="2" t="s">
        <v>66</v>
      </c>
      <c r="F844" s="2" t="s">
        <v>67</v>
      </c>
      <c r="G844" s="2" t="s">
        <v>17</v>
      </c>
      <c r="H844" s="2">
        <v>8</v>
      </c>
      <c r="I844" s="4">
        <v>850.8</v>
      </c>
      <c r="J844" s="3">
        <v>45801</v>
      </c>
      <c r="K844">
        <f t="shared" si="13"/>
        <v>6806.4</v>
      </c>
      <c r="L844" t="str">
        <f>INDEX(Raw_Shipments!L844:L3272,MATCH(A844,Raw_Shipments!B844:B3272))</f>
        <v>No</v>
      </c>
    </row>
    <row r="845" spans="1:12" x14ac:dyDescent="0.3">
      <c r="A845" s="5" t="s">
        <v>994</v>
      </c>
      <c r="B845" s="6">
        <v>45792</v>
      </c>
      <c r="C845" s="5" t="s">
        <v>39</v>
      </c>
      <c r="D845" s="5" t="s">
        <v>14</v>
      </c>
      <c r="E845" s="5" t="s">
        <v>97</v>
      </c>
      <c r="F845" s="5" t="s">
        <v>98</v>
      </c>
      <c r="G845" s="5" t="s">
        <v>17</v>
      </c>
      <c r="H845" s="5">
        <v>20</v>
      </c>
      <c r="I845" s="7">
        <v>1110.6500000000001</v>
      </c>
      <c r="J845" s="6">
        <v>45798</v>
      </c>
      <c r="K845">
        <f t="shared" si="13"/>
        <v>22213</v>
      </c>
      <c r="L845" t="str">
        <f>INDEX(Raw_Shipments!L845:L3273,MATCH(A845,Raw_Shipments!B845:B3273))</f>
        <v>No</v>
      </c>
    </row>
    <row r="846" spans="1:12" x14ac:dyDescent="0.3">
      <c r="A846" s="2" t="s">
        <v>995</v>
      </c>
      <c r="B846" s="3">
        <v>45792</v>
      </c>
      <c r="C846" s="2" t="s">
        <v>438</v>
      </c>
      <c r="D846" s="2" t="s">
        <v>25</v>
      </c>
      <c r="E846" s="2" t="s">
        <v>20</v>
      </c>
      <c r="F846" s="2" t="s">
        <v>21</v>
      </c>
      <c r="G846" s="2" t="s">
        <v>22</v>
      </c>
      <c r="H846" s="2">
        <v>5</v>
      </c>
      <c r="I846" s="4">
        <v>2108.56</v>
      </c>
      <c r="J846" s="3">
        <v>45801</v>
      </c>
      <c r="K846">
        <f t="shared" si="13"/>
        <v>10542.8</v>
      </c>
      <c r="L846" t="str">
        <f>INDEX(Raw_Shipments!L846:L3274,MATCH(A846,Raw_Shipments!B846:B3274))</f>
        <v>Yes</v>
      </c>
    </row>
    <row r="847" spans="1:12" x14ac:dyDescent="0.3">
      <c r="A847" s="5" t="s">
        <v>996</v>
      </c>
      <c r="B847" s="6">
        <v>45792</v>
      </c>
      <c r="C847" s="5" t="s">
        <v>117</v>
      </c>
      <c r="D847" s="5" t="s">
        <v>45</v>
      </c>
      <c r="E847" s="5" t="s">
        <v>31</v>
      </c>
      <c r="F847" s="5" t="s">
        <v>32</v>
      </c>
      <c r="G847" s="5" t="s">
        <v>33</v>
      </c>
      <c r="H847" s="5">
        <v>58</v>
      </c>
      <c r="I847" s="7">
        <v>689</v>
      </c>
      <c r="J847" s="6">
        <v>45796</v>
      </c>
      <c r="K847">
        <f t="shared" si="13"/>
        <v>39962</v>
      </c>
      <c r="L847" t="str">
        <f>INDEX(Raw_Shipments!L847:L3275,MATCH(A847,Raw_Shipments!B847:B3275))</f>
        <v>No</v>
      </c>
    </row>
    <row r="848" spans="1:12" x14ac:dyDescent="0.3">
      <c r="A848" s="2" t="s">
        <v>997</v>
      </c>
      <c r="B848" s="3">
        <v>45792</v>
      </c>
      <c r="C848" s="2" t="s">
        <v>510</v>
      </c>
      <c r="D848" s="2" t="s">
        <v>14</v>
      </c>
      <c r="E848" s="2" t="s">
        <v>36</v>
      </c>
      <c r="F848" s="2" t="s">
        <v>37</v>
      </c>
      <c r="G848" s="2" t="s">
        <v>33</v>
      </c>
      <c r="H848" s="2">
        <v>53</v>
      </c>
      <c r="I848" s="4">
        <v>1064.79</v>
      </c>
      <c r="J848" s="3">
        <v>45797</v>
      </c>
      <c r="K848">
        <f t="shared" si="13"/>
        <v>56433.869999999995</v>
      </c>
      <c r="L848" t="str">
        <f>INDEX(Raw_Shipments!L848:L3276,MATCH(A848,Raw_Shipments!B848:B3276))</f>
        <v>No</v>
      </c>
    </row>
    <row r="849" spans="1:12" x14ac:dyDescent="0.3">
      <c r="A849" s="5" t="s">
        <v>998</v>
      </c>
      <c r="B849" s="6">
        <v>45792</v>
      </c>
      <c r="C849" s="5" t="s">
        <v>431</v>
      </c>
      <c r="D849" s="5" t="s">
        <v>30</v>
      </c>
      <c r="E849" s="5" t="s">
        <v>40</v>
      </c>
      <c r="F849" s="5" t="s">
        <v>41</v>
      </c>
      <c r="G849" s="5" t="s">
        <v>42</v>
      </c>
      <c r="H849" s="5">
        <v>17</v>
      </c>
      <c r="I849" s="7">
        <v>2445.11</v>
      </c>
      <c r="J849" s="6">
        <v>45802</v>
      </c>
      <c r="K849">
        <f t="shared" si="13"/>
        <v>41566.870000000003</v>
      </c>
      <c r="L849" t="str">
        <f>INDEX(Raw_Shipments!L849:L3277,MATCH(A849,Raw_Shipments!B849:B3277))</f>
        <v>No</v>
      </c>
    </row>
    <row r="850" spans="1:12" x14ac:dyDescent="0.3">
      <c r="A850" s="2" t="s">
        <v>999</v>
      </c>
      <c r="B850" s="3">
        <v>45793</v>
      </c>
      <c r="C850" s="2" t="s">
        <v>420</v>
      </c>
      <c r="D850" s="2" t="s">
        <v>30</v>
      </c>
      <c r="E850" s="2" t="s">
        <v>53</v>
      </c>
      <c r="F850" s="2" t="s">
        <v>54</v>
      </c>
      <c r="G850" s="2" t="s">
        <v>55</v>
      </c>
      <c r="H850" s="2">
        <v>38</v>
      </c>
      <c r="I850" s="4">
        <v>2055.9</v>
      </c>
      <c r="J850" s="3">
        <v>45799</v>
      </c>
      <c r="K850">
        <f t="shared" si="13"/>
        <v>78124.2</v>
      </c>
      <c r="L850" t="str">
        <f>INDEX(Raw_Shipments!L850:L3278,MATCH(A850,Raw_Shipments!B850:B3278))</f>
        <v>No</v>
      </c>
    </row>
    <row r="851" spans="1:12" x14ac:dyDescent="0.3">
      <c r="A851" s="5" t="s">
        <v>1000</v>
      </c>
      <c r="B851" s="6">
        <v>45793</v>
      </c>
      <c r="C851" s="5" t="s">
        <v>198</v>
      </c>
      <c r="D851" s="5" t="s">
        <v>25</v>
      </c>
      <c r="E851" s="5" t="s">
        <v>97</v>
      </c>
      <c r="F851" s="5" t="s">
        <v>98</v>
      </c>
      <c r="G851" s="5" t="s">
        <v>17</v>
      </c>
      <c r="H851" s="5">
        <v>19</v>
      </c>
      <c r="I851" s="7">
        <v>1110.6500000000001</v>
      </c>
      <c r="J851" s="6">
        <v>45800</v>
      </c>
      <c r="K851">
        <f t="shared" si="13"/>
        <v>21102.350000000002</v>
      </c>
      <c r="L851" t="str">
        <f>INDEX(Raw_Shipments!L851:L3279,MATCH(A851,Raw_Shipments!B851:B3279))</f>
        <v>Yes</v>
      </c>
    </row>
    <row r="852" spans="1:12" x14ac:dyDescent="0.3">
      <c r="A852" s="2" t="s">
        <v>1001</v>
      </c>
      <c r="B852" s="3">
        <v>45793</v>
      </c>
      <c r="C852" s="2" t="s">
        <v>100</v>
      </c>
      <c r="D852" s="2" t="s">
        <v>30</v>
      </c>
      <c r="E852" s="2" t="s">
        <v>15</v>
      </c>
      <c r="F852" s="2" t="s">
        <v>16</v>
      </c>
      <c r="G852" s="2" t="s">
        <v>17</v>
      </c>
      <c r="H852" s="2">
        <v>19</v>
      </c>
      <c r="I852" s="4">
        <v>183.06</v>
      </c>
      <c r="J852" s="3">
        <v>45801</v>
      </c>
      <c r="K852">
        <f t="shared" si="13"/>
        <v>3478.14</v>
      </c>
      <c r="L852" t="str">
        <f>INDEX(Raw_Shipments!L852:L3280,MATCH(A852,Raw_Shipments!B852:B3280))</f>
        <v>Yes</v>
      </c>
    </row>
    <row r="853" spans="1:12" x14ac:dyDescent="0.3">
      <c r="A853" s="5" t="s">
        <v>1002</v>
      </c>
      <c r="B853" s="6">
        <v>45793</v>
      </c>
      <c r="C853" s="5" t="s">
        <v>156</v>
      </c>
      <c r="D853" s="5" t="s">
        <v>45</v>
      </c>
      <c r="E853" s="5" t="s">
        <v>119</v>
      </c>
      <c r="F853" s="5" t="s">
        <v>120</v>
      </c>
      <c r="G853" s="5" t="s">
        <v>22</v>
      </c>
      <c r="H853" s="5">
        <v>44</v>
      </c>
      <c r="I853" s="7">
        <v>912.26</v>
      </c>
      <c r="J853" s="6">
        <v>45800</v>
      </c>
      <c r="K853">
        <f t="shared" si="13"/>
        <v>40139.440000000002</v>
      </c>
      <c r="L853" t="str">
        <f>INDEX(Raw_Shipments!L853:L3281,MATCH(A853,Raw_Shipments!B853:B3281))</f>
        <v>No</v>
      </c>
    </row>
    <row r="854" spans="1:12" x14ac:dyDescent="0.3">
      <c r="A854" s="2" t="s">
        <v>1003</v>
      </c>
      <c r="B854" s="3">
        <v>45793</v>
      </c>
      <c r="C854" s="2" t="s">
        <v>279</v>
      </c>
      <c r="D854" s="2" t="s">
        <v>25</v>
      </c>
      <c r="E854" s="2" t="s">
        <v>36</v>
      </c>
      <c r="F854" s="2" t="s">
        <v>37</v>
      </c>
      <c r="G854" s="2" t="s">
        <v>33</v>
      </c>
      <c r="H854" s="2">
        <v>25</v>
      </c>
      <c r="I854" s="4">
        <v>1064.79</v>
      </c>
      <c r="J854" s="3">
        <v>45797</v>
      </c>
      <c r="K854">
        <f t="shared" si="13"/>
        <v>26619.75</v>
      </c>
      <c r="L854" t="str">
        <f>INDEX(Raw_Shipments!L854:L3282,MATCH(A854,Raw_Shipments!B854:B3282))</f>
        <v>No</v>
      </c>
    </row>
    <row r="855" spans="1:12" x14ac:dyDescent="0.3">
      <c r="A855" s="5" t="s">
        <v>1004</v>
      </c>
      <c r="B855" s="6">
        <v>45793</v>
      </c>
      <c r="C855" s="5" t="s">
        <v>418</v>
      </c>
      <c r="D855" s="5" t="s">
        <v>30</v>
      </c>
      <c r="E855" s="5" t="s">
        <v>50</v>
      </c>
      <c r="F855" s="5" t="s">
        <v>51</v>
      </c>
      <c r="G855" s="5" t="s">
        <v>42</v>
      </c>
      <c r="H855" s="5">
        <v>5</v>
      </c>
      <c r="I855" s="7">
        <v>1952.28</v>
      </c>
      <c r="J855" s="6">
        <v>45803</v>
      </c>
      <c r="K855">
        <f t="shared" si="13"/>
        <v>9761.4</v>
      </c>
      <c r="L855" t="str">
        <f>INDEX(Raw_Shipments!L855:L3283,MATCH(A855,Raw_Shipments!B855:B3283))</f>
        <v>No</v>
      </c>
    </row>
    <row r="856" spans="1:12" x14ac:dyDescent="0.3">
      <c r="A856" s="2" t="s">
        <v>1005</v>
      </c>
      <c r="B856" s="3">
        <v>45794</v>
      </c>
      <c r="C856" s="2" t="s">
        <v>238</v>
      </c>
      <c r="D856" s="2" t="s">
        <v>14</v>
      </c>
      <c r="E856" s="2" t="s">
        <v>58</v>
      </c>
      <c r="F856" s="2" t="s">
        <v>59</v>
      </c>
      <c r="G856" s="2" t="s">
        <v>55</v>
      </c>
      <c r="H856" s="2">
        <v>7</v>
      </c>
      <c r="I856" s="4">
        <v>1695.1</v>
      </c>
      <c r="J856" s="3">
        <v>45801</v>
      </c>
      <c r="K856">
        <f t="shared" si="13"/>
        <v>11865.699999999999</v>
      </c>
      <c r="L856" t="str">
        <f>INDEX(Raw_Shipments!L856:L3284,MATCH(A856,Raw_Shipments!B856:B3284))</f>
        <v>No</v>
      </c>
    </row>
    <row r="857" spans="1:12" x14ac:dyDescent="0.3">
      <c r="A857" s="5" t="s">
        <v>1006</v>
      </c>
      <c r="B857" s="6">
        <v>45794</v>
      </c>
      <c r="C857" s="5" t="s">
        <v>272</v>
      </c>
      <c r="D857" s="5" t="s">
        <v>25</v>
      </c>
      <c r="E857" s="5" t="s">
        <v>62</v>
      </c>
      <c r="F857" s="5" t="s">
        <v>63</v>
      </c>
      <c r="G857" s="5" t="s">
        <v>55</v>
      </c>
      <c r="H857" s="5">
        <v>62</v>
      </c>
      <c r="I857" s="7">
        <v>2555.2199999999998</v>
      </c>
      <c r="J857" s="6">
        <v>45801</v>
      </c>
      <c r="K857">
        <f t="shared" si="13"/>
        <v>158423.63999999998</v>
      </c>
      <c r="L857" t="str">
        <f>INDEX(Raw_Shipments!L857:L3285,MATCH(A857,Raw_Shipments!B857:B3285))</f>
        <v>No</v>
      </c>
    </row>
    <row r="858" spans="1:12" x14ac:dyDescent="0.3">
      <c r="A858" s="2" t="s">
        <v>1007</v>
      </c>
      <c r="B858" s="3">
        <v>45794</v>
      </c>
      <c r="C858" s="2" t="s">
        <v>39</v>
      </c>
      <c r="D858" s="2" t="s">
        <v>25</v>
      </c>
      <c r="E858" s="2" t="s">
        <v>66</v>
      </c>
      <c r="F858" s="2" t="s">
        <v>67</v>
      </c>
      <c r="G858" s="2" t="s">
        <v>17</v>
      </c>
      <c r="H858" s="2">
        <v>11</v>
      </c>
      <c r="I858" s="4">
        <v>850.8</v>
      </c>
      <c r="J858" s="3">
        <v>45797</v>
      </c>
      <c r="K858">
        <f t="shared" si="13"/>
        <v>9358.7999999999993</v>
      </c>
      <c r="L858" t="str">
        <f>INDEX(Raw_Shipments!L858:L3286,MATCH(A858,Raw_Shipments!B858:B3286))</f>
        <v>No</v>
      </c>
    </row>
    <row r="859" spans="1:12" x14ac:dyDescent="0.3">
      <c r="A859" s="5" t="s">
        <v>1008</v>
      </c>
      <c r="B859" s="6">
        <v>45794</v>
      </c>
      <c r="C859" s="5" t="s">
        <v>268</v>
      </c>
      <c r="D859" s="5" t="s">
        <v>45</v>
      </c>
      <c r="E859" s="5" t="s">
        <v>20</v>
      </c>
      <c r="F859" s="5" t="s">
        <v>21</v>
      </c>
      <c r="G859" s="5" t="s">
        <v>22</v>
      </c>
      <c r="H859" s="5">
        <v>14</v>
      </c>
      <c r="I859" s="7">
        <v>2108.56</v>
      </c>
      <c r="J859" s="6">
        <v>45798</v>
      </c>
      <c r="K859">
        <f t="shared" si="13"/>
        <v>29519.84</v>
      </c>
      <c r="L859" t="str">
        <f>INDEX(Raw_Shipments!L859:L3287,MATCH(A859,Raw_Shipments!B859:B3287))</f>
        <v>Yes</v>
      </c>
    </row>
    <row r="860" spans="1:12" x14ac:dyDescent="0.3">
      <c r="A860" s="2" t="s">
        <v>1009</v>
      </c>
      <c r="B860" s="3">
        <v>45794</v>
      </c>
      <c r="C860" s="2" t="s">
        <v>170</v>
      </c>
      <c r="D860" s="2" t="s">
        <v>45</v>
      </c>
      <c r="E860" s="2" t="s">
        <v>26</v>
      </c>
      <c r="F860" s="2" t="s">
        <v>27</v>
      </c>
      <c r="G860" s="2" t="s">
        <v>22</v>
      </c>
      <c r="H860" s="2">
        <v>23</v>
      </c>
      <c r="I860" s="4">
        <v>1646.8</v>
      </c>
      <c r="J860" s="3">
        <v>45801</v>
      </c>
      <c r="K860">
        <f t="shared" si="13"/>
        <v>37876.400000000001</v>
      </c>
      <c r="L860" t="str">
        <f>INDEX(Raw_Shipments!L860:L3288,MATCH(A860,Raw_Shipments!B860:B3288))</f>
        <v>No</v>
      </c>
    </row>
    <row r="861" spans="1:12" x14ac:dyDescent="0.3">
      <c r="A861" s="5" t="s">
        <v>1010</v>
      </c>
      <c r="B861" s="6">
        <v>45794</v>
      </c>
      <c r="C861" s="5" t="s">
        <v>77</v>
      </c>
      <c r="D861" s="5" t="s">
        <v>14</v>
      </c>
      <c r="E861" s="5" t="s">
        <v>46</v>
      </c>
      <c r="F861" s="5" t="s">
        <v>47</v>
      </c>
      <c r="G861" s="5" t="s">
        <v>42</v>
      </c>
      <c r="H861" s="5">
        <v>7</v>
      </c>
      <c r="I861" s="7">
        <v>1833.14</v>
      </c>
      <c r="J861" s="6">
        <v>45799</v>
      </c>
      <c r="K861">
        <f t="shared" si="13"/>
        <v>12831.980000000001</v>
      </c>
      <c r="L861" t="str">
        <f>INDEX(Raw_Shipments!L861:L3289,MATCH(A861,Raw_Shipments!B861:B3289))</f>
        <v>No</v>
      </c>
    </row>
    <row r="862" spans="1:12" x14ac:dyDescent="0.3">
      <c r="A862" s="2" t="s">
        <v>1011</v>
      </c>
      <c r="B862" s="3">
        <v>45795</v>
      </c>
      <c r="C862" s="2" t="s">
        <v>337</v>
      </c>
      <c r="D862" s="2" t="s">
        <v>30</v>
      </c>
      <c r="E862" s="2" t="s">
        <v>62</v>
      </c>
      <c r="F862" s="2" t="s">
        <v>63</v>
      </c>
      <c r="G862" s="2" t="s">
        <v>55</v>
      </c>
      <c r="H862" s="2">
        <v>41</v>
      </c>
      <c r="I862" s="4">
        <v>2555.2199999999998</v>
      </c>
      <c r="J862" s="3">
        <v>45800</v>
      </c>
      <c r="K862">
        <f t="shared" si="13"/>
        <v>104764.01999999999</v>
      </c>
      <c r="L862" t="str">
        <f>INDEX(Raw_Shipments!L862:L3290,MATCH(A862,Raw_Shipments!B862:B3290))</f>
        <v>No</v>
      </c>
    </row>
    <row r="863" spans="1:12" x14ac:dyDescent="0.3">
      <c r="A863" s="5" t="s">
        <v>1012</v>
      </c>
      <c r="B863" s="6">
        <v>45795</v>
      </c>
      <c r="C863" s="5" t="s">
        <v>180</v>
      </c>
      <c r="D863" s="5" t="s">
        <v>14</v>
      </c>
      <c r="E863" s="5" t="s">
        <v>97</v>
      </c>
      <c r="F863" s="5" t="s">
        <v>98</v>
      </c>
      <c r="G863" s="5" t="s">
        <v>17</v>
      </c>
      <c r="H863" s="5">
        <v>30</v>
      </c>
      <c r="I863" s="7">
        <v>1110.6500000000001</v>
      </c>
      <c r="J863" s="6">
        <v>45805</v>
      </c>
      <c r="K863">
        <f t="shared" si="13"/>
        <v>33319.5</v>
      </c>
      <c r="L863" t="str">
        <f>INDEX(Raw_Shipments!L863:L3291,MATCH(A863,Raw_Shipments!B863:B3291))</f>
        <v>Yes</v>
      </c>
    </row>
    <row r="864" spans="1:12" x14ac:dyDescent="0.3">
      <c r="A864" s="2" t="s">
        <v>1013</v>
      </c>
      <c r="B864" s="3">
        <v>45795</v>
      </c>
      <c r="C864" s="2" t="s">
        <v>61</v>
      </c>
      <c r="D864" s="2" t="s">
        <v>45</v>
      </c>
      <c r="E864" s="2" t="s">
        <v>15</v>
      </c>
      <c r="F864" s="2" t="s">
        <v>16</v>
      </c>
      <c r="G864" s="2" t="s">
        <v>17</v>
      </c>
      <c r="H864" s="2">
        <v>13</v>
      </c>
      <c r="I864" s="4">
        <v>183.06</v>
      </c>
      <c r="J864" s="3">
        <v>45802</v>
      </c>
      <c r="K864">
        <f t="shared" si="13"/>
        <v>2379.7800000000002</v>
      </c>
      <c r="L864" t="str">
        <f>INDEX(Raw_Shipments!L864:L3292,MATCH(A864,Raw_Shipments!B864:B3292))</f>
        <v>No</v>
      </c>
    </row>
    <row r="865" spans="1:12" x14ac:dyDescent="0.3">
      <c r="A865" s="5" t="s">
        <v>1014</v>
      </c>
      <c r="B865" s="6">
        <v>45795</v>
      </c>
      <c r="C865" s="5" t="s">
        <v>115</v>
      </c>
      <c r="D865" s="5" t="s">
        <v>30</v>
      </c>
      <c r="E865" s="5" t="s">
        <v>20</v>
      </c>
      <c r="F865" s="5" t="s">
        <v>21</v>
      </c>
      <c r="G865" s="5" t="s">
        <v>22</v>
      </c>
      <c r="H865" s="5">
        <v>9</v>
      </c>
      <c r="I865" s="7">
        <v>2108.56</v>
      </c>
      <c r="J865" s="6">
        <v>45805</v>
      </c>
      <c r="K865">
        <f t="shared" si="13"/>
        <v>18977.04</v>
      </c>
      <c r="L865" t="str">
        <f>INDEX(Raw_Shipments!L865:L3293,MATCH(A865,Raw_Shipments!B865:B3293))</f>
        <v>Yes</v>
      </c>
    </row>
    <row r="866" spans="1:12" x14ac:dyDescent="0.3">
      <c r="A866" s="2" t="s">
        <v>1015</v>
      </c>
      <c r="B866" s="3">
        <v>45795</v>
      </c>
      <c r="C866" s="2" t="s">
        <v>111</v>
      </c>
      <c r="D866" s="2" t="s">
        <v>30</v>
      </c>
      <c r="E866" s="2" t="s">
        <v>119</v>
      </c>
      <c r="F866" s="2" t="s">
        <v>120</v>
      </c>
      <c r="G866" s="2" t="s">
        <v>22</v>
      </c>
      <c r="H866" s="2">
        <v>39</v>
      </c>
      <c r="I866" s="4">
        <v>912.26</v>
      </c>
      <c r="J866" s="3">
        <v>45801</v>
      </c>
      <c r="K866">
        <f t="shared" si="13"/>
        <v>35578.14</v>
      </c>
      <c r="L866" t="str">
        <f>INDEX(Raw_Shipments!L866:L3294,MATCH(A866,Raw_Shipments!B866:B3294))</f>
        <v>No</v>
      </c>
    </row>
    <row r="867" spans="1:12" x14ac:dyDescent="0.3">
      <c r="A867" s="5" t="s">
        <v>1016</v>
      </c>
      <c r="B867" s="6">
        <v>45795</v>
      </c>
      <c r="C867" s="5" t="s">
        <v>170</v>
      </c>
      <c r="D867" s="5" t="s">
        <v>25</v>
      </c>
      <c r="E867" s="5" t="s">
        <v>31</v>
      </c>
      <c r="F867" s="5" t="s">
        <v>32</v>
      </c>
      <c r="G867" s="5" t="s">
        <v>33</v>
      </c>
      <c r="H867" s="5">
        <v>16</v>
      </c>
      <c r="I867" s="7">
        <v>689</v>
      </c>
      <c r="J867" s="6">
        <v>45804</v>
      </c>
      <c r="K867">
        <f t="shared" si="13"/>
        <v>11024</v>
      </c>
      <c r="L867" t="str">
        <f>INDEX(Raw_Shipments!L867:L3295,MATCH(A867,Raw_Shipments!B867:B3295))</f>
        <v>Yes</v>
      </c>
    </row>
    <row r="868" spans="1:12" x14ac:dyDescent="0.3">
      <c r="A868" s="2" t="s">
        <v>1017</v>
      </c>
      <c r="B868" s="3">
        <v>45795</v>
      </c>
      <c r="C868" s="2" t="s">
        <v>229</v>
      </c>
      <c r="D868" s="2" t="s">
        <v>25</v>
      </c>
      <c r="E868" s="2" t="s">
        <v>86</v>
      </c>
      <c r="F868" s="2" t="s">
        <v>87</v>
      </c>
      <c r="G868" s="2" t="s">
        <v>33</v>
      </c>
      <c r="H868" s="2">
        <v>16</v>
      </c>
      <c r="I868" s="4">
        <v>815.88</v>
      </c>
      <c r="J868" s="3">
        <v>45798</v>
      </c>
      <c r="K868">
        <f t="shared" si="13"/>
        <v>13054.08</v>
      </c>
      <c r="L868" t="str">
        <f>INDEX(Raw_Shipments!L868:L3296,MATCH(A868,Raw_Shipments!B868:B3296))</f>
        <v>No</v>
      </c>
    </row>
    <row r="869" spans="1:12" x14ac:dyDescent="0.3">
      <c r="A869" s="5" t="s">
        <v>1018</v>
      </c>
      <c r="B869" s="6">
        <v>45795</v>
      </c>
      <c r="C869" s="5" t="s">
        <v>146</v>
      </c>
      <c r="D869" s="5" t="s">
        <v>25</v>
      </c>
      <c r="E869" s="5" t="s">
        <v>46</v>
      </c>
      <c r="F869" s="5" t="s">
        <v>47</v>
      </c>
      <c r="G869" s="5" t="s">
        <v>42</v>
      </c>
      <c r="H869" s="5">
        <v>1</v>
      </c>
      <c r="I869" s="7">
        <v>1833.14</v>
      </c>
      <c r="J869" s="6">
        <v>45802</v>
      </c>
      <c r="K869">
        <f t="shared" si="13"/>
        <v>1833.14</v>
      </c>
      <c r="L869" t="str">
        <f>INDEX(Raw_Shipments!L869:L3297,MATCH(A869,Raw_Shipments!B869:B3297))</f>
        <v>No</v>
      </c>
    </row>
    <row r="870" spans="1:12" x14ac:dyDescent="0.3">
      <c r="A870" s="2" t="s">
        <v>1019</v>
      </c>
      <c r="B870" s="3">
        <v>45795</v>
      </c>
      <c r="C870" s="2" t="s">
        <v>156</v>
      </c>
      <c r="D870" s="2" t="s">
        <v>14</v>
      </c>
      <c r="E870" s="2" t="s">
        <v>50</v>
      </c>
      <c r="F870" s="2" t="s">
        <v>51</v>
      </c>
      <c r="G870" s="2" t="s">
        <v>42</v>
      </c>
      <c r="H870" s="2">
        <v>12</v>
      </c>
      <c r="I870" s="4">
        <v>1952.28</v>
      </c>
      <c r="J870" s="3">
        <v>45804</v>
      </c>
      <c r="K870">
        <f t="shared" si="13"/>
        <v>23427.360000000001</v>
      </c>
      <c r="L870" t="str">
        <f>INDEX(Raw_Shipments!L870:L3298,MATCH(A870,Raw_Shipments!B870:B3298))</f>
        <v>No</v>
      </c>
    </row>
    <row r="871" spans="1:12" x14ac:dyDescent="0.3">
      <c r="A871" s="5" t="s">
        <v>1020</v>
      </c>
      <c r="B871" s="6">
        <v>45796</v>
      </c>
      <c r="C871" s="5" t="s">
        <v>44</v>
      </c>
      <c r="D871" s="5" t="s">
        <v>14</v>
      </c>
      <c r="E871" s="5" t="s">
        <v>62</v>
      </c>
      <c r="F871" s="5" t="s">
        <v>63</v>
      </c>
      <c r="G871" s="5" t="s">
        <v>55</v>
      </c>
      <c r="H871" s="5">
        <v>46</v>
      </c>
      <c r="I871" s="7">
        <v>2555.2199999999998</v>
      </c>
      <c r="J871" s="6">
        <v>45804</v>
      </c>
      <c r="K871">
        <f t="shared" si="13"/>
        <v>117540.12</v>
      </c>
      <c r="L871" t="str">
        <f>INDEX(Raw_Shipments!L871:L3299,MATCH(A871,Raw_Shipments!B871:B3299))</f>
        <v>Yes</v>
      </c>
    </row>
    <row r="872" spans="1:12" x14ac:dyDescent="0.3">
      <c r="A872" s="2" t="s">
        <v>1021</v>
      </c>
      <c r="B872" s="3">
        <v>45796</v>
      </c>
      <c r="C872" s="2" t="s">
        <v>170</v>
      </c>
      <c r="D872" s="2" t="s">
        <v>30</v>
      </c>
      <c r="E872" s="2" t="s">
        <v>66</v>
      </c>
      <c r="F872" s="2" t="s">
        <v>67</v>
      </c>
      <c r="G872" s="2" t="s">
        <v>17</v>
      </c>
      <c r="H872" s="2">
        <v>14</v>
      </c>
      <c r="I872" s="4">
        <v>850.8</v>
      </c>
      <c r="J872" s="3">
        <v>45800</v>
      </c>
      <c r="K872">
        <f t="shared" si="13"/>
        <v>11911.199999999999</v>
      </c>
      <c r="L872" t="str">
        <f>INDEX(Raw_Shipments!L872:L3300,MATCH(A872,Raw_Shipments!B872:B3300))</f>
        <v>No</v>
      </c>
    </row>
    <row r="873" spans="1:12" x14ac:dyDescent="0.3">
      <c r="A873" s="5" t="s">
        <v>1022</v>
      </c>
      <c r="B873" s="6">
        <v>45796</v>
      </c>
      <c r="C873" s="5" t="s">
        <v>279</v>
      </c>
      <c r="D873" s="5" t="s">
        <v>30</v>
      </c>
      <c r="E873" s="5" t="s">
        <v>97</v>
      </c>
      <c r="F873" s="5" t="s">
        <v>98</v>
      </c>
      <c r="G873" s="5" t="s">
        <v>17</v>
      </c>
      <c r="H873" s="5">
        <v>27</v>
      </c>
      <c r="I873" s="7">
        <v>1110.6500000000001</v>
      </c>
      <c r="J873" s="6">
        <v>45800</v>
      </c>
      <c r="K873">
        <f t="shared" si="13"/>
        <v>29987.550000000003</v>
      </c>
      <c r="L873" t="str">
        <f>INDEX(Raw_Shipments!L873:L3301,MATCH(A873,Raw_Shipments!B873:B3301))</f>
        <v>No</v>
      </c>
    </row>
    <row r="874" spans="1:12" x14ac:dyDescent="0.3">
      <c r="A874" s="2" t="s">
        <v>1023</v>
      </c>
      <c r="B874" s="3">
        <v>45796</v>
      </c>
      <c r="C874" s="2" t="s">
        <v>154</v>
      </c>
      <c r="D874" s="2" t="s">
        <v>45</v>
      </c>
      <c r="E874" s="2" t="s">
        <v>15</v>
      </c>
      <c r="F874" s="2" t="s">
        <v>16</v>
      </c>
      <c r="G874" s="2" t="s">
        <v>17</v>
      </c>
      <c r="H874" s="2">
        <v>13</v>
      </c>
      <c r="I874" s="4">
        <v>183.06</v>
      </c>
      <c r="J874" s="3">
        <v>45799</v>
      </c>
      <c r="K874">
        <f t="shared" si="13"/>
        <v>2379.7800000000002</v>
      </c>
      <c r="L874" t="str">
        <f>INDEX(Raw_Shipments!L874:L3302,MATCH(A874,Raw_Shipments!B874:B3302))</f>
        <v>No</v>
      </c>
    </row>
    <row r="875" spans="1:12" x14ac:dyDescent="0.3">
      <c r="A875" s="5" t="s">
        <v>1024</v>
      </c>
      <c r="B875" s="6">
        <v>45796</v>
      </c>
      <c r="C875" s="5" t="s">
        <v>122</v>
      </c>
      <c r="D875" s="5" t="s">
        <v>45</v>
      </c>
      <c r="E875" s="5" t="s">
        <v>20</v>
      </c>
      <c r="F875" s="5" t="s">
        <v>21</v>
      </c>
      <c r="G875" s="5" t="s">
        <v>22</v>
      </c>
      <c r="H875" s="5">
        <v>10</v>
      </c>
      <c r="I875" s="7">
        <v>2108.56</v>
      </c>
      <c r="J875" s="6">
        <v>45802</v>
      </c>
      <c r="K875">
        <f t="shared" si="13"/>
        <v>21085.599999999999</v>
      </c>
      <c r="L875" t="str">
        <f>INDEX(Raw_Shipments!L875:L3303,MATCH(A875,Raw_Shipments!B875:B3303))</f>
        <v>No</v>
      </c>
    </row>
    <row r="876" spans="1:12" x14ac:dyDescent="0.3">
      <c r="A876" s="2" t="s">
        <v>1025</v>
      </c>
      <c r="B876" s="3">
        <v>45796</v>
      </c>
      <c r="C876" s="2" t="s">
        <v>100</v>
      </c>
      <c r="D876" s="2" t="s">
        <v>14</v>
      </c>
      <c r="E876" s="2" t="s">
        <v>26</v>
      </c>
      <c r="F876" s="2" t="s">
        <v>27</v>
      </c>
      <c r="G876" s="2" t="s">
        <v>22</v>
      </c>
      <c r="H876" s="2">
        <v>21</v>
      </c>
      <c r="I876" s="4">
        <v>1646.8</v>
      </c>
      <c r="J876" s="3">
        <v>45801</v>
      </c>
      <c r="K876">
        <f t="shared" si="13"/>
        <v>34582.799999999996</v>
      </c>
      <c r="L876" t="str">
        <f>INDEX(Raw_Shipments!L876:L3304,MATCH(A876,Raw_Shipments!B876:B3304))</f>
        <v>Yes</v>
      </c>
    </row>
    <row r="877" spans="1:12" x14ac:dyDescent="0.3">
      <c r="A877" s="5" t="s">
        <v>1026</v>
      </c>
      <c r="B877" s="6">
        <v>45796</v>
      </c>
      <c r="C877" s="5" t="s">
        <v>39</v>
      </c>
      <c r="D877" s="5" t="s">
        <v>45</v>
      </c>
      <c r="E877" s="5" t="s">
        <v>31</v>
      </c>
      <c r="F877" s="5" t="s">
        <v>32</v>
      </c>
      <c r="G877" s="5" t="s">
        <v>33</v>
      </c>
      <c r="H877" s="5">
        <v>32</v>
      </c>
      <c r="I877" s="7">
        <v>689</v>
      </c>
      <c r="J877" s="6">
        <v>45806</v>
      </c>
      <c r="K877">
        <f t="shared" si="13"/>
        <v>22048</v>
      </c>
      <c r="L877" t="str">
        <f>INDEX(Raw_Shipments!L877:L3305,MATCH(A877,Raw_Shipments!B877:B3305))</f>
        <v>Yes</v>
      </c>
    </row>
    <row r="878" spans="1:12" x14ac:dyDescent="0.3">
      <c r="A878" s="2" t="s">
        <v>1027</v>
      </c>
      <c r="B878" s="3">
        <v>45796</v>
      </c>
      <c r="C878" s="2" t="s">
        <v>93</v>
      </c>
      <c r="D878" s="2" t="s">
        <v>14</v>
      </c>
      <c r="E878" s="2" t="s">
        <v>40</v>
      </c>
      <c r="F878" s="2" t="s">
        <v>41</v>
      </c>
      <c r="G878" s="2" t="s">
        <v>42</v>
      </c>
      <c r="H878" s="2">
        <v>8</v>
      </c>
      <c r="I878" s="4">
        <v>2445.11</v>
      </c>
      <c r="J878" s="3">
        <v>45804</v>
      </c>
      <c r="K878">
        <f t="shared" si="13"/>
        <v>19560.88</v>
      </c>
      <c r="L878" t="str">
        <f>INDEX(Raw_Shipments!L878:L3306,MATCH(A878,Raw_Shipments!B878:B3306))</f>
        <v>No</v>
      </c>
    </row>
    <row r="879" spans="1:12" x14ac:dyDescent="0.3">
      <c r="A879" s="5" t="s">
        <v>1028</v>
      </c>
      <c r="B879" s="6">
        <v>45796</v>
      </c>
      <c r="C879" s="5" t="s">
        <v>111</v>
      </c>
      <c r="D879" s="5" t="s">
        <v>30</v>
      </c>
      <c r="E879" s="5" t="s">
        <v>50</v>
      </c>
      <c r="F879" s="5" t="s">
        <v>51</v>
      </c>
      <c r="G879" s="5" t="s">
        <v>42</v>
      </c>
      <c r="H879" s="5">
        <v>11</v>
      </c>
      <c r="I879" s="7">
        <v>1952.28</v>
      </c>
      <c r="J879" s="6">
        <v>45799</v>
      </c>
      <c r="K879">
        <f t="shared" si="13"/>
        <v>21475.079999999998</v>
      </c>
      <c r="L879" t="str">
        <f>INDEX(Raw_Shipments!L879:L3307,MATCH(A879,Raw_Shipments!B879:B3307))</f>
        <v>No</v>
      </c>
    </row>
    <row r="880" spans="1:12" x14ac:dyDescent="0.3">
      <c r="A880" s="2" t="s">
        <v>1029</v>
      </c>
      <c r="B880" s="3">
        <v>45797</v>
      </c>
      <c r="C880" s="2" t="s">
        <v>107</v>
      </c>
      <c r="D880" s="2" t="s">
        <v>30</v>
      </c>
      <c r="E880" s="2" t="s">
        <v>53</v>
      </c>
      <c r="F880" s="2" t="s">
        <v>54</v>
      </c>
      <c r="G880" s="2" t="s">
        <v>55</v>
      </c>
      <c r="H880" s="2">
        <v>60</v>
      </c>
      <c r="I880" s="4">
        <v>2055.9</v>
      </c>
      <c r="J880" s="3">
        <v>45804</v>
      </c>
      <c r="K880">
        <f t="shared" si="13"/>
        <v>123354</v>
      </c>
      <c r="L880" t="str">
        <f>INDEX(Raw_Shipments!L880:L3308,MATCH(A880,Raw_Shipments!B880:B3308))</f>
        <v>No</v>
      </c>
    </row>
    <row r="881" spans="1:12" x14ac:dyDescent="0.3">
      <c r="A881" s="5" t="s">
        <v>1030</v>
      </c>
      <c r="B881" s="6">
        <v>45797</v>
      </c>
      <c r="C881" s="5" t="s">
        <v>85</v>
      </c>
      <c r="D881" s="5" t="s">
        <v>30</v>
      </c>
      <c r="E881" s="5" t="s">
        <v>58</v>
      </c>
      <c r="F881" s="5" t="s">
        <v>59</v>
      </c>
      <c r="G881" s="5" t="s">
        <v>55</v>
      </c>
      <c r="H881" s="5">
        <v>22</v>
      </c>
      <c r="I881" s="7">
        <v>1695.1</v>
      </c>
      <c r="J881" s="6">
        <v>45803</v>
      </c>
      <c r="K881">
        <f t="shared" si="13"/>
        <v>37292.199999999997</v>
      </c>
      <c r="L881" t="str">
        <f>INDEX(Raw_Shipments!L881:L3309,MATCH(A881,Raw_Shipments!B881:B3309))</f>
        <v>No</v>
      </c>
    </row>
    <row r="882" spans="1:12" x14ac:dyDescent="0.3">
      <c r="A882" s="2" t="s">
        <v>1031</v>
      </c>
      <c r="B882" s="3">
        <v>45797</v>
      </c>
      <c r="C882" s="2" t="s">
        <v>456</v>
      </c>
      <c r="D882" s="2" t="s">
        <v>45</v>
      </c>
      <c r="E882" s="2" t="s">
        <v>62</v>
      </c>
      <c r="F882" s="2" t="s">
        <v>63</v>
      </c>
      <c r="G882" s="2" t="s">
        <v>55</v>
      </c>
      <c r="H882" s="2">
        <v>28</v>
      </c>
      <c r="I882" s="4">
        <v>2555.2199999999998</v>
      </c>
      <c r="J882" s="3">
        <v>45806</v>
      </c>
      <c r="K882">
        <f t="shared" si="13"/>
        <v>71546.159999999989</v>
      </c>
      <c r="L882" t="str">
        <f>INDEX(Raw_Shipments!L882:L3310,MATCH(A882,Raw_Shipments!B882:B3310))</f>
        <v>No</v>
      </c>
    </row>
    <row r="883" spans="1:12" x14ac:dyDescent="0.3">
      <c r="A883" s="5" t="s">
        <v>1032</v>
      </c>
      <c r="B883" s="6">
        <v>45797</v>
      </c>
      <c r="C883" s="5" t="s">
        <v>81</v>
      </c>
      <c r="D883" s="5" t="s">
        <v>25</v>
      </c>
      <c r="E883" s="5" t="s">
        <v>15</v>
      </c>
      <c r="F883" s="5" t="s">
        <v>16</v>
      </c>
      <c r="G883" s="5" t="s">
        <v>17</v>
      </c>
      <c r="H883" s="5">
        <v>14</v>
      </c>
      <c r="I883" s="7">
        <v>183.06</v>
      </c>
      <c r="J883" s="6">
        <v>45801</v>
      </c>
      <c r="K883">
        <f t="shared" si="13"/>
        <v>2562.84</v>
      </c>
      <c r="L883" t="str">
        <f>INDEX(Raw_Shipments!L883:L3311,MATCH(A883,Raw_Shipments!B883:B3311))</f>
        <v>No</v>
      </c>
    </row>
    <row r="884" spans="1:12" x14ac:dyDescent="0.3">
      <c r="A884" s="2" t="s">
        <v>1033</v>
      </c>
      <c r="B884" s="3">
        <v>45797</v>
      </c>
      <c r="C884" s="2" t="s">
        <v>24</v>
      </c>
      <c r="D884" s="2" t="s">
        <v>30</v>
      </c>
      <c r="E884" s="2" t="s">
        <v>119</v>
      </c>
      <c r="F884" s="2" t="s">
        <v>120</v>
      </c>
      <c r="G884" s="2" t="s">
        <v>22</v>
      </c>
      <c r="H884" s="2">
        <v>20</v>
      </c>
      <c r="I884" s="4">
        <v>912.26</v>
      </c>
      <c r="J884" s="3">
        <v>45800</v>
      </c>
      <c r="K884">
        <f t="shared" si="13"/>
        <v>18245.2</v>
      </c>
      <c r="L884" t="str">
        <f>INDEX(Raw_Shipments!L884:L3312,MATCH(A884,Raw_Shipments!B884:B3312))</f>
        <v>No</v>
      </c>
    </row>
    <row r="885" spans="1:12" x14ac:dyDescent="0.3">
      <c r="A885" s="5" t="s">
        <v>1034</v>
      </c>
      <c r="B885" s="6">
        <v>45797</v>
      </c>
      <c r="C885" s="5" t="s">
        <v>166</v>
      </c>
      <c r="D885" s="5" t="s">
        <v>45</v>
      </c>
      <c r="E885" s="5" t="s">
        <v>26</v>
      </c>
      <c r="F885" s="5" t="s">
        <v>27</v>
      </c>
      <c r="G885" s="5" t="s">
        <v>22</v>
      </c>
      <c r="H885" s="5">
        <v>19</v>
      </c>
      <c r="I885" s="7">
        <v>1646.8</v>
      </c>
      <c r="J885" s="6">
        <v>45805</v>
      </c>
      <c r="K885">
        <f t="shared" si="13"/>
        <v>31289.200000000001</v>
      </c>
      <c r="L885" t="str">
        <f>INDEX(Raw_Shipments!L885:L3313,MATCH(A885,Raw_Shipments!B885:B3313))</f>
        <v>No</v>
      </c>
    </row>
    <row r="886" spans="1:12" x14ac:dyDescent="0.3">
      <c r="A886" s="2" t="s">
        <v>1035</v>
      </c>
      <c r="B886" s="3">
        <v>45797</v>
      </c>
      <c r="C886" s="2" t="s">
        <v>234</v>
      </c>
      <c r="D886" s="2" t="s">
        <v>14</v>
      </c>
      <c r="E886" s="2" t="s">
        <v>40</v>
      </c>
      <c r="F886" s="2" t="s">
        <v>41</v>
      </c>
      <c r="G886" s="2" t="s">
        <v>42</v>
      </c>
      <c r="H886" s="2">
        <v>34</v>
      </c>
      <c r="I886" s="4">
        <v>2445.11</v>
      </c>
      <c r="J886" s="3">
        <v>45801</v>
      </c>
      <c r="K886">
        <f t="shared" si="13"/>
        <v>83133.740000000005</v>
      </c>
      <c r="L886" t="str">
        <f>INDEX(Raw_Shipments!L886:L3314,MATCH(A886,Raw_Shipments!B886:B3314))</f>
        <v>No</v>
      </c>
    </row>
    <row r="887" spans="1:12" x14ac:dyDescent="0.3">
      <c r="A887" s="5" t="s">
        <v>1036</v>
      </c>
      <c r="B887" s="6">
        <v>45797</v>
      </c>
      <c r="C887" s="5" t="s">
        <v>13</v>
      </c>
      <c r="D887" s="5" t="s">
        <v>25</v>
      </c>
      <c r="E887" s="5" t="s">
        <v>46</v>
      </c>
      <c r="F887" s="5" t="s">
        <v>47</v>
      </c>
      <c r="G887" s="5" t="s">
        <v>42</v>
      </c>
      <c r="H887" s="5">
        <v>3</v>
      </c>
      <c r="I887" s="7">
        <v>1833.14</v>
      </c>
      <c r="J887" s="6">
        <v>45807</v>
      </c>
      <c r="K887">
        <f t="shared" si="13"/>
        <v>5499.42</v>
      </c>
      <c r="L887" t="str">
        <f>INDEX(Raw_Shipments!L887:L3315,MATCH(A887,Raw_Shipments!B887:B3315))</f>
        <v>No</v>
      </c>
    </row>
    <row r="888" spans="1:12" x14ac:dyDescent="0.3">
      <c r="A888" s="2" t="s">
        <v>1037</v>
      </c>
      <c r="B888" s="3">
        <v>45797</v>
      </c>
      <c r="C888" s="2" t="s">
        <v>356</v>
      </c>
      <c r="D888" s="2" t="s">
        <v>25</v>
      </c>
      <c r="E888" s="2" t="s">
        <v>50</v>
      </c>
      <c r="F888" s="2" t="s">
        <v>51</v>
      </c>
      <c r="G888" s="2" t="s">
        <v>42</v>
      </c>
      <c r="H888" s="2">
        <v>8</v>
      </c>
      <c r="I888" s="4">
        <v>1952.28</v>
      </c>
      <c r="J888" s="3">
        <v>45801</v>
      </c>
      <c r="K888">
        <f t="shared" si="13"/>
        <v>15618.24</v>
      </c>
      <c r="L888" t="str">
        <f>INDEX(Raw_Shipments!L888:L3316,MATCH(A888,Raw_Shipments!B888:B3316))</f>
        <v>No</v>
      </c>
    </row>
    <row r="889" spans="1:12" x14ac:dyDescent="0.3">
      <c r="A889" s="5" t="s">
        <v>1038</v>
      </c>
      <c r="B889" s="6">
        <v>45798</v>
      </c>
      <c r="C889" s="5" t="s">
        <v>150</v>
      </c>
      <c r="D889" s="5" t="s">
        <v>25</v>
      </c>
      <c r="E889" s="5" t="s">
        <v>53</v>
      </c>
      <c r="F889" s="5" t="s">
        <v>54</v>
      </c>
      <c r="G889" s="5" t="s">
        <v>55</v>
      </c>
      <c r="H889" s="5">
        <v>37</v>
      </c>
      <c r="I889" s="7">
        <v>2055.9</v>
      </c>
      <c r="J889" s="6">
        <v>45808</v>
      </c>
      <c r="K889">
        <f t="shared" si="13"/>
        <v>76068.3</v>
      </c>
      <c r="L889" t="str">
        <f>INDEX(Raw_Shipments!L889:L3317,MATCH(A889,Raw_Shipments!B889:B3317))</f>
        <v>Yes</v>
      </c>
    </row>
    <row r="890" spans="1:12" x14ac:dyDescent="0.3">
      <c r="A890" s="2" t="s">
        <v>1039</v>
      </c>
      <c r="B890" s="3">
        <v>45798</v>
      </c>
      <c r="C890" s="2" t="s">
        <v>451</v>
      </c>
      <c r="D890" s="2" t="s">
        <v>30</v>
      </c>
      <c r="E890" s="2" t="s">
        <v>62</v>
      </c>
      <c r="F890" s="2" t="s">
        <v>63</v>
      </c>
      <c r="G890" s="2" t="s">
        <v>55</v>
      </c>
      <c r="H890" s="2">
        <v>47</v>
      </c>
      <c r="I890" s="4">
        <v>2555.2199999999998</v>
      </c>
      <c r="J890" s="3">
        <v>45804</v>
      </c>
      <c r="K890">
        <f t="shared" si="13"/>
        <v>120095.34</v>
      </c>
      <c r="L890" t="str">
        <f>INDEX(Raw_Shipments!L890:L3318,MATCH(A890,Raw_Shipments!B890:B3318))</f>
        <v>No</v>
      </c>
    </row>
    <row r="891" spans="1:12" x14ac:dyDescent="0.3">
      <c r="A891" s="5" t="s">
        <v>1040</v>
      </c>
      <c r="B891" s="6">
        <v>45798</v>
      </c>
      <c r="C891" s="5" t="s">
        <v>447</v>
      </c>
      <c r="D891" s="5" t="s">
        <v>30</v>
      </c>
      <c r="E891" s="5" t="s">
        <v>15</v>
      </c>
      <c r="F891" s="5" t="s">
        <v>16</v>
      </c>
      <c r="G891" s="5" t="s">
        <v>17</v>
      </c>
      <c r="H891" s="5">
        <v>15</v>
      </c>
      <c r="I891" s="7">
        <v>183.06</v>
      </c>
      <c r="J891" s="6">
        <v>45802</v>
      </c>
      <c r="K891">
        <f t="shared" si="13"/>
        <v>2745.9</v>
      </c>
      <c r="L891" t="str">
        <f>INDEX(Raw_Shipments!L891:L3319,MATCH(A891,Raw_Shipments!B891:B3319))</f>
        <v>No</v>
      </c>
    </row>
    <row r="892" spans="1:12" x14ac:dyDescent="0.3">
      <c r="A892" s="2" t="s">
        <v>1041</v>
      </c>
      <c r="B892" s="3">
        <v>45798</v>
      </c>
      <c r="C892" s="2" t="s">
        <v>527</v>
      </c>
      <c r="D892" s="2" t="s">
        <v>30</v>
      </c>
      <c r="E892" s="2" t="s">
        <v>119</v>
      </c>
      <c r="F892" s="2" t="s">
        <v>120</v>
      </c>
      <c r="G892" s="2" t="s">
        <v>22</v>
      </c>
      <c r="H892" s="2">
        <v>48</v>
      </c>
      <c r="I892" s="4">
        <v>912.26</v>
      </c>
      <c r="J892" s="3">
        <v>45804</v>
      </c>
      <c r="K892">
        <f t="shared" si="13"/>
        <v>43788.479999999996</v>
      </c>
      <c r="L892" t="str">
        <f>INDEX(Raw_Shipments!L892:L3320,MATCH(A892,Raw_Shipments!B892:B3320))</f>
        <v>No</v>
      </c>
    </row>
    <row r="893" spans="1:12" x14ac:dyDescent="0.3">
      <c r="A893" s="5" t="s">
        <v>1042</v>
      </c>
      <c r="B893" s="6">
        <v>45798</v>
      </c>
      <c r="C893" s="5" t="s">
        <v>337</v>
      </c>
      <c r="D893" s="5" t="s">
        <v>30</v>
      </c>
      <c r="E893" s="5" t="s">
        <v>26</v>
      </c>
      <c r="F893" s="5" t="s">
        <v>27</v>
      </c>
      <c r="G893" s="5" t="s">
        <v>22</v>
      </c>
      <c r="H893" s="5">
        <v>29</v>
      </c>
      <c r="I893" s="7">
        <v>1646.8</v>
      </c>
      <c r="J893" s="6">
        <v>45805</v>
      </c>
      <c r="K893">
        <f t="shared" si="13"/>
        <v>47757.2</v>
      </c>
      <c r="L893" t="str">
        <f>INDEX(Raw_Shipments!L893:L3321,MATCH(A893,Raw_Shipments!B893:B3321))</f>
        <v>No</v>
      </c>
    </row>
    <row r="894" spans="1:12" x14ac:dyDescent="0.3">
      <c r="A894" s="2" t="s">
        <v>1043</v>
      </c>
      <c r="B894" s="3">
        <v>45798</v>
      </c>
      <c r="C894" s="2" t="s">
        <v>115</v>
      </c>
      <c r="D894" s="2" t="s">
        <v>45</v>
      </c>
      <c r="E894" s="2" t="s">
        <v>36</v>
      </c>
      <c r="F894" s="2" t="s">
        <v>37</v>
      </c>
      <c r="G894" s="2" t="s">
        <v>33</v>
      </c>
      <c r="H894" s="2">
        <v>32</v>
      </c>
      <c r="I894" s="4">
        <v>1064.79</v>
      </c>
      <c r="J894" s="3">
        <v>45801</v>
      </c>
      <c r="K894">
        <f t="shared" si="13"/>
        <v>34073.279999999999</v>
      </c>
      <c r="L894" t="str">
        <f>INDEX(Raw_Shipments!L894:L3322,MATCH(A894,Raw_Shipments!B894:B3322))</f>
        <v>No</v>
      </c>
    </row>
    <row r="895" spans="1:12" x14ac:dyDescent="0.3">
      <c r="A895" s="5" t="s">
        <v>1044</v>
      </c>
      <c r="B895" s="6">
        <v>45798</v>
      </c>
      <c r="C895" s="5" t="s">
        <v>44</v>
      </c>
      <c r="D895" s="5" t="s">
        <v>14</v>
      </c>
      <c r="E895" s="5" t="s">
        <v>86</v>
      </c>
      <c r="F895" s="5" t="s">
        <v>87</v>
      </c>
      <c r="G895" s="5" t="s">
        <v>33</v>
      </c>
      <c r="H895" s="5">
        <v>33</v>
      </c>
      <c r="I895" s="7">
        <v>815.88</v>
      </c>
      <c r="J895" s="6">
        <v>45808</v>
      </c>
      <c r="K895">
        <f t="shared" si="13"/>
        <v>26924.04</v>
      </c>
      <c r="L895" t="str">
        <f>INDEX(Raw_Shipments!L895:L3323,MATCH(A895,Raw_Shipments!B895:B3323))</f>
        <v>Yes</v>
      </c>
    </row>
    <row r="896" spans="1:12" x14ac:dyDescent="0.3">
      <c r="A896" s="2" t="s">
        <v>1045</v>
      </c>
      <c r="B896" s="3">
        <v>45798</v>
      </c>
      <c r="C896" s="2" t="s">
        <v>473</v>
      </c>
      <c r="D896" s="2" t="s">
        <v>45</v>
      </c>
      <c r="E896" s="2" t="s">
        <v>46</v>
      </c>
      <c r="F896" s="2" t="s">
        <v>47</v>
      </c>
      <c r="G896" s="2" t="s">
        <v>42</v>
      </c>
      <c r="H896" s="2">
        <v>9</v>
      </c>
      <c r="I896" s="4">
        <v>1833.14</v>
      </c>
      <c r="J896" s="3">
        <v>45808</v>
      </c>
      <c r="K896">
        <f t="shared" si="13"/>
        <v>16498.260000000002</v>
      </c>
      <c r="L896" t="str">
        <f>INDEX(Raw_Shipments!L896:L3324,MATCH(A896,Raw_Shipments!B896:B3324))</f>
        <v>No</v>
      </c>
    </row>
    <row r="897" spans="1:12" x14ac:dyDescent="0.3">
      <c r="A897" s="5" t="s">
        <v>1046</v>
      </c>
      <c r="B897" s="6">
        <v>45799</v>
      </c>
      <c r="C897" s="5" t="s">
        <v>170</v>
      </c>
      <c r="D897" s="5" t="s">
        <v>14</v>
      </c>
      <c r="E897" s="5" t="s">
        <v>58</v>
      </c>
      <c r="F897" s="5" t="s">
        <v>59</v>
      </c>
      <c r="G897" s="5" t="s">
        <v>55</v>
      </c>
      <c r="H897" s="5">
        <v>21</v>
      </c>
      <c r="I897" s="7">
        <v>1695.1</v>
      </c>
      <c r="J897" s="6">
        <v>45804</v>
      </c>
      <c r="K897">
        <f t="shared" si="13"/>
        <v>35597.1</v>
      </c>
      <c r="L897" t="str">
        <f>INDEX(Raw_Shipments!L897:L3325,MATCH(A897,Raw_Shipments!B897:B3325))</f>
        <v>No</v>
      </c>
    </row>
    <row r="898" spans="1:12" x14ac:dyDescent="0.3">
      <c r="A898" s="2" t="s">
        <v>1047</v>
      </c>
      <c r="B898" s="3">
        <v>45799</v>
      </c>
      <c r="C898" s="2" t="s">
        <v>49</v>
      </c>
      <c r="D898" s="2" t="s">
        <v>45</v>
      </c>
      <c r="E898" s="2" t="s">
        <v>15</v>
      </c>
      <c r="F898" s="2" t="s">
        <v>16</v>
      </c>
      <c r="G898" s="2" t="s">
        <v>17</v>
      </c>
      <c r="H898" s="2">
        <v>7</v>
      </c>
      <c r="I898" s="4">
        <v>183.06</v>
      </c>
      <c r="J898" s="3">
        <v>45803</v>
      </c>
      <c r="K898">
        <f t="shared" si="13"/>
        <v>1281.42</v>
      </c>
      <c r="L898" t="str">
        <f>INDEX(Raw_Shipments!L898:L3326,MATCH(A898,Raw_Shipments!B898:B3326))</f>
        <v>No</v>
      </c>
    </row>
    <row r="899" spans="1:12" x14ac:dyDescent="0.3">
      <c r="A899" s="5" t="s">
        <v>1048</v>
      </c>
      <c r="B899" s="6">
        <v>45799</v>
      </c>
      <c r="C899" s="5" t="s">
        <v>545</v>
      </c>
      <c r="D899" s="5" t="s">
        <v>25</v>
      </c>
      <c r="E899" s="5" t="s">
        <v>26</v>
      </c>
      <c r="F899" s="5" t="s">
        <v>27</v>
      </c>
      <c r="G899" s="5" t="s">
        <v>22</v>
      </c>
      <c r="H899" s="5">
        <v>11</v>
      </c>
      <c r="I899" s="7">
        <v>1646.8</v>
      </c>
      <c r="J899" s="6">
        <v>45805</v>
      </c>
      <c r="K899">
        <f t="shared" ref="K899:K962" si="14">I899*H899</f>
        <v>18114.8</v>
      </c>
      <c r="L899" t="str">
        <f>INDEX(Raw_Shipments!L899:L3327,MATCH(A899,Raw_Shipments!B899:B3327))</f>
        <v>No</v>
      </c>
    </row>
    <row r="900" spans="1:12" x14ac:dyDescent="0.3">
      <c r="A900" s="2" t="s">
        <v>1049</v>
      </c>
      <c r="B900" s="3">
        <v>45799</v>
      </c>
      <c r="C900" s="2" t="s">
        <v>128</v>
      </c>
      <c r="D900" s="2" t="s">
        <v>14</v>
      </c>
      <c r="E900" s="2" t="s">
        <v>40</v>
      </c>
      <c r="F900" s="2" t="s">
        <v>41</v>
      </c>
      <c r="G900" s="2" t="s">
        <v>42</v>
      </c>
      <c r="H900" s="2">
        <v>37</v>
      </c>
      <c r="I900" s="4">
        <v>2445.11</v>
      </c>
      <c r="J900" s="3">
        <v>45804</v>
      </c>
      <c r="K900">
        <f t="shared" si="14"/>
        <v>90469.07</v>
      </c>
      <c r="L900" t="str">
        <f>INDEX(Raw_Shipments!L900:L3328,MATCH(A900,Raw_Shipments!B900:B3328))</f>
        <v>No</v>
      </c>
    </row>
    <row r="901" spans="1:12" x14ac:dyDescent="0.3">
      <c r="A901" s="5" t="s">
        <v>1050</v>
      </c>
      <c r="B901" s="6">
        <v>45800</v>
      </c>
      <c r="C901" s="5" t="s">
        <v>29</v>
      </c>
      <c r="D901" s="5" t="s">
        <v>14</v>
      </c>
      <c r="E901" s="5" t="s">
        <v>53</v>
      </c>
      <c r="F901" s="5" t="s">
        <v>54</v>
      </c>
      <c r="G901" s="5" t="s">
        <v>55</v>
      </c>
      <c r="H901" s="5">
        <v>31</v>
      </c>
      <c r="I901" s="7">
        <v>2055.9</v>
      </c>
      <c r="J901" s="6">
        <v>45804</v>
      </c>
      <c r="K901">
        <f t="shared" si="14"/>
        <v>63732.9</v>
      </c>
      <c r="L901" t="str">
        <f>INDEX(Raw_Shipments!L901:L3329,MATCH(A901,Raw_Shipments!B901:B3329))</f>
        <v>No</v>
      </c>
    </row>
    <row r="902" spans="1:12" x14ac:dyDescent="0.3">
      <c r="A902" s="2" t="s">
        <v>1051</v>
      </c>
      <c r="B902" s="3">
        <v>45800</v>
      </c>
      <c r="C902" s="2" t="s">
        <v>504</v>
      </c>
      <c r="D902" s="2" t="s">
        <v>45</v>
      </c>
      <c r="E902" s="2" t="s">
        <v>62</v>
      </c>
      <c r="F902" s="2" t="s">
        <v>63</v>
      </c>
      <c r="G902" s="2" t="s">
        <v>55</v>
      </c>
      <c r="H902" s="2">
        <v>30</v>
      </c>
      <c r="I902" s="4">
        <v>2555.2199999999998</v>
      </c>
      <c r="J902" s="3">
        <v>45806</v>
      </c>
      <c r="K902">
        <f t="shared" si="14"/>
        <v>76656.599999999991</v>
      </c>
      <c r="L902" t="str">
        <f>INDEX(Raw_Shipments!L902:L3330,MATCH(A902,Raw_Shipments!B902:B3330))</f>
        <v>No</v>
      </c>
    </row>
    <row r="903" spans="1:12" x14ac:dyDescent="0.3">
      <c r="A903" s="5" t="s">
        <v>1052</v>
      </c>
      <c r="B903" s="6">
        <v>45800</v>
      </c>
      <c r="C903" s="5" t="s">
        <v>139</v>
      </c>
      <c r="D903" s="5" t="s">
        <v>14</v>
      </c>
      <c r="E903" s="5" t="s">
        <v>66</v>
      </c>
      <c r="F903" s="5" t="s">
        <v>67</v>
      </c>
      <c r="G903" s="5" t="s">
        <v>17</v>
      </c>
      <c r="H903" s="5">
        <v>16</v>
      </c>
      <c r="I903" s="7">
        <v>850.8</v>
      </c>
      <c r="J903" s="6">
        <v>45809</v>
      </c>
      <c r="K903">
        <f t="shared" si="14"/>
        <v>13612.8</v>
      </c>
      <c r="L903" t="str">
        <f>INDEX(Raw_Shipments!L903:L3331,MATCH(A903,Raw_Shipments!B903:B3331))</f>
        <v>No</v>
      </c>
    </row>
    <row r="904" spans="1:12" x14ac:dyDescent="0.3">
      <c r="A904" s="2" t="s">
        <v>1053</v>
      </c>
      <c r="B904" s="3">
        <v>45800</v>
      </c>
      <c r="C904" s="2" t="s">
        <v>250</v>
      </c>
      <c r="D904" s="2" t="s">
        <v>25</v>
      </c>
      <c r="E904" s="2" t="s">
        <v>97</v>
      </c>
      <c r="F904" s="2" t="s">
        <v>98</v>
      </c>
      <c r="G904" s="2" t="s">
        <v>17</v>
      </c>
      <c r="H904" s="2">
        <v>26</v>
      </c>
      <c r="I904" s="4">
        <v>1110.6500000000001</v>
      </c>
      <c r="J904" s="3">
        <v>45805</v>
      </c>
      <c r="K904">
        <f t="shared" si="14"/>
        <v>28876.9</v>
      </c>
      <c r="L904" t="str">
        <f>INDEX(Raw_Shipments!L904:L3332,MATCH(A904,Raw_Shipments!B904:B3332))</f>
        <v>No</v>
      </c>
    </row>
    <row r="905" spans="1:12" x14ac:dyDescent="0.3">
      <c r="A905" s="5" t="s">
        <v>1054</v>
      </c>
      <c r="B905" s="6">
        <v>45800</v>
      </c>
      <c r="C905" s="5" t="s">
        <v>363</v>
      </c>
      <c r="D905" s="5" t="s">
        <v>14</v>
      </c>
      <c r="E905" s="5" t="s">
        <v>15</v>
      </c>
      <c r="F905" s="5" t="s">
        <v>16</v>
      </c>
      <c r="G905" s="5" t="s">
        <v>17</v>
      </c>
      <c r="H905" s="5">
        <v>14</v>
      </c>
      <c r="I905" s="7">
        <v>183.06</v>
      </c>
      <c r="J905" s="6">
        <v>45810</v>
      </c>
      <c r="K905">
        <f t="shared" si="14"/>
        <v>2562.84</v>
      </c>
      <c r="L905" t="str">
        <f>INDEX(Raw_Shipments!L905:L3333,MATCH(A905,Raw_Shipments!B905:B3333))</f>
        <v>Yes</v>
      </c>
    </row>
    <row r="906" spans="1:12" x14ac:dyDescent="0.3">
      <c r="A906" s="2" t="s">
        <v>1055</v>
      </c>
      <c r="B906" s="3">
        <v>45800</v>
      </c>
      <c r="C906" s="2" t="s">
        <v>262</v>
      </c>
      <c r="D906" s="2" t="s">
        <v>14</v>
      </c>
      <c r="E906" s="2" t="s">
        <v>20</v>
      </c>
      <c r="F906" s="2" t="s">
        <v>21</v>
      </c>
      <c r="G906" s="2" t="s">
        <v>22</v>
      </c>
      <c r="H906" s="2">
        <v>10</v>
      </c>
      <c r="I906" s="4">
        <v>2108.56</v>
      </c>
      <c r="J906" s="3">
        <v>45809</v>
      </c>
      <c r="K906">
        <f t="shared" si="14"/>
        <v>21085.599999999999</v>
      </c>
      <c r="L906" t="str">
        <f>INDEX(Raw_Shipments!L906:L3334,MATCH(A906,Raw_Shipments!B906:B3334))</f>
        <v>Yes</v>
      </c>
    </row>
    <row r="907" spans="1:12" x14ac:dyDescent="0.3">
      <c r="A907" s="5" t="s">
        <v>1056</v>
      </c>
      <c r="B907" s="6">
        <v>45800</v>
      </c>
      <c r="C907" s="5" t="s">
        <v>91</v>
      </c>
      <c r="D907" s="5" t="s">
        <v>30</v>
      </c>
      <c r="E907" s="5" t="s">
        <v>26</v>
      </c>
      <c r="F907" s="5" t="s">
        <v>27</v>
      </c>
      <c r="G907" s="5" t="s">
        <v>22</v>
      </c>
      <c r="H907" s="5">
        <v>13</v>
      </c>
      <c r="I907" s="7">
        <v>1646.8</v>
      </c>
      <c r="J907" s="6">
        <v>45805</v>
      </c>
      <c r="K907">
        <f t="shared" si="14"/>
        <v>21408.399999999998</v>
      </c>
      <c r="L907" t="str">
        <f>INDEX(Raw_Shipments!L907:L3335,MATCH(A907,Raw_Shipments!B907:B3335))</f>
        <v>No</v>
      </c>
    </row>
    <row r="908" spans="1:12" x14ac:dyDescent="0.3">
      <c r="A908" s="2" t="s">
        <v>1057</v>
      </c>
      <c r="B908" s="3">
        <v>45800</v>
      </c>
      <c r="C908" s="2" t="s">
        <v>125</v>
      </c>
      <c r="D908" s="2" t="s">
        <v>14</v>
      </c>
      <c r="E908" s="2" t="s">
        <v>36</v>
      </c>
      <c r="F908" s="2" t="s">
        <v>37</v>
      </c>
      <c r="G908" s="2" t="s">
        <v>33</v>
      </c>
      <c r="H908" s="2">
        <v>44</v>
      </c>
      <c r="I908" s="4">
        <v>1064.79</v>
      </c>
      <c r="J908" s="3">
        <v>45809</v>
      </c>
      <c r="K908">
        <f t="shared" si="14"/>
        <v>46850.759999999995</v>
      </c>
      <c r="L908" t="str">
        <f>INDEX(Raw_Shipments!L908:L3336,MATCH(A908,Raw_Shipments!B908:B3336))</f>
        <v>Yes</v>
      </c>
    </row>
    <row r="909" spans="1:12" x14ac:dyDescent="0.3">
      <c r="A909" s="5" t="s">
        <v>1058</v>
      </c>
      <c r="B909" s="6">
        <v>45800</v>
      </c>
      <c r="C909" s="5" t="s">
        <v>75</v>
      </c>
      <c r="D909" s="5" t="s">
        <v>25</v>
      </c>
      <c r="E909" s="5" t="s">
        <v>86</v>
      </c>
      <c r="F909" s="5" t="s">
        <v>87</v>
      </c>
      <c r="G909" s="5" t="s">
        <v>33</v>
      </c>
      <c r="H909" s="5">
        <v>19</v>
      </c>
      <c r="I909" s="7">
        <v>815.88</v>
      </c>
      <c r="J909" s="6">
        <v>45804</v>
      </c>
      <c r="K909">
        <f t="shared" si="14"/>
        <v>15501.72</v>
      </c>
      <c r="L909" t="str">
        <f>INDEX(Raw_Shipments!L909:L3337,MATCH(A909,Raw_Shipments!B909:B3337))</f>
        <v>No</v>
      </c>
    </row>
    <row r="910" spans="1:12" x14ac:dyDescent="0.3">
      <c r="A910" s="2" t="s">
        <v>1059</v>
      </c>
      <c r="B910" s="3">
        <v>45801</v>
      </c>
      <c r="C910" s="2" t="s">
        <v>279</v>
      </c>
      <c r="D910" s="2" t="s">
        <v>30</v>
      </c>
      <c r="E910" s="2" t="s">
        <v>62</v>
      </c>
      <c r="F910" s="2" t="s">
        <v>63</v>
      </c>
      <c r="G910" s="2" t="s">
        <v>55</v>
      </c>
      <c r="H910" s="2">
        <v>41</v>
      </c>
      <c r="I910" s="4">
        <v>2555.2199999999998</v>
      </c>
      <c r="J910" s="3">
        <v>45806</v>
      </c>
      <c r="K910">
        <f t="shared" si="14"/>
        <v>104764.01999999999</v>
      </c>
      <c r="L910" t="str">
        <f>INDEX(Raw_Shipments!L910:L3338,MATCH(A910,Raw_Shipments!B910:B3338))</f>
        <v>No</v>
      </c>
    </row>
    <row r="911" spans="1:12" x14ac:dyDescent="0.3">
      <c r="A911" s="5" t="s">
        <v>1060</v>
      </c>
      <c r="B911" s="6">
        <v>45801</v>
      </c>
      <c r="C911" s="5" t="s">
        <v>141</v>
      </c>
      <c r="D911" s="5" t="s">
        <v>25</v>
      </c>
      <c r="E911" s="5" t="s">
        <v>97</v>
      </c>
      <c r="F911" s="5" t="s">
        <v>98</v>
      </c>
      <c r="G911" s="5" t="s">
        <v>17</v>
      </c>
      <c r="H911" s="5">
        <v>29</v>
      </c>
      <c r="I911" s="7">
        <v>1110.6500000000001</v>
      </c>
      <c r="J911" s="6">
        <v>45804</v>
      </c>
      <c r="K911">
        <f t="shared" si="14"/>
        <v>32208.850000000002</v>
      </c>
      <c r="L911" t="str">
        <f>INDEX(Raw_Shipments!L911:L3339,MATCH(A911,Raw_Shipments!B911:B3339))</f>
        <v>No</v>
      </c>
    </row>
    <row r="912" spans="1:12" x14ac:dyDescent="0.3">
      <c r="A912" s="2" t="s">
        <v>1061</v>
      </c>
      <c r="B912" s="3">
        <v>45801</v>
      </c>
      <c r="C912" s="2" t="s">
        <v>104</v>
      </c>
      <c r="D912" s="2" t="s">
        <v>45</v>
      </c>
      <c r="E912" s="2" t="s">
        <v>15</v>
      </c>
      <c r="F912" s="2" t="s">
        <v>16</v>
      </c>
      <c r="G912" s="2" t="s">
        <v>17</v>
      </c>
      <c r="H912" s="2">
        <v>10</v>
      </c>
      <c r="I912" s="4">
        <v>183.06</v>
      </c>
      <c r="J912" s="3">
        <v>45811</v>
      </c>
      <c r="K912">
        <f t="shared" si="14"/>
        <v>1830.6</v>
      </c>
      <c r="L912" t="str">
        <f>INDEX(Raw_Shipments!L912:L3340,MATCH(A912,Raw_Shipments!B912:B3340))</f>
        <v>Yes</v>
      </c>
    </row>
    <row r="913" spans="1:12" x14ac:dyDescent="0.3">
      <c r="A913" s="5" t="s">
        <v>1062</v>
      </c>
      <c r="B913" s="6">
        <v>45801</v>
      </c>
      <c r="C913" s="5" t="s">
        <v>527</v>
      </c>
      <c r="D913" s="5" t="s">
        <v>45</v>
      </c>
      <c r="E913" s="5" t="s">
        <v>26</v>
      </c>
      <c r="F913" s="5" t="s">
        <v>27</v>
      </c>
      <c r="G913" s="5" t="s">
        <v>22</v>
      </c>
      <c r="H913" s="5">
        <v>22</v>
      </c>
      <c r="I913" s="7">
        <v>1646.8</v>
      </c>
      <c r="J913" s="6">
        <v>45804</v>
      </c>
      <c r="K913">
        <f t="shared" si="14"/>
        <v>36229.599999999999</v>
      </c>
      <c r="L913" t="str">
        <f>INDEX(Raw_Shipments!L913:L3341,MATCH(A913,Raw_Shipments!B913:B3341))</f>
        <v>No</v>
      </c>
    </row>
    <row r="914" spans="1:12" x14ac:dyDescent="0.3">
      <c r="A914" s="2" t="s">
        <v>1063</v>
      </c>
      <c r="B914" s="3">
        <v>45801</v>
      </c>
      <c r="C914" s="2" t="s">
        <v>260</v>
      </c>
      <c r="D914" s="2" t="s">
        <v>14</v>
      </c>
      <c r="E914" s="2" t="s">
        <v>31</v>
      </c>
      <c r="F914" s="2" t="s">
        <v>32</v>
      </c>
      <c r="G914" s="2" t="s">
        <v>33</v>
      </c>
      <c r="H914" s="2">
        <v>39</v>
      </c>
      <c r="I914" s="4">
        <v>689</v>
      </c>
      <c r="J914" s="3">
        <v>45809</v>
      </c>
      <c r="K914">
        <f t="shared" si="14"/>
        <v>26871</v>
      </c>
      <c r="L914" t="str">
        <f>INDEX(Raw_Shipments!L914:L3342,MATCH(A914,Raw_Shipments!B914:B3342))</f>
        <v>No</v>
      </c>
    </row>
    <row r="915" spans="1:12" x14ac:dyDescent="0.3">
      <c r="A915" s="5" t="s">
        <v>1064</v>
      </c>
      <c r="B915" s="6">
        <v>45801</v>
      </c>
      <c r="C915" s="5" t="s">
        <v>128</v>
      </c>
      <c r="D915" s="5" t="s">
        <v>14</v>
      </c>
      <c r="E915" s="5" t="s">
        <v>40</v>
      </c>
      <c r="F915" s="5" t="s">
        <v>41</v>
      </c>
      <c r="G915" s="5" t="s">
        <v>42</v>
      </c>
      <c r="H915" s="5">
        <v>35</v>
      </c>
      <c r="I915" s="7">
        <v>2445.11</v>
      </c>
      <c r="J915" s="6">
        <v>45805</v>
      </c>
      <c r="K915">
        <f t="shared" si="14"/>
        <v>85578.85</v>
      </c>
      <c r="L915" t="str">
        <f>INDEX(Raw_Shipments!L915:L3343,MATCH(A915,Raw_Shipments!B915:B3343))</f>
        <v>No</v>
      </c>
    </row>
    <row r="916" spans="1:12" x14ac:dyDescent="0.3">
      <c r="A916" s="2" t="s">
        <v>1065</v>
      </c>
      <c r="B916" s="3">
        <v>45801</v>
      </c>
      <c r="C916" s="2" t="s">
        <v>248</v>
      </c>
      <c r="D916" s="2" t="s">
        <v>45</v>
      </c>
      <c r="E916" s="2" t="s">
        <v>46</v>
      </c>
      <c r="F916" s="2" t="s">
        <v>47</v>
      </c>
      <c r="G916" s="2" t="s">
        <v>42</v>
      </c>
      <c r="H916" s="2">
        <v>6</v>
      </c>
      <c r="I916" s="4">
        <v>1833.14</v>
      </c>
      <c r="J916" s="3">
        <v>45810</v>
      </c>
      <c r="K916">
        <f t="shared" si="14"/>
        <v>10998.84</v>
      </c>
      <c r="L916" t="str">
        <f>INDEX(Raw_Shipments!L916:L3344,MATCH(A916,Raw_Shipments!B916:B3344))</f>
        <v>No</v>
      </c>
    </row>
    <row r="917" spans="1:12" x14ac:dyDescent="0.3">
      <c r="A917" s="5" t="s">
        <v>1066</v>
      </c>
      <c r="B917" s="6">
        <v>45802</v>
      </c>
      <c r="C917" s="5" t="s">
        <v>107</v>
      </c>
      <c r="D917" s="5" t="s">
        <v>30</v>
      </c>
      <c r="E917" s="5" t="s">
        <v>62</v>
      </c>
      <c r="F917" s="5" t="s">
        <v>63</v>
      </c>
      <c r="G917" s="5" t="s">
        <v>55</v>
      </c>
      <c r="H917" s="5">
        <v>10</v>
      </c>
      <c r="I917" s="7">
        <v>2555.2199999999998</v>
      </c>
      <c r="J917" s="6">
        <v>45812</v>
      </c>
      <c r="K917">
        <f t="shared" si="14"/>
        <v>25552.199999999997</v>
      </c>
      <c r="L917" t="str">
        <f>INDEX(Raw_Shipments!L917:L3345,MATCH(A917,Raw_Shipments!B917:B3345))</f>
        <v>Yes</v>
      </c>
    </row>
    <row r="918" spans="1:12" x14ac:dyDescent="0.3">
      <c r="A918" s="2" t="s">
        <v>1067</v>
      </c>
      <c r="B918" s="3">
        <v>45802</v>
      </c>
      <c r="C918" s="2" t="s">
        <v>203</v>
      </c>
      <c r="D918" s="2" t="s">
        <v>14</v>
      </c>
      <c r="E918" s="2" t="s">
        <v>66</v>
      </c>
      <c r="F918" s="2" t="s">
        <v>67</v>
      </c>
      <c r="G918" s="2" t="s">
        <v>17</v>
      </c>
      <c r="H918" s="2">
        <v>11</v>
      </c>
      <c r="I918" s="4">
        <v>850.8</v>
      </c>
      <c r="J918" s="3">
        <v>45810</v>
      </c>
      <c r="K918">
        <f t="shared" si="14"/>
        <v>9358.7999999999993</v>
      </c>
      <c r="L918" t="str">
        <f>INDEX(Raw_Shipments!L918:L3346,MATCH(A918,Raw_Shipments!B918:B3346))</f>
        <v>No</v>
      </c>
    </row>
    <row r="919" spans="1:12" x14ac:dyDescent="0.3">
      <c r="A919" s="5" t="s">
        <v>1068</v>
      </c>
      <c r="B919" s="6">
        <v>45802</v>
      </c>
      <c r="C919" s="5" t="s">
        <v>363</v>
      </c>
      <c r="D919" s="5" t="s">
        <v>45</v>
      </c>
      <c r="E919" s="5" t="s">
        <v>97</v>
      </c>
      <c r="F919" s="5" t="s">
        <v>98</v>
      </c>
      <c r="G919" s="5" t="s">
        <v>17</v>
      </c>
      <c r="H919" s="5">
        <v>29</v>
      </c>
      <c r="I919" s="7">
        <v>1110.6500000000001</v>
      </c>
      <c r="J919" s="6">
        <v>45805</v>
      </c>
      <c r="K919">
        <f t="shared" si="14"/>
        <v>32208.850000000002</v>
      </c>
      <c r="L919" t="str">
        <f>INDEX(Raw_Shipments!L919:L3347,MATCH(A919,Raw_Shipments!B919:B3347))</f>
        <v>No</v>
      </c>
    </row>
    <row r="920" spans="1:12" x14ac:dyDescent="0.3">
      <c r="A920" s="2" t="s">
        <v>1069</v>
      </c>
      <c r="B920" s="3">
        <v>45802</v>
      </c>
      <c r="C920" s="2" t="s">
        <v>240</v>
      </c>
      <c r="D920" s="2" t="s">
        <v>25</v>
      </c>
      <c r="E920" s="2" t="s">
        <v>15</v>
      </c>
      <c r="F920" s="2" t="s">
        <v>16</v>
      </c>
      <c r="G920" s="2" t="s">
        <v>17</v>
      </c>
      <c r="H920" s="2">
        <v>18</v>
      </c>
      <c r="I920" s="4">
        <v>183.06</v>
      </c>
      <c r="J920" s="3">
        <v>45811</v>
      </c>
      <c r="K920">
        <f t="shared" si="14"/>
        <v>3295.08</v>
      </c>
      <c r="L920" t="str">
        <f>INDEX(Raw_Shipments!L920:L3348,MATCH(A920,Raw_Shipments!B920:B3348))</f>
        <v>No</v>
      </c>
    </row>
    <row r="921" spans="1:12" x14ac:dyDescent="0.3">
      <c r="A921" s="5" t="s">
        <v>1070</v>
      </c>
      <c r="B921" s="6">
        <v>45802</v>
      </c>
      <c r="C921" s="5" t="s">
        <v>312</v>
      </c>
      <c r="D921" s="5" t="s">
        <v>14</v>
      </c>
      <c r="E921" s="5" t="s">
        <v>20</v>
      </c>
      <c r="F921" s="5" t="s">
        <v>21</v>
      </c>
      <c r="G921" s="5" t="s">
        <v>22</v>
      </c>
      <c r="H921" s="5">
        <v>17</v>
      </c>
      <c r="I921" s="7">
        <v>2108.56</v>
      </c>
      <c r="J921" s="6">
        <v>45809</v>
      </c>
      <c r="K921">
        <f t="shared" si="14"/>
        <v>35845.519999999997</v>
      </c>
      <c r="L921" t="str">
        <f>INDEX(Raw_Shipments!L921:L3349,MATCH(A921,Raw_Shipments!B921:B3349))</f>
        <v>No</v>
      </c>
    </row>
    <row r="922" spans="1:12" x14ac:dyDescent="0.3">
      <c r="A922" s="2" t="s">
        <v>1071</v>
      </c>
      <c r="B922" s="3">
        <v>45802</v>
      </c>
      <c r="C922" s="2" t="s">
        <v>198</v>
      </c>
      <c r="D922" s="2" t="s">
        <v>30</v>
      </c>
      <c r="E922" s="2" t="s">
        <v>36</v>
      </c>
      <c r="F922" s="2" t="s">
        <v>37</v>
      </c>
      <c r="G922" s="2" t="s">
        <v>33</v>
      </c>
      <c r="H922" s="2">
        <v>64</v>
      </c>
      <c r="I922" s="4">
        <v>1064.79</v>
      </c>
      <c r="J922" s="3">
        <v>45806</v>
      </c>
      <c r="K922">
        <f t="shared" si="14"/>
        <v>68146.559999999998</v>
      </c>
      <c r="L922" t="str">
        <f>INDEX(Raw_Shipments!L922:L3350,MATCH(A922,Raw_Shipments!B922:B3350))</f>
        <v>No</v>
      </c>
    </row>
    <row r="923" spans="1:12" x14ac:dyDescent="0.3">
      <c r="A923" s="5" t="s">
        <v>1072</v>
      </c>
      <c r="B923" s="6">
        <v>45802</v>
      </c>
      <c r="C923" s="5" t="s">
        <v>156</v>
      </c>
      <c r="D923" s="5" t="s">
        <v>25</v>
      </c>
      <c r="E923" s="5" t="s">
        <v>40</v>
      </c>
      <c r="F923" s="5" t="s">
        <v>41</v>
      </c>
      <c r="G923" s="5" t="s">
        <v>42</v>
      </c>
      <c r="H923" s="5">
        <v>22</v>
      </c>
      <c r="I923" s="7">
        <v>2445.11</v>
      </c>
      <c r="J923" s="6">
        <v>45812</v>
      </c>
      <c r="K923">
        <f t="shared" si="14"/>
        <v>53792.420000000006</v>
      </c>
      <c r="L923" t="str">
        <f>INDEX(Raw_Shipments!L923:L3351,MATCH(A923,Raw_Shipments!B923:B3351))</f>
        <v>No</v>
      </c>
    </row>
    <row r="924" spans="1:12" x14ac:dyDescent="0.3">
      <c r="A924" s="2" t="s">
        <v>1073</v>
      </c>
      <c r="B924" s="3">
        <v>45802</v>
      </c>
      <c r="C924" s="2" t="s">
        <v>128</v>
      </c>
      <c r="D924" s="2" t="s">
        <v>30</v>
      </c>
      <c r="E924" s="2" t="s">
        <v>46</v>
      </c>
      <c r="F924" s="2" t="s">
        <v>47</v>
      </c>
      <c r="G924" s="2" t="s">
        <v>42</v>
      </c>
      <c r="H924" s="2">
        <v>2</v>
      </c>
      <c r="I924" s="4">
        <v>1833.14</v>
      </c>
      <c r="J924" s="3">
        <v>45808</v>
      </c>
      <c r="K924">
        <f t="shared" si="14"/>
        <v>3666.28</v>
      </c>
      <c r="L924" t="str">
        <f>INDEX(Raw_Shipments!L924:L3352,MATCH(A924,Raw_Shipments!B924:B3352))</f>
        <v>No</v>
      </c>
    </row>
    <row r="925" spans="1:12" x14ac:dyDescent="0.3">
      <c r="A925" s="5" t="s">
        <v>1074</v>
      </c>
      <c r="B925" s="6">
        <v>45803</v>
      </c>
      <c r="C925" s="5" t="s">
        <v>260</v>
      </c>
      <c r="D925" s="5" t="s">
        <v>45</v>
      </c>
      <c r="E925" s="5" t="s">
        <v>62</v>
      </c>
      <c r="F925" s="5" t="s">
        <v>63</v>
      </c>
      <c r="G925" s="5" t="s">
        <v>55</v>
      </c>
      <c r="H925" s="5">
        <v>46</v>
      </c>
      <c r="I925" s="7">
        <v>2555.2199999999998</v>
      </c>
      <c r="J925" s="6">
        <v>45806</v>
      </c>
      <c r="K925">
        <f t="shared" si="14"/>
        <v>117540.12</v>
      </c>
      <c r="L925" t="str">
        <f>INDEX(Raw_Shipments!L925:L3353,MATCH(A925,Raw_Shipments!B925:B3353))</f>
        <v>No</v>
      </c>
    </row>
    <row r="926" spans="1:12" x14ac:dyDescent="0.3">
      <c r="A926" s="2" t="s">
        <v>1075</v>
      </c>
      <c r="B926" s="3">
        <v>45803</v>
      </c>
      <c r="C926" s="2" t="s">
        <v>545</v>
      </c>
      <c r="D926" s="2" t="s">
        <v>30</v>
      </c>
      <c r="E926" s="2" t="s">
        <v>66</v>
      </c>
      <c r="F926" s="2" t="s">
        <v>67</v>
      </c>
      <c r="G926" s="2" t="s">
        <v>17</v>
      </c>
      <c r="H926" s="2">
        <v>6</v>
      </c>
      <c r="I926" s="4">
        <v>850.8</v>
      </c>
      <c r="J926" s="3">
        <v>45806</v>
      </c>
      <c r="K926">
        <f t="shared" si="14"/>
        <v>5104.7999999999993</v>
      </c>
      <c r="L926" t="str">
        <f>INDEX(Raw_Shipments!L926:L3354,MATCH(A926,Raw_Shipments!B926:B3354))</f>
        <v>No</v>
      </c>
    </row>
    <row r="927" spans="1:12" x14ac:dyDescent="0.3">
      <c r="A927" s="5" t="s">
        <v>1076</v>
      </c>
      <c r="B927" s="6">
        <v>45803</v>
      </c>
      <c r="C927" s="5" t="s">
        <v>363</v>
      </c>
      <c r="D927" s="5" t="s">
        <v>30</v>
      </c>
      <c r="E927" s="5" t="s">
        <v>26</v>
      </c>
      <c r="F927" s="5" t="s">
        <v>27</v>
      </c>
      <c r="G927" s="5" t="s">
        <v>22</v>
      </c>
      <c r="H927" s="5">
        <v>21</v>
      </c>
      <c r="I927" s="7">
        <v>1646.8</v>
      </c>
      <c r="J927" s="6">
        <v>45806</v>
      </c>
      <c r="K927">
        <f t="shared" si="14"/>
        <v>34582.799999999996</v>
      </c>
      <c r="L927" t="str">
        <f>INDEX(Raw_Shipments!L927:L3355,MATCH(A927,Raw_Shipments!B927:B3355))</f>
        <v>No</v>
      </c>
    </row>
    <row r="928" spans="1:12" x14ac:dyDescent="0.3">
      <c r="A928" s="2" t="s">
        <v>1077</v>
      </c>
      <c r="B928" s="3">
        <v>45803</v>
      </c>
      <c r="C928" s="2" t="s">
        <v>19</v>
      </c>
      <c r="D928" s="2" t="s">
        <v>30</v>
      </c>
      <c r="E928" s="2" t="s">
        <v>36</v>
      </c>
      <c r="F928" s="2" t="s">
        <v>37</v>
      </c>
      <c r="G928" s="2" t="s">
        <v>33</v>
      </c>
      <c r="H928" s="2">
        <v>33</v>
      </c>
      <c r="I928" s="4">
        <v>1064.79</v>
      </c>
      <c r="J928" s="3">
        <v>45807</v>
      </c>
      <c r="K928">
        <f t="shared" si="14"/>
        <v>35138.07</v>
      </c>
      <c r="L928" t="str">
        <f>INDEX(Raw_Shipments!L928:L3356,MATCH(A928,Raw_Shipments!B928:B3356))</f>
        <v>No</v>
      </c>
    </row>
    <row r="929" spans="1:12" x14ac:dyDescent="0.3">
      <c r="A929" s="5" t="s">
        <v>1078</v>
      </c>
      <c r="B929" s="6">
        <v>45803</v>
      </c>
      <c r="C929" s="5" t="s">
        <v>191</v>
      </c>
      <c r="D929" s="5" t="s">
        <v>45</v>
      </c>
      <c r="E929" s="5" t="s">
        <v>40</v>
      </c>
      <c r="F929" s="5" t="s">
        <v>41</v>
      </c>
      <c r="G929" s="5" t="s">
        <v>42</v>
      </c>
      <c r="H929" s="5">
        <v>38</v>
      </c>
      <c r="I929" s="7">
        <v>2445.11</v>
      </c>
      <c r="J929" s="6">
        <v>45813</v>
      </c>
      <c r="K929">
        <f t="shared" si="14"/>
        <v>92914.180000000008</v>
      </c>
      <c r="L929" t="str">
        <f>INDEX(Raw_Shipments!L929:L3357,MATCH(A929,Raw_Shipments!B929:B3357))</f>
        <v>No</v>
      </c>
    </row>
    <row r="930" spans="1:12" x14ac:dyDescent="0.3">
      <c r="A930" s="2" t="s">
        <v>1079</v>
      </c>
      <c r="B930" s="3">
        <v>45804</v>
      </c>
      <c r="C930" s="2" t="s">
        <v>447</v>
      </c>
      <c r="D930" s="2" t="s">
        <v>30</v>
      </c>
      <c r="E930" s="2" t="s">
        <v>53</v>
      </c>
      <c r="F930" s="2" t="s">
        <v>54</v>
      </c>
      <c r="G930" s="2" t="s">
        <v>55</v>
      </c>
      <c r="H930" s="2">
        <v>31</v>
      </c>
      <c r="I930" s="4">
        <v>2055.9</v>
      </c>
      <c r="J930" s="3">
        <v>45812</v>
      </c>
      <c r="K930">
        <f t="shared" si="14"/>
        <v>63732.9</v>
      </c>
      <c r="L930" t="str">
        <f>INDEX(Raw_Shipments!L930:L3358,MATCH(A930,Raw_Shipments!B930:B3358))</f>
        <v>No</v>
      </c>
    </row>
    <row r="931" spans="1:12" x14ac:dyDescent="0.3">
      <c r="A931" s="5" t="s">
        <v>1080</v>
      </c>
      <c r="B931" s="6">
        <v>45804</v>
      </c>
      <c r="C931" s="5" t="s">
        <v>227</v>
      </c>
      <c r="D931" s="5" t="s">
        <v>25</v>
      </c>
      <c r="E931" s="5" t="s">
        <v>62</v>
      </c>
      <c r="F931" s="5" t="s">
        <v>63</v>
      </c>
      <c r="G931" s="5" t="s">
        <v>55</v>
      </c>
      <c r="H931" s="5">
        <v>28</v>
      </c>
      <c r="I931" s="7">
        <v>2555.2199999999998</v>
      </c>
      <c r="J931" s="6">
        <v>45808</v>
      </c>
      <c r="K931">
        <f t="shared" si="14"/>
        <v>71546.159999999989</v>
      </c>
      <c r="L931" t="str">
        <f>INDEX(Raw_Shipments!L931:L3359,MATCH(A931,Raw_Shipments!B931:B3359))</f>
        <v>No</v>
      </c>
    </row>
    <row r="932" spans="1:12" x14ac:dyDescent="0.3">
      <c r="A932" s="2" t="s">
        <v>1081</v>
      </c>
      <c r="B932" s="3">
        <v>45804</v>
      </c>
      <c r="C932" s="2" t="s">
        <v>279</v>
      </c>
      <c r="D932" s="2" t="s">
        <v>45</v>
      </c>
      <c r="E932" s="2" t="s">
        <v>97</v>
      </c>
      <c r="F932" s="2" t="s">
        <v>98</v>
      </c>
      <c r="G932" s="2" t="s">
        <v>17</v>
      </c>
      <c r="H932" s="2">
        <v>27</v>
      </c>
      <c r="I932" s="4">
        <v>1110.6500000000001</v>
      </c>
      <c r="J932" s="3">
        <v>45810</v>
      </c>
      <c r="K932">
        <f t="shared" si="14"/>
        <v>29987.550000000003</v>
      </c>
      <c r="L932" t="str">
        <f>INDEX(Raw_Shipments!L932:L3360,MATCH(A932,Raw_Shipments!B932:B3360))</f>
        <v>No</v>
      </c>
    </row>
    <row r="933" spans="1:12" x14ac:dyDescent="0.3">
      <c r="A933" s="5" t="s">
        <v>1082</v>
      </c>
      <c r="B933" s="6">
        <v>45804</v>
      </c>
      <c r="C933" s="5" t="s">
        <v>418</v>
      </c>
      <c r="D933" s="5" t="s">
        <v>25</v>
      </c>
      <c r="E933" s="5" t="s">
        <v>20</v>
      </c>
      <c r="F933" s="5" t="s">
        <v>21</v>
      </c>
      <c r="G933" s="5" t="s">
        <v>22</v>
      </c>
      <c r="H933" s="5">
        <v>6</v>
      </c>
      <c r="I933" s="7">
        <v>2108.56</v>
      </c>
      <c r="J933" s="6">
        <v>45807</v>
      </c>
      <c r="K933">
        <f t="shared" si="14"/>
        <v>12651.36</v>
      </c>
      <c r="L933" t="str">
        <f>INDEX(Raw_Shipments!L933:L3361,MATCH(A933,Raw_Shipments!B933:B3361))</f>
        <v>No</v>
      </c>
    </row>
    <row r="934" spans="1:12" x14ac:dyDescent="0.3">
      <c r="A934" s="2" t="s">
        <v>1083</v>
      </c>
      <c r="B934" s="3">
        <v>45804</v>
      </c>
      <c r="C934" s="2" t="s">
        <v>356</v>
      </c>
      <c r="D934" s="2" t="s">
        <v>14</v>
      </c>
      <c r="E934" s="2" t="s">
        <v>26</v>
      </c>
      <c r="F934" s="2" t="s">
        <v>27</v>
      </c>
      <c r="G934" s="2" t="s">
        <v>22</v>
      </c>
      <c r="H934" s="2">
        <v>13</v>
      </c>
      <c r="I934" s="4">
        <v>1646.8</v>
      </c>
      <c r="J934" s="3">
        <v>45812</v>
      </c>
      <c r="K934">
        <f t="shared" si="14"/>
        <v>21408.399999999998</v>
      </c>
      <c r="L934" t="str">
        <f>INDEX(Raw_Shipments!L934:L3362,MATCH(A934,Raw_Shipments!B934:B3362))</f>
        <v>Yes</v>
      </c>
    </row>
    <row r="935" spans="1:12" x14ac:dyDescent="0.3">
      <c r="A935" s="5" t="s">
        <v>1084</v>
      </c>
      <c r="B935" s="6">
        <v>45804</v>
      </c>
      <c r="C935" s="5" t="s">
        <v>262</v>
      </c>
      <c r="D935" s="5" t="s">
        <v>45</v>
      </c>
      <c r="E935" s="5" t="s">
        <v>46</v>
      </c>
      <c r="F935" s="5" t="s">
        <v>47</v>
      </c>
      <c r="G935" s="5" t="s">
        <v>42</v>
      </c>
      <c r="H935" s="5">
        <v>8</v>
      </c>
      <c r="I935" s="7">
        <v>1833.14</v>
      </c>
      <c r="J935" s="6">
        <v>45812</v>
      </c>
      <c r="K935">
        <f t="shared" si="14"/>
        <v>14665.12</v>
      </c>
      <c r="L935" t="str">
        <f>INDEX(Raw_Shipments!L935:L3363,MATCH(A935,Raw_Shipments!B935:B3363))</f>
        <v>No</v>
      </c>
    </row>
    <row r="936" spans="1:12" x14ac:dyDescent="0.3">
      <c r="A936" s="2" t="s">
        <v>1085</v>
      </c>
      <c r="B936" s="3">
        <v>45805</v>
      </c>
      <c r="C936" s="2" t="s">
        <v>29</v>
      </c>
      <c r="D936" s="2" t="s">
        <v>45</v>
      </c>
      <c r="E936" s="2" t="s">
        <v>20</v>
      </c>
      <c r="F936" s="2" t="s">
        <v>21</v>
      </c>
      <c r="G936" s="2" t="s">
        <v>22</v>
      </c>
      <c r="H936" s="2">
        <v>18</v>
      </c>
      <c r="I936" s="4">
        <v>2108.56</v>
      </c>
      <c r="J936" s="3">
        <v>45814</v>
      </c>
      <c r="K936">
        <f t="shared" si="14"/>
        <v>37954.080000000002</v>
      </c>
      <c r="L936" t="str">
        <f>INDEX(Raw_Shipments!L936:L3364,MATCH(A936,Raw_Shipments!B936:B3364))</f>
        <v>No</v>
      </c>
    </row>
    <row r="937" spans="1:12" x14ac:dyDescent="0.3">
      <c r="A937" s="5" t="s">
        <v>1086</v>
      </c>
      <c r="B937" s="6">
        <v>45805</v>
      </c>
      <c r="C937" s="5" t="s">
        <v>175</v>
      </c>
      <c r="D937" s="5" t="s">
        <v>30</v>
      </c>
      <c r="E937" s="5" t="s">
        <v>119</v>
      </c>
      <c r="F937" s="5" t="s">
        <v>120</v>
      </c>
      <c r="G937" s="5" t="s">
        <v>22</v>
      </c>
      <c r="H937" s="5">
        <v>30</v>
      </c>
      <c r="I937" s="7">
        <v>912.26</v>
      </c>
      <c r="J937" s="6">
        <v>45813</v>
      </c>
      <c r="K937">
        <f t="shared" si="14"/>
        <v>27367.8</v>
      </c>
      <c r="L937" t="str">
        <f>INDEX(Raw_Shipments!L937:L3365,MATCH(A937,Raw_Shipments!B937:B3365))</f>
        <v>No</v>
      </c>
    </row>
    <row r="938" spans="1:12" x14ac:dyDescent="0.3">
      <c r="A938" s="2" t="s">
        <v>1087</v>
      </c>
      <c r="B938" s="3">
        <v>45806</v>
      </c>
      <c r="C938" s="2" t="s">
        <v>213</v>
      </c>
      <c r="D938" s="2" t="s">
        <v>30</v>
      </c>
      <c r="E938" s="2" t="s">
        <v>53</v>
      </c>
      <c r="F938" s="2" t="s">
        <v>54</v>
      </c>
      <c r="G938" s="2" t="s">
        <v>55</v>
      </c>
      <c r="H938" s="2">
        <v>25</v>
      </c>
      <c r="I938" s="4">
        <v>2055.9</v>
      </c>
      <c r="J938" s="3">
        <v>45810</v>
      </c>
      <c r="K938">
        <f t="shared" si="14"/>
        <v>51397.5</v>
      </c>
      <c r="L938" t="str">
        <f>INDEX(Raw_Shipments!L938:L3366,MATCH(A938,Raw_Shipments!B938:B3366))</f>
        <v>No</v>
      </c>
    </row>
    <row r="939" spans="1:12" x14ac:dyDescent="0.3">
      <c r="A939" s="5" t="s">
        <v>1088</v>
      </c>
      <c r="B939" s="6">
        <v>45806</v>
      </c>
      <c r="C939" s="5" t="s">
        <v>107</v>
      </c>
      <c r="D939" s="5" t="s">
        <v>25</v>
      </c>
      <c r="E939" s="5" t="s">
        <v>58</v>
      </c>
      <c r="F939" s="5" t="s">
        <v>59</v>
      </c>
      <c r="G939" s="5" t="s">
        <v>55</v>
      </c>
      <c r="H939" s="5">
        <v>9</v>
      </c>
      <c r="I939" s="7">
        <v>1695.1</v>
      </c>
      <c r="J939" s="6">
        <v>45815</v>
      </c>
      <c r="K939">
        <f t="shared" si="14"/>
        <v>15255.9</v>
      </c>
      <c r="L939" t="str">
        <f>INDEX(Raw_Shipments!L939:L3367,MATCH(A939,Raw_Shipments!B939:B3367))</f>
        <v>No</v>
      </c>
    </row>
    <row r="940" spans="1:12" x14ac:dyDescent="0.3">
      <c r="A940" s="2" t="s">
        <v>1089</v>
      </c>
      <c r="B940" s="3">
        <v>45806</v>
      </c>
      <c r="C940" s="2" t="s">
        <v>337</v>
      </c>
      <c r="D940" s="2" t="s">
        <v>14</v>
      </c>
      <c r="E940" s="2" t="s">
        <v>66</v>
      </c>
      <c r="F940" s="2" t="s">
        <v>67</v>
      </c>
      <c r="G940" s="2" t="s">
        <v>17</v>
      </c>
      <c r="H940" s="2">
        <v>15</v>
      </c>
      <c r="I940" s="4">
        <v>850.8</v>
      </c>
      <c r="J940" s="3">
        <v>45811</v>
      </c>
      <c r="K940">
        <f t="shared" si="14"/>
        <v>12762</v>
      </c>
      <c r="L940" t="str">
        <f>INDEX(Raw_Shipments!L940:L3368,MATCH(A940,Raw_Shipments!B940:B3368))</f>
        <v>No</v>
      </c>
    </row>
    <row r="941" spans="1:12" x14ac:dyDescent="0.3">
      <c r="A941" s="5" t="s">
        <v>1090</v>
      </c>
      <c r="B941" s="6">
        <v>45806</v>
      </c>
      <c r="C941" s="5" t="s">
        <v>220</v>
      </c>
      <c r="D941" s="5" t="s">
        <v>25</v>
      </c>
      <c r="E941" s="5" t="s">
        <v>119</v>
      </c>
      <c r="F941" s="5" t="s">
        <v>120</v>
      </c>
      <c r="G941" s="5" t="s">
        <v>22</v>
      </c>
      <c r="H941" s="5">
        <v>46</v>
      </c>
      <c r="I941" s="7">
        <v>912.26</v>
      </c>
      <c r="J941" s="6">
        <v>45811</v>
      </c>
      <c r="K941">
        <f t="shared" si="14"/>
        <v>41963.96</v>
      </c>
      <c r="L941" t="str">
        <f>INDEX(Raw_Shipments!L941:L3369,MATCH(A941,Raw_Shipments!B941:B3369))</f>
        <v>No</v>
      </c>
    </row>
    <row r="942" spans="1:12" x14ac:dyDescent="0.3">
      <c r="A942" s="2" t="s">
        <v>1091</v>
      </c>
      <c r="B942" s="3">
        <v>45806</v>
      </c>
      <c r="C942" s="2" t="s">
        <v>222</v>
      </c>
      <c r="D942" s="2" t="s">
        <v>45</v>
      </c>
      <c r="E942" s="2" t="s">
        <v>26</v>
      </c>
      <c r="F942" s="2" t="s">
        <v>27</v>
      </c>
      <c r="G942" s="2" t="s">
        <v>22</v>
      </c>
      <c r="H942" s="2">
        <v>19</v>
      </c>
      <c r="I942" s="4">
        <v>1646.8</v>
      </c>
      <c r="J942" s="3">
        <v>45812</v>
      </c>
      <c r="K942">
        <f t="shared" si="14"/>
        <v>31289.200000000001</v>
      </c>
      <c r="L942" t="str">
        <f>INDEX(Raw_Shipments!L942:L3370,MATCH(A942,Raw_Shipments!B942:B3370))</f>
        <v>No</v>
      </c>
    </row>
    <row r="943" spans="1:12" x14ac:dyDescent="0.3">
      <c r="A943" s="5" t="s">
        <v>1092</v>
      </c>
      <c r="B943" s="6">
        <v>45806</v>
      </c>
      <c r="C943" s="5" t="s">
        <v>198</v>
      </c>
      <c r="D943" s="5" t="s">
        <v>25</v>
      </c>
      <c r="E943" s="5" t="s">
        <v>36</v>
      </c>
      <c r="F943" s="5" t="s">
        <v>37</v>
      </c>
      <c r="G943" s="5" t="s">
        <v>33</v>
      </c>
      <c r="H943" s="5">
        <v>36</v>
      </c>
      <c r="I943" s="7">
        <v>1064.79</v>
      </c>
      <c r="J943" s="6">
        <v>45814</v>
      </c>
      <c r="K943">
        <f t="shared" si="14"/>
        <v>38332.44</v>
      </c>
      <c r="L943" t="str">
        <f>INDEX(Raw_Shipments!L943:L3371,MATCH(A943,Raw_Shipments!B943:B3371))</f>
        <v>Yes</v>
      </c>
    </row>
    <row r="944" spans="1:12" x14ac:dyDescent="0.3">
      <c r="A944" s="2" t="s">
        <v>1093</v>
      </c>
      <c r="B944" s="3">
        <v>45807</v>
      </c>
      <c r="C944" s="2" t="s">
        <v>69</v>
      </c>
      <c r="D944" s="2" t="s">
        <v>45</v>
      </c>
      <c r="E944" s="2" t="s">
        <v>15</v>
      </c>
      <c r="F944" s="2" t="s">
        <v>16</v>
      </c>
      <c r="G944" s="2" t="s">
        <v>17</v>
      </c>
      <c r="H944" s="2">
        <v>14</v>
      </c>
      <c r="I944" s="4">
        <v>183.06</v>
      </c>
      <c r="J944" s="3">
        <v>45815</v>
      </c>
      <c r="K944">
        <f t="shared" si="14"/>
        <v>2562.84</v>
      </c>
      <c r="L944" t="str">
        <f>INDEX(Raw_Shipments!L944:L3372,MATCH(A944,Raw_Shipments!B944:B3372))</f>
        <v>No</v>
      </c>
    </row>
    <row r="945" spans="1:12" x14ac:dyDescent="0.3">
      <c r="A945" s="5" t="s">
        <v>1094</v>
      </c>
      <c r="B945" s="6">
        <v>45807</v>
      </c>
      <c r="C945" s="5" t="s">
        <v>79</v>
      </c>
      <c r="D945" s="5" t="s">
        <v>14</v>
      </c>
      <c r="E945" s="5" t="s">
        <v>20</v>
      </c>
      <c r="F945" s="5" t="s">
        <v>21</v>
      </c>
      <c r="G945" s="5" t="s">
        <v>22</v>
      </c>
      <c r="H945" s="5">
        <v>10</v>
      </c>
      <c r="I945" s="7">
        <v>2108.56</v>
      </c>
      <c r="J945" s="6">
        <v>45814</v>
      </c>
      <c r="K945">
        <f t="shared" si="14"/>
        <v>21085.599999999999</v>
      </c>
      <c r="L945" t="str">
        <f>INDEX(Raw_Shipments!L945:L3373,MATCH(A945,Raw_Shipments!B945:B3373))</f>
        <v>No</v>
      </c>
    </row>
    <row r="946" spans="1:12" x14ac:dyDescent="0.3">
      <c r="A946" s="2" t="s">
        <v>1095</v>
      </c>
      <c r="B946" s="3">
        <v>45807</v>
      </c>
      <c r="C946" s="2" t="s">
        <v>172</v>
      </c>
      <c r="D946" s="2" t="s">
        <v>14</v>
      </c>
      <c r="E946" s="2" t="s">
        <v>26</v>
      </c>
      <c r="F946" s="2" t="s">
        <v>27</v>
      </c>
      <c r="G946" s="2" t="s">
        <v>22</v>
      </c>
      <c r="H946" s="2">
        <v>15</v>
      </c>
      <c r="I946" s="4">
        <v>1646.8</v>
      </c>
      <c r="J946" s="3">
        <v>45812</v>
      </c>
      <c r="K946">
        <f t="shared" si="14"/>
        <v>24702</v>
      </c>
      <c r="L946" t="str">
        <f>INDEX(Raw_Shipments!L946:L3374,MATCH(A946,Raw_Shipments!B946:B3374))</f>
        <v>Yes</v>
      </c>
    </row>
    <row r="947" spans="1:12" x14ac:dyDescent="0.3">
      <c r="A947" s="5" t="s">
        <v>1096</v>
      </c>
      <c r="B947" s="6">
        <v>45807</v>
      </c>
      <c r="C947" s="5" t="s">
        <v>104</v>
      </c>
      <c r="D947" s="5" t="s">
        <v>25</v>
      </c>
      <c r="E947" s="5" t="s">
        <v>31</v>
      </c>
      <c r="F947" s="5" t="s">
        <v>32</v>
      </c>
      <c r="G947" s="5" t="s">
        <v>33</v>
      </c>
      <c r="H947" s="5">
        <v>36</v>
      </c>
      <c r="I947" s="7">
        <v>689</v>
      </c>
      <c r="J947" s="6">
        <v>45811</v>
      </c>
      <c r="K947">
        <f t="shared" si="14"/>
        <v>24804</v>
      </c>
      <c r="L947" t="str">
        <f>INDEX(Raw_Shipments!L947:L3375,MATCH(A947,Raw_Shipments!B947:B3375))</f>
        <v>No</v>
      </c>
    </row>
    <row r="948" spans="1:12" x14ac:dyDescent="0.3">
      <c r="A948" s="2" t="s">
        <v>1097</v>
      </c>
      <c r="B948" s="3">
        <v>45807</v>
      </c>
      <c r="C948" s="2" t="s">
        <v>109</v>
      </c>
      <c r="D948" s="2" t="s">
        <v>25</v>
      </c>
      <c r="E948" s="2" t="s">
        <v>86</v>
      </c>
      <c r="F948" s="2" t="s">
        <v>87</v>
      </c>
      <c r="G948" s="2" t="s">
        <v>33</v>
      </c>
      <c r="H948" s="2">
        <v>22</v>
      </c>
      <c r="I948" s="4">
        <v>815.88</v>
      </c>
      <c r="J948" s="3">
        <v>45810</v>
      </c>
      <c r="K948">
        <f t="shared" si="14"/>
        <v>17949.36</v>
      </c>
      <c r="L948" t="str">
        <f>INDEX(Raw_Shipments!L948:L3376,MATCH(A948,Raw_Shipments!B948:B3376))</f>
        <v>No</v>
      </c>
    </row>
    <row r="949" spans="1:12" x14ac:dyDescent="0.3">
      <c r="A949" s="5" t="s">
        <v>1098</v>
      </c>
      <c r="B949" s="6">
        <v>45807</v>
      </c>
      <c r="C949" s="5" t="s">
        <v>234</v>
      </c>
      <c r="D949" s="5" t="s">
        <v>14</v>
      </c>
      <c r="E949" s="5" t="s">
        <v>46</v>
      </c>
      <c r="F949" s="5" t="s">
        <v>47</v>
      </c>
      <c r="G949" s="5" t="s">
        <v>42</v>
      </c>
      <c r="H949" s="5">
        <v>7</v>
      </c>
      <c r="I949" s="7">
        <v>1833.14</v>
      </c>
      <c r="J949" s="6">
        <v>45817</v>
      </c>
      <c r="K949">
        <f t="shared" si="14"/>
        <v>12831.980000000001</v>
      </c>
      <c r="L949" t="str">
        <f>INDEX(Raw_Shipments!L949:L3377,MATCH(A949,Raw_Shipments!B949:B3377))</f>
        <v>No</v>
      </c>
    </row>
    <row r="950" spans="1:12" x14ac:dyDescent="0.3">
      <c r="A950" s="2" t="s">
        <v>1099</v>
      </c>
      <c r="B950" s="3">
        <v>45808</v>
      </c>
      <c r="C950" s="2" t="s">
        <v>79</v>
      </c>
      <c r="D950" s="2" t="s">
        <v>25</v>
      </c>
      <c r="E950" s="2" t="s">
        <v>53</v>
      </c>
      <c r="F950" s="2" t="s">
        <v>54</v>
      </c>
      <c r="G950" s="2" t="s">
        <v>55</v>
      </c>
      <c r="H950" s="2">
        <v>60</v>
      </c>
      <c r="I950" s="4">
        <v>2055.9</v>
      </c>
      <c r="J950" s="3">
        <v>45813</v>
      </c>
      <c r="K950">
        <f t="shared" si="14"/>
        <v>123354</v>
      </c>
      <c r="L950" t="str">
        <f>INDEX(Raw_Shipments!L950:L3378,MATCH(A950,Raw_Shipments!B950:B3378))</f>
        <v>No</v>
      </c>
    </row>
    <row r="951" spans="1:12" x14ac:dyDescent="0.3">
      <c r="A951" s="5" t="s">
        <v>1100</v>
      </c>
      <c r="B951" s="6">
        <v>45808</v>
      </c>
      <c r="C951" s="5" t="s">
        <v>117</v>
      </c>
      <c r="D951" s="5" t="s">
        <v>25</v>
      </c>
      <c r="E951" s="5" t="s">
        <v>58</v>
      </c>
      <c r="F951" s="5" t="s">
        <v>59</v>
      </c>
      <c r="G951" s="5" t="s">
        <v>55</v>
      </c>
      <c r="H951" s="5">
        <v>19</v>
      </c>
      <c r="I951" s="7">
        <v>1695.1</v>
      </c>
      <c r="J951" s="6">
        <v>45816</v>
      </c>
      <c r="K951">
        <f t="shared" si="14"/>
        <v>32206.899999999998</v>
      </c>
      <c r="L951" t="str">
        <f>INDEX(Raw_Shipments!L951:L3379,MATCH(A951,Raw_Shipments!B951:B3379))</f>
        <v>No</v>
      </c>
    </row>
    <row r="952" spans="1:12" x14ac:dyDescent="0.3">
      <c r="A952" s="2" t="s">
        <v>1101</v>
      </c>
      <c r="B952" s="3">
        <v>45808</v>
      </c>
      <c r="C952" s="2" t="s">
        <v>195</v>
      </c>
      <c r="D952" s="2" t="s">
        <v>30</v>
      </c>
      <c r="E952" s="2" t="s">
        <v>66</v>
      </c>
      <c r="F952" s="2" t="s">
        <v>67</v>
      </c>
      <c r="G952" s="2" t="s">
        <v>17</v>
      </c>
      <c r="H952" s="2">
        <v>26</v>
      </c>
      <c r="I952" s="4">
        <v>850.8</v>
      </c>
      <c r="J952" s="3">
        <v>45813</v>
      </c>
      <c r="K952">
        <f t="shared" si="14"/>
        <v>22120.799999999999</v>
      </c>
      <c r="L952" t="str">
        <f>INDEX(Raw_Shipments!L952:L3380,MATCH(A952,Raw_Shipments!B952:B3380))</f>
        <v>No</v>
      </c>
    </row>
    <row r="953" spans="1:12" x14ac:dyDescent="0.3">
      <c r="A953" s="5" t="s">
        <v>1102</v>
      </c>
      <c r="B953" s="6">
        <v>45808</v>
      </c>
      <c r="C953" s="5" t="s">
        <v>272</v>
      </c>
      <c r="D953" s="5" t="s">
        <v>30</v>
      </c>
      <c r="E953" s="5" t="s">
        <v>97</v>
      </c>
      <c r="F953" s="5" t="s">
        <v>98</v>
      </c>
      <c r="G953" s="5" t="s">
        <v>17</v>
      </c>
      <c r="H953" s="5">
        <v>18</v>
      </c>
      <c r="I953" s="7">
        <v>1110.6500000000001</v>
      </c>
      <c r="J953" s="6">
        <v>45812</v>
      </c>
      <c r="K953">
        <f t="shared" si="14"/>
        <v>19991.7</v>
      </c>
      <c r="L953" t="str">
        <f>INDEX(Raw_Shipments!L953:L3381,MATCH(A953,Raw_Shipments!B953:B3381))</f>
        <v>No</v>
      </c>
    </row>
    <row r="954" spans="1:12" x14ac:dyDescent="0.3">
      <c r="A954" s="2" t="s">
        <v>1103</v>
      </c>
      <c r="B954" s="3">
        <v>45808</v>
      </c>
      <c r="C954" s="2" t="s">
        <v>75</v>
      </c>
      <c r="D954" s="2" t="s">
        <v>14</v>
      </c>
      <c r="E954" s="2" t="s">
        <v>20</v>
      </c>
      <c r="F954" s="2" t="s">
        <v>21</v>
      </c>
      <c r="G954" s="2" t="s">
        <v>22</v>
      </c>
      <c r="H954" s="2">
        <v>10</v>
      </c>
      <c r="I954" s="4">
        <v>2108.56</v>
      </c>
      <c r="J954" s="3">
        <v>45817</v>
      </c>
      <c r="K954">
        <f t="shared" si="14"/>
        <v>21085.599999999999</v>
      </c>
      <c r="L954" t="str">
        <f>INDEX(Raw_Shipments!L954:L3382,MATCH(A954,Raw_Shipments!B954:B3382))</f>
        <v>Yes</v>
      </c>
    </row>
    <row r="955" spans="1:12" x14ac:dyDescent="0.3">
      <c r="A955" s="5" t="s">
        <v>1104</v>
      </c>
      <c r="B955" s="6">
        <v>45808</v>
      </c>
      <c r="C955" s="5" t="s">
        <v>128</v>
      </c>
      <c r="D955" s="5" t="s">
        <v>45</v>
      </c>
      <c r="E955" s="5" t="s">
        <v>119</v>
      </c>
      <c r="F955" s="5" t="s">
        <v>120</v>
      </c>
      <c r="G955" s="5" t="s">
        <v>22</v>
      </c>
      <c r="H955" s="5">
        <v>36</v>
      </c>
      <c r="I955" s="7">
        <v>912.26</v>
      </c>
      <c r="J955" s="6">
        <v>45812</v>
      </c>
      <c r="K955">
        <f t="shared" si="14"/>
        <v>32841.360000000001</v>
      </c>
      <c r="L955" t="str">
        <f>INDEX(Raw_Shipments!L955:L3383,MATCH(A955,Raw_Shipments!B955:B3383))</f>
        <v>No</v>
      </c>
    </row>
    <row r="956" spans="1:12" x14ac:dyDescent="0.3">
      <c r="A956" s="2" t="s">
        <v>1105</v>
      </c>
      <c r="B956" s="3">
        <v>45808</v>
      </c>
      <c r="C956" s="2" t="s">
        <v>595</v>
      </c>
      <c r="D956" s="2" t="s">
        <v>45</v>
      </c>
      <c r="E956" s="2" t="s">
        <v>31</v>
      </c>
      <c r="F956" s="2" t="s">
        <v>32</v>
      </c>
      <c r="G956" s="2" t="s">
        <v>33</v>
      </c>
      <c r="H956" s="2">
        <v>15</v>
      </c>
      <c r="I956" s="4">
        <v>689</v>
      </c>
      <c r="J956" s="3">
        <v>45815</v>
      </c>
      <c r="K956">
        <f t="shared" si="14"/>
        <v>10335</v>
      </c>
      <c r="L956" t="str">
        <f>INDEX(Raw_Shipments!L956:L3384,MATCH(A956,Raw_Shipments!B956:B3384))</f>
        <v>Yes</v>
      </c>
    </row>
    <row r="957" spans="1:12" x14ac:dyDescent="0.3">
      <c r="A957" s="5" t="s">
        <v>1106</v>
      </c>
      <c r="B957" s="6">
        <v>45808</v>
      </c>
      <c r="C957" s="5" t="s">
        <v>44</v>
      </c>
      <c r="D957" s="5" t="s">
        <v>45</v>
      </c>
      <c r="E957" s="5" t="s">
        <v>36</v>
      </c>
      <c r="F957" s="5" t="s">
        <v>37</v>
      </c>
      <c r="G957" s="5" t="s">
        <v>33</v>
      </c>
      <c r="H957" s="5">
        <v>34</v>
      </c>
      <c r="I957" s="7">
        <v>1064.79</v>
      </c>
      <c r="J957" s="6">
        <v>45818</v>
      </c>
      <c r="K957">
        <f t="shared" si="14"/>
        <v>36202.86</v>
      </c>
      <c r="L957" t="str">
        <f>INDEX(Raw_Shipments!L957:L3385,MATCH(A957,Raw_Shipments!B957:B3385))</f>
        <v>No</v>
      </c>
    </row>
    <row r="958" spans="1:12" x14ac:dyDescent="0.3">
      <c r="A958" s="2" t="s">
        <v>1107</v>
      </c>
      <c r="B958" s="3">
        <v>45808</v>
      </c>
      <c r="C958" s="2" t="s">
        <v>109</v>
      </c>
      <c r="D958" s="2" t="s">
        <v>25</v>
      </c>
      <c r="E958" s="2" t="s">
        <v>40</v>
      </c>
      <c r="F958" s="2" t="s">
        <v>41</v>
      </c>
      <c r="G958" s="2" t="s">
        <v>42</v>
      </c>
      <c r="H958" s="2">
        <v>13</v>
      </c>
      <c r="I958" s="4">
        <v>2445.11</v>
      </c>
      <c r="J958" s="3">
        <v>45811</v>
      </c>
      <c r="K958">
        <f t="shared" si="14"/>
        <v>31786.43</v>
      </c>
      <c r="L958" t="str">
        <f>INDEX(Raw_Shipments!L958:L3386,MATCH(A958,Raw_Shipments!B958:B3386))</f>
        <v>No</v>
      </c>
    </row>
    <row r="959" spans="1:12" x14ac:dyDescent="0.3">
      <c r="A959" s="5" t="s">
        <v>1108</v>
      </c>
      <c r="B959" s="6">
        <v>45808</v>
      </c>
      <c r="C959" s="5" t="s">
        <v>83</v>
      </c>
      <c r="D959" s="5" t="s">
        <v>30</v>
      </c>
      <c r="E959" s="5" t="s">
        <v>46</v>
      </c>
      <c r="F959" s="5" t="s">
        <v>47</v>
      </c>
      <c r="G959" s="5" t="s">
        <v>42</v>
      </c>
      <c r="H959" s="5">
        <v>6</v>
      </c>
      <c r="I959" s="7">
        <v>1833.14</v>
      </c>
      <c r="J959" s="6">
        <v>45817</v>
      </c>
      <c r="K959">
        <f t="shared" si="14"/>
        <v>10998.84</v>
      </c>
      <c r="L959" t="str">
        <f>INDEX(Raw_Shipments!L959:L3387,MATCH(A959,Raw_Shipments!B959:B3387))</f>
        <v>No</v>
      </c>
    </row>
    <row r="960" spans="1:12" x14ac:dyDescent="0.3">
      <c r="A960" s="2" t="s">
        <v>1109</v>
      </c>
      <c r="B960" s="3">
        <v>45808</v>
      </c>
      <c r="C960" s="2" t="s">
        <v>178</v>
      </c>
      <c r="D960" s="2" t="s">
        <v>45</v>
      </c>
      <c r="E960" s="2" t="s">
        <v>50</v>
      </c>
      <c r="F960" s="2" t="s">
        <v>51</v>
      </c>
      <c r="G960" s="2" t="s">
        <v>42</v>
      </c>
      <c r="H960" s="2">
        <v>8</v>
      </c>
      <c r="I960" s="4">
        <v>1952.28</v>
      </c>
      <c r="J960" s="3">
        <v>45818</v>
      </c>
      <c r="K960">
        <f t="shared" si="14"/>
        <v>15618.24</v>
      </c>
      <c r="L960" t="str">
        <f>INDEX(Raw_Shipments!L960:L3388,MATCH(A960,Raw_Shipments!B960:B3388))</f>
        <v>No</v>
      </c>
    </row>
    <row r="961" spans="1:12" x14ac:dyDescent="0.3">
      <c r="A961" s="5" t="s">
        <v>1110</v>
      </c>
      <c r="B961" s="6">
        <v>45809</v>
      </c>
      <c r="C961" s="5" t="s">
        <v>442</v>
      </c>
      <c r="D961" s="5" t="s">
        <v>30</v>
      </c>
      <c r="E961" s="5" t="s">
        <v>53</v>
      </c>
      <c r="F961" s="5" t="s">
        <v>54</v>
      </c>
      <c r="G961" s="5" t="s">
        <v>55</v>
      </c>
      <c r="H961" s="5">
        <v>44</v>
      </c>
      <c r="I961" s="7">
        <v>2055.9</v>
      </c>
      <c r="J961" s="6">
        <v>45819</v>
      </c>
      <c r="K961">
        <f t="shared" si="14"/>
        <v>90459.6</v>
      </c>
      <c r="L961" t="str">
        <f>INDEX(Raw_Shipments!L961:L3389,MATCH(A961,Raw_Shipments!B961:B3389))</f>
        <v>No</v>
      </c>
    </row>
    <row r="962" spans="1:12" x14ac:dyDescent="0.3">
      <c r="A962" s="2" t="s">
        <v>1111</v>
      </c>
      <c r="B962" s="3">
        <v>45809</v>
      </c>
      <c r="C962" s="2" t="s">
        <v>272</v>
      </c>
      <c r="D962" s="2" t="s">
        <v>30</v>
      </c>
      <c r="E962" s="2" t="s">
        <v>62</v>
      </c>
      <c r="F962" s="2" t="s">
        <v>63</v>
      </c>
      <c r="G962" s="2" t="s">
        <v>55</v>
      </c>
      <c r="H962" s="2">
        <v>46</v>
      </c>
      <c r="I962" s="4">
        <v>2555.2199999999998</v>
      </c>
      <c r="J962" s="3">
        <v>45818</v>
      </c>
      <c r="K962">
        <f t="shared" si="14"/>
        <v>117540.12</v>
      </c>
      <c r="L962" t="str">
        <f>INDEX(Raw_Shipments!L962:L3390,MATCH(A962,Raw_Shipments!B962:B3390))</f>
        <v>No</v>
      </c>
    </row>
    <row r="963" spans="1:12" x14ac:dyDescent="0.3">
      <c r="A963" s="5" t="s">
        <v>1112</v>
      </c>
      <c r="B963" s="6">
        <v>45809</v>
      </c>
      <c r="C963" s="5" t="s">
        <v>135</v>
      </c>
      <c r="D963" s="5" t="s">
        <v>14</v>
      </c>
      <c r="E963" s="5" t="s">
        <v>66</v>
      </c>
      <c r="F963" s="5" t="s">
        <v>67</v>
      </c>
      <c r="G963" s="5" t="s">
        <v>17</v>
      </c>
      <c r="H963" s="5">
        <v>2</v>
      </c>
      <c r="I963" s="7">
        <v>850.8</v>
      </c>
      <c r="J963" s="6">
        <v>45813</v>
      </c>
      <c r="K963">
        <f t="shared" ref="K963:K1026" si="15">I963*H963</f>
        <v>1701.6</v>
      </c>
      <c r="L963" t="str">
        <f>INDEX(Raw_Shipments!L963:L3391,MATCH(A963,Raw_Shipments!B963:B3391))</f>
        <v>No</v>
      </c>
    </row>
    <row r="964" spans="1:12" x14ac:dyDescent="0.3">
      <c r="A964" s="2" t="s">
        <v>1113</v>
      </c>
      <c r="B964" s="3">
        <v>45809</v>
      </c>
      <c r="C964" s="2" t="s">
        <v>222</v>
      </c>
      <c r="D964" s="2" t="s">
        <v>30</v>
      </c>
      <c r="E964" s="2" t="s">
        <v>97</v>
      </c>
      <c r="F964" s="2" t="s">
        <v>98</v>
      </c>
      <c r="G964" s="2" t="s">
        <v>17</v>
      </c>
      <c r="H964" s="2">
        <v>39</v>
      </c>
      <c r="I964" s="4">
        <v>1110.6500000000001</v>
      </c>
      <c r="J964" s="3">
        <v>45817</v>
      </c>
      <c r="K964">
        <f t="shared" si="15"/>
        <v>43315.350000000006</v>
      </c>
      <c r="L964" t="str">
        <f>INDEX(Raw_Shipments!L964:L3392,MATCH(A964,Raw_Shipments!B964:B3392))</f>
        <v>No</v>
      </c>
    </row>
    <row r="965" spans="1:12" x14ac:dyDescent="0.3">
      <c r="A965" s="5" t="s">
        <v>1114</v>
      </c>
      <c r="B965" s="6">
        <v>45809</v>
      </c>
      <c r="C965" s="5" t="s">
        <v>144</v>
      </c>
      <c r="D965" s="5" t="s">
        <v>25</v>
      </c>
      <c r="E965" s="5" t="s">
        <v>15</v>
      </c>
      <c r="F965" s="5" t="s">
        <v>16</v>
      </c>
      <c r="G965" s="5" t="s">
        <v>17</v>
      </c>
      <c r="H965" s="5">
        <v>13</v>
      </c>
      <c r="I965" s="7">
        <v>183.06</v>
      </c>
      <c r="J965" s="6">
        <v>45818</v>
      </c>
      <c r="K965">
        <f t="shared" si="15"/>
        <v>2379.7800000000002</v>
      </c>
      <c r="L965" t="str">
        <f>INDEX(Raw_Shipments!L965:L3393,MATCH(A965,Raw_Shipments!B965:B3393))</f>
        <v>Yes</v>
      </c>
    </row>
    <row r="966" spans="1:12" x14ac:dyDescent="0.3">
      <c r="A966" s="2" t="s">
        <v>1115</v>
      </c>
      <c r="B966" s="3">
        <v>45809</v>
      </c>
      <c r="C966" s="2" t="s">
        <v>595</v>
      </c>
      <c r="D966" s="2" t="s">
        <v>14</v>
      </c>
      <c r="E966" s="2" t="s">
        <v>20</v>
      </c>
      <c r="F966" s="2" t="s">
        <v>21</v>
      </c>
      <c r="G966" s="2" t="s">
        <v>22</v>
      </c>
      <c r="H966" s="2">
        <v>7</v>
      </c>
      <c r="I966" s="4">
        <v>2108.56</v>
      </c>
      <c r="J966" s="3">
        <v>45814</v>
      </c>
      <c r="K966">
        <f t="shared" si="15"/>
        <v>14759.92</v>
      </c>
      <c r="L966" t="str">
        <f>INDEX(Raw_Shipments!L966:L3394,MATCH(A966,Raw_Shipments!B966:B3394))</f>
        <v>No</v>
      </c>
    </row>
    <row r="967" spans="1:12" x14ac:dyDescent="0.3">
      <c r="A967" s="5" t="s">
        <v>1116</v>
      </c>
      <c r="B967" s="6">
        <v>45809</v>
      </c>
      <c r="C967" s="5" t="s">
        <v>104</v>
      </c>
      <c r="D967" s="5" t="s">
        <v>25</v>
      </c>
      <c r="E967" s="5" t="s">
        <v>26</v>
      </c>
      <c r="F967" s="5" t="s">
        <v>27</v>
      </c>
      <c r="G967" s="5" t="s">
        <v>22</v>
      </c>
      <c r="H967" s="5">
        <v>16</v>
      </c>
      <c r="I967" s="7">
        <v>1646.8</v>
      </c>
      <c r="J967" s="6">
        <v>45819</v>
      </c>
      <c r="K967">
        <f t="shared" si="15"/>
        <v>26348.799999999999</v>
      </c>
      <c r="L967" t="str">
        <f>INDEX(Raw_Shipments!L967:L3395,MATCH(A967,Raw_Shipments!B967:B3395))</f>
        <v>No</v>
      </c>
    </row>
    <row r="968" spans="1:12" x14ac:dyDescent="0.3">
      <c r="A968" s="2" t="s">
        <v>1117</v>
      </c>
      <c r="B968" s="3">
        <v>45809</v>
      </c>
      <c r="C968" s="2" t="s">
        <v>125</v>
      </c>
      <c r="D968" s="2" t="s">
        <v>14</v>
      </c>
      <c r="E968" s="2" t="s">
        <v>36</v>
      </c>
      <c r="F968" s="2" t="s">
        <v>37</v>
      </c>
      <c r="G968" s="2" t="s">
        <v>33</v>
      </c>
      <c r="H968" s="2">
        <v>24</v>
      </c>
      <c r="I968" s="4">
        <v>1064.79</v>
      </c>
      <c r="J968" s="3">
        <v>45812</v>
      </c>
      <c r="K968">
        <f t="shared" si="15"/>
        <v>25554.959999999999</v>
      </c>
      <c r="L968" t="str">
        <f>INDEX(Raw_Shipments!L968:L3396,MATCH(A968,Raw_Shipments!B968:B3396))</f>
        <v>No</v>
      </c>
    </row>
    <row r="969" spans="1:12" x14ac:dyDescent="0.3">
      <c r="A969" s="5" t="s">
        <v>1118</v>
      </c>
      <c r="B969" s="6">
        <v>45809</v>
      </c>
      <c r="C969" s="5" t="s">
        <v>13</v>
      </c>
      <c r="D969" s="5" t="s">
        <v>25</v>
      </c>
      <c r="E969" s="5" t="s">
        <v>86</v>
      </c>
      <c r="F969" s="5" t="s">
        <v>87</v>
      </c>
      <c r="G969" s="5" t="s">
        <v>33</v>
      </c>
      <c r="H969" s="5">
        <v>22</v>
      </c>
      <c r="I969" s="7">
        <v>815.88</v>
      </c>
      <c r="J969" s="6">
        <v>45819</v>
      </c>
      <c r="K969">
        <f t="shared" si="15"/>
        <v>17949.36</v>
      </c>
      <c r="L969" t="str">
        <f>INDEX(Raw_Shipments!L969:L3397,MATCH(A969,Raw_Shipments!B969:B3397))</f>
        <v>Yes</v>
      </c>
    </row>
    <row r="970" spans="1:12" x14ac:dyDescent="0.3">
      <c r="A970" s="2" t="s">
        <v>1119</v>
      </c>
      <c r="B970" s="3">
        <v>45809</v>
      </c>
      <c r="C970" s="2" t="s">
        <v>154</v>
      </c>
      <c r="D970" s="2" t="s">
        <v>45</v>
      </c>
      <c r="E970" s="2" t="s">
        <v>40</v>
      </c>
      <c r="F970" s="2" t="s">
        <v>41</v>
      </c>
      <c r="G970" s="2" t="s">
        <v>42</v>
      </c>
      <c r="H970" s="2">
        <v>12</v>
      </c>
      <c r="I970" s="4">
        <v>2445.11</v>
      </c>
      <c r="J970" s="3">
        <v>45815</v>
      </c>
      <c r="K970">
        <f t="shared" si="15"/>
        <v>29341.32</v>
      </c>
      <c r="L970" t="str">
        <f>INDEX(Raw_Shipments!L970:L3398,MATCH(A970,Raw_Shipments!B970:B3398))</f>
        <v>No</v>
      </c>
    </row>
    <row r="971" spans="1:12" x14ac:dyDescent="0.3">
      <c r="A971" s="5" t="s">
        <v>1120</v>
      </c>
      <c r="B971" s="6">
        <v>45810</v>
      </c>
      <c r="C971" s="5" t="s">
        <v>195</v>
      </c>
      <c r="D971" s="5" t="s">
        <v>30</v>
      </c>
      <c r="E971" s="5" t="s">
        <v>62</v>
      </c>
      <c r="F971" s="5" t="s">
        <v>63</v>
      </c>
      <c r="G971" s="5" t="s">
        <v>55</v>
      </c>
      <c r="H971" s="5">
        <v>36</v>
      </c>
      <c r="I971" s="7">
        <v>2555.2199999999998</v>
      </c>
      <c r="J971" s="6">
        <v>45820</v>
      </c>
      <c r="K971">
        <f t="shared" si="15"/>
        <v>91987.92</v>
      </c>
      <c r="L971" t="str">
        <f>INDEX(Raw_Shipments!L971:L3399,MATCH(A971,Raw_Shipments!B971:B3399))</f>
        <v>No</v>
      </c>
    </row>
    <row r="972" spans="1:12" x14ac:dyDescent="0.3">
      <c r="A972" s="2" t="s">
        <v>1121</v>
      </c>
      <c r="B972" s="3">
        <v>45810</v>
      </c>
      <c r="C972" s="2" t="s">
        <v>96</v>
      </c>
      <c r="D972" s="2" t="s">
        <v>45</v>
      </c>
      <c r="E972" s="2" t="s">
        <v>119</v>
      </c>
      <c r="F972" s="2" t="s">
        <v>120</v>
      </c>
      <c r="G972" s="2" t="s">
        <v>22</v>
      </c>
      <c r="H972" s="2">
        <v>22</v>
      </c>
      <c r="I972" s="4">
        <v>912.26</v>
      </c>
      <c r="J972" s="3">
        <v>45817</v>
      </c>
      <c r="K972">
        <f t="shared" si="15"/>
        <v>20069.72</v>
      </c>
      <c r="L972" t="str">
        <f>INDEX(Raw_Shipments!L972:L3400,MATCH(A972,Raw_Shipments!B972:B3400))</f>
        <v>No</v>
      </c>
    </row>
    <row r="973" spans="1:12" x14ac:dyDescent="0.3">
      <c r="A973" s="5" t="s">
        <v>1122</v>
      </c>
      <c r="B973" s="6">
        <v>45810</v>
      </c>
      <c r="C973" s="5" t="s">
        <v>363</v>
      </c>
      <c r="D973" s="5" t="s">
        <v>14</v>
      </c>
      <c r="E973" s="5" t="s">
        <v>26</v>
      </c>
      <c r="F973" s="5" t="s">
        <v>27</v>
      </c>
      <c r="G973" s="5" t="s">
        <v>22</v>
      </c>
      <c r="H973" s="5">
        <v>19</v>
      </c>
      <c r="I973" s="7">
        <v>1646.8</v>
      </c>
      <c r="J973" s="6">
        <v>45820</v>
      </c>
      <c r="K973">
        <f t="shared" si="15"/>
        <v>31289.200000000001</v>
      </c>
      <c r="L973" t="str">
        <f>INDEX(Raw_Shipments!L973:L3401,MATCH(A973,Raw_Shipments!B973:B3401))</f>
        <v>No</v>
      </c>
    </row>
    <row r="974" spans="1:12" x14ac:dyDescent="0.3">
      <c r="A974" s="2" t="s">
        <v>1123</v>
      </c>
      <c r="B974" s="3">
        <v>45810</v>
      </c>
      <c r="C974" s="2" t="s">
        <v>141</v>
      </c>
      <c r="D974" s="2" t="s">
        <v>25</v>
      </c>
      <c r="E974" s="2" t="s">
        <v>31</v>
      </c>
      <c r="F974" s="2" t="s">
        <v>32</v>
      </c>
      <c r="G974" s="2" t="s">
        <v>33</v>
      </c>
      <c r="H974" s="2">
        <v>50</v>
      </c>
      <c r="I974" s="4">
        <v>689</v>
      </c>
      <c r="J974" s="3">
        <v>45818</v>
      </c>
      <c r="K974">
        <f t="shared" si="15"/>
        <v>34450</v>
      </c>
      <c r="L974" t="str">
        <f>INDEX(Raw_Shipments!L974:L3402,MATCH(A974,Raw_Shipments!B974:B3402))</f>
        <v>Yes</v>
      </c>
    </row>
    <row r="975" spans="1:12" x14ac:dyDescent="0.3">
      <c r="A975" s="5" t="s">
        <v>1124</v>
      </c>
      <c r="B975" s="6">
        <v>45810</v>
      </c>
      <c r="C975" s="5" t="s">
        <v>418</v>
      </c>
      <c r="D975" s="5" t="s">
        <v>14</v>
      </c>
      <c r="E975" s="5" t="s">
        <v>36</v>
      </c>
      <c r="F975" s="5" t="s">
        <v>37</v>
      </c>
      <c r="G975" s="5" t="s">
        <v>33</v>
      </c>
      <c r="H975" s="5">
        <v>42</v>
      </c>
      <c r="I975" s="7">
        <v>1064.79</v>
      </c>
      <c r="J975" s="6">
        <v>45814</v>
      </c>
      <c r="K975">
        <f t="shared" si="15"/>
        <v>44721.18</v>
      </c>
      <c r="L975" t="str">
        <f>INDEX(Raw_Shipments!L975:L3403,MATCH(A975,Raw_Shipments!B975:B3403))</f>
        <v>No</v>
      </c>
    </row>
    <row r="976" spans="1:12" x14ac:dyDescent="0.3">
      <c r="A976" s="2" t="s">
        <v>1125</v>
      </c>
      <c r="B976" s="3">
        <v>45810</v>
      </c>
      <c r="C976" s="2" t="s">
        <v>185</v>
      </c>
      <c r="D976" s="2" t="s">
        <v>25</v>
      </c>
      <c r="E976" s="2" t="s">
        <v>40</v>
      </c>
      <c r="F976" s="2" t="s">
        <v>41</v>
      </c>
      <c r="G976" s="2" t="s">
        <v>42</v>
      </c>
      <c r="H976" s="2">
        <v>38</v>
      </c>
      <c r="I976" s="4">
        <v>2445.11</v>
      </c>
      <c r="J976" s="3">
        <v>45818</v>
      </c>
      <c r="K976">
        <f t="shared" si="15"/>
        <v>92914.180000000008</v>
      </c>
      <c r="L976" t="str">
        <f>INDEX(Raw_Shipments!L976:L3404,MATCH(A976,Raw_Shipments!B976:B3404))</f>
        <v>No</v>
      </c>
    </row>
    <row r="977" spans="1:12" x14ac:dyDescent="0.3">
      <c r="A977" s="5" t="s">
        <v>1126</v>
      </c>
      <c r="B977" s="6">
        <v>45810</v>
      </c>
      <c r="C977" s="5" t="s">
        <v>229</v>
      </c>
      <c r="D977" s="5" t="s">
        <v>25</v>
      </c>
      <c r="E977" s="5" t="s">
        <v>46</v>
      </c>
      <c r="F977" s="5" t="s">
        <v>47</v>
      </c>
      <c r="G977" s="5" t="s">
        <v>42</v>
      </c>
      <c r="H977" s="5">
        <v>8</v>
      </c>
      <c r="I977" s="7">
        <v>1833.14</v>
      </c>
      <c r="J977" s="6">
        <v>45818</v>
      </c>
      <c r="K977">
        <f t="shared" si="15"/>
        <v>14665.12</v>
      </c>
      <c r="L977" t="str">
        <f>INDEX(Raw_Shipments!L977:L3405,MATCH(A977,Raw_Shipments!B977:B3405))</f>
        <v>No</v>
      </c>
    </row>
    <row r="978" spans="1:12" x14ac:dyDescent="0.3">
      <c r="A978" s="2" t="s">
        <v>1127</v>
      </c>
      <c r="B978" s="3">
        <v>45811</v>
      </c>
      <c r="C978" s="2" t="s">
        <v>198</v>
      </c>
      <c r="D978" s="2" t="s">
        <v>25</v>
      </c>
      <c r="E978" s="2" t="s">
        <v>53</v>
      </c>
      <c r="F978" s="2" t="s">
        <v>54</v>
      </c>
      <c r="G978" s="2" t="s">
        <v>55</v>
      </c>
      <c r="H978" s="2">
        <v>22</v>
      </c>
      <c r="I978" s="4">
        <v>2055.9</v>
      </c>
      <c r="J978" s="3">
        <v>45821</v>
      </c>
      <c r="K978">
        <f t="shared" si="15"/>
        <v>45229.8</v>
      </c>
      <c r="L978" t="str">
        <f>INDEX(Raw_Shipments!L978:L3406,MATCH(A978,Raw_Shipments!B978:B3406))</f>
        <v>No</v>
      </c>
    </row>
    <row r="979" spans="1:12" x14ac:dyDescent="0.3">
      <c r="A979" s="5" t="s">
        <v>1128</v>
      </c>
      <c r="B979" s="6">
        <v>45811</v>
      </c>
      <c r="C979" s="5" t="s">
        <v>438</v>
      </c>
      <c r="D979" s="5" t="s">
        <v>14</v>
      </c>
      <c r="E979" s="5" t="s">
        <v>62</v>
      </c>
      <c r="F979" s="5" t="s">
        <v>63</v>
      </c>
      <c r="G979" s="5" t="s">
        <v>55</v>
      </c>
      <c r="H979" s="5">
        <v>34</v>
      </c>
      <c r="I979" s="7">
        <v>2555.2199999999998</v>
      </c>
      <c r="J979" s="6">
        <v>45817</v>
      </c>
      <c r="K979">
        <f t="shared" si="15"/>
        <v>86877.48</v>
      </c>
      <c r="L979" t="str">
        <f>INDEX(Raw_Shipments!L979:L3407,MATCH(A979,Raw_Shipments!B979:B3407))</f>
        <v>No</v>
      </c>
    </row>
    <row r="980" spans="1:12" x14ac:dyDescent="0.3">
      <c r="A980" s="2" t="s">
        <v>1129</v>
      </c>
      <c r="B980" s="3">
        <v>45811</v>
      </c>
      <c r="C980" s="2" t="s">
        <v>19</v>
      </c>
      <c r="D980" s="2" t="s">
        <v>30</v>
      </c>
      <c r="E980" s="2" t="s">
        <v>40</v>
      </c>
      <c r="F980" s="2" t="s">
        <v>41</v>
      </c>
      <c r="G980" s="2" t="s">
        <v>42</v>
      </c>
      <c r="H980" s="2">
        <v>29</v>
      </c>
      <c r="I980" s="4">
        <v>2445.11</v>
      </c>
      <c r="J980" s="3">
        <v>45816</v>
      </c>
      <c r="K980">
        <f t="shared" si="15"/>
        <v>70908.19</v>
      </c>
      <c r="L980" t="str">
        <f>INDEX(Raw_Shipments!L980:L3408,MATCH(A980,Raw_Shipments!B980:B3408))</f>
        <v>No</v>
      </c>
    </row>
    <row r="981" spans="1:12" x14ac:dyDescent="0.3">
      <c r="A981" s="5" t="s">
        <v>1130</v>
      </c>
      <c r="B981" s="6">
        <v>45811</v>
      </c>
      <c r="C981" s="5" t="s">
        <v>158</v>
      </c>
      <c r="D981" s="5" t="s">
        <v>30</v>
      </c>
      <c r="E981" s="5" t="s">
        <v>46</v>
      </c>
      <c r="F981" s="5" t="s">
        <v>47</v>
      </c>
      <c r="G981" s="5" t="s">
        <v>42</v>
      </c>
      <c r="H981" s="5">
        <v>6</v>
      </c>
      <c r="I981" s="7">
        <v>1833.14</v>
      </c>
      <c r="J981" s="6">
        <v>45819</v>
      </c>
      <c r="K981">
        <f t="shared" si="15"/>
        <v>10998.84</v>
      </c>
      <c r="L981" t="str">
        <f>INDEX(Raw_Shipments!L981:L3409,MATCH(A981,Raw_Shipments!B981:B3409))</f>
        <v>No</v>
      </c>
    </row>
    <row r="982" spans="1:12" x14ac:dyDescent="0.3">
      <c r="A982" s="2" t="s">
        <v>1131</v>
      </c>
      <c r="B982" s="3">
        <v>45812</v>
      </c>
      <c r="C982" s="2" t="s">
        <v>248</v>
      </c>
      <c r="D982" s="2" t="s">
        <v>14</v>
      </c>
      <c r="E982" s="2" t="s">
        <v>62</v>
      </c>
      <c r="F982" s="2" t="s">
        <v>63</v>
      </c>
      <c r="G982" s="2" t="s">
        <v>55</v>
      </c>
      <c r="H982" s="2">
        <v>34</v>
      </c>
      <c r="I982" s="4">
        <v>2555.2199999999998</v>
      </c>
      <c r="J982" s="3">
        <v>45816</v>
      </c>
      <c r="K982">
        <f t="shared" si="15"/>
        <v>86877.48</v>
      </c>
      <c r="L982" t="str">
        <f>INDEX(Raw_Shipments!L982:L3410,MATCH(A982,Raw_Shipments!B982:B3410))</f>
        <v>No</v>
      </c>
    </row>
    <row r="983" spans="1:12" x14ac:dyDescent="0.3">
      <c r="A983" s="5" t="s">
        <v>1132</v>
      </c>
      <c r="B983" s="6">
        <v>45812</v>
      </c>
      <c r="C983" s="5" t="s">
        <v>318</v>
      </c>
      <c r="D983" s="5" t="s">
        <v>14</v>
      </c>
      <c r="E983" s="5" t="s">
        <v>97</v>
      </c>
      <c r="F983" s="5" t="s">
        <v>98</v>
      </c>
      <c r="G983" s="5" t="s">
        <v>17</v>
      </c>
      <c r="H983" s="5">
        <v>25</v>
      </c>
      <c r="I983" s="7">
        <v>1110.6500000000001</v>
      </c>
      <c r="J983" s="6">
        <v>45818</v>
      </c>
      <c r="K983">
        <f t="shared" si="15"/>
        <v>27766.250000000004</v>
      </c>
      <c r="L983" t="str">
        <f>INDEX(Raw_Shipments!L983:L3411,MATCH(A983,Raw_Shipments!B983:B3411))</f>
        <v>No</v>
      </c>
    </row>
    <row r="984" spans="1:12" x14ac:dyDescent="0.3">
      <c r="A984" s="2" t="s">
        <v>1133</v>
      </c>
      <c r="B984" s="3">
        <v>45812</v>
      </c>
      <c r="C984" s="2" t="s">
        <v>81</v>
      </c>
      <c r="D984" s="2" t="s">
        <v>45</v>
      </c>
      <c r="E984" s="2" t="s">
        <v>15</v>
      </c>
      <c r="F984" s="2" t="s">
        <v>16</v>
      </c>
      <c r="G984" s="2" t="s">
        <v>17</v>
      </c>
      <c r="H984" s="2">
        <v>19</v>
      </c>
      <c r="I984" s="4">
        <v>183.06</v>
      </c>
      <c r="J984" s="3">
        <v>45816</v>
      </c>
      <c r="K984">
        <f t="shared" si="15"/>
        <v>3478.14</v>
      </c>
      <c r="L984" t="str">
        <f>INDEX(Raw_Shipments!L984:L3412,MATCH(A984,Raw_Shipments!B984:B3412))</f>
        <v>No</v>
      </c>
    </row>
    <row r="985" spans="1:12" x14ac:dyDescent="0.3">
      <c r="A985" s="5" t="s">
        <v>1134</v>
      </c>
      <c r="B985" s="6">
        <v>45812</v>
      </c>
      <c r="C985" s="5" t="s">
        <v>24</v>
      </c>
      <c r="D985" s="5" t="s">
        <v>45</v>
      </c>
      <c r="E985" s="5" t="s">
        <v>26</v>
      </c>
      <c r="F985" s="5" t="s">
        <v>27</v>
      </c>
      <c r="G985" s="5" t="s">
        <v>22</v>
      </c>
      <c r="H985" s="5">
        <v>18</v>
      </c>
      <c r="I985" s="7">
        <v>1646.8</v>
      </c>
      <c r="J985" s="6">
        <v>45816</v>
      </c>
      <c r="K985">
        <f t="shared" si="15"/>
        <v>29642.399999999998</v>
      </c>
      <c r="L985" t="str">
        <f>INDEX(Raw_Shipments!L985:L3413,MATCH(A985,Raw_Shipments!B985:B3413))</f>
        <v>No</v>
      </c>
    </row>
    <row r="986" spans="1:12" x14ac:dyDescent="0.3">
      <c r="A986" s="2" t="s">
        <v>1135</v>
      </c>
      <c r="B986" s="3">
        <v>45812</v>
      </c>
      <c r="C986" s="2" t="s">
        <v>13</v>
      </c>
      <c r="D986" s="2" t="s">
        <v>14</v>
      </c>
      <c r="E986" s="2" t="s">
        <v>86</v>
      </c>
      <c r="F986" s="2" t="s">
        <v>87</v>
      </c>
      <c r="G986" s="2" t="s">
        <v>33</v>
      </c>
      <c r="H986" s="2">
        <v>25</v>
      </c>
      <c r="I986" s="4">
        <v>815.88</v>
      </c>
      <c r="J986" s="3">
        <v>45816</v>
      </c>
      <c r="K986">
        <f t="shared" si="15"/>
        <v>20397</v>
      </c>
      <c r="L986" t="str">
        <f>INDEX(Raw_Shipments!L986:L3414,MATCH(A986,Raw_Shipments!B986:B3414))</f>
        <v>No</v>
      </c>
    </row>
    <row r="987" spans="1:12" x14ac:dyDescent="0.3">
      <c r="A987" s="5" t="s">
        <v>1136</v>
      </c>
      <c r="B987" s="6">
        <v>45812</v>
      </c>
      <c r="C987" s="5" t="s">
        <v>154</v>
      </c>
      <c r="D987" s="5" t="s">
        <v>45</v>
      </c>
      <c r="E987" s="5" t="s">
        <v>46</v>
      </c>
      <c r="F987" s="5" t="s">
        <v>47</v>
      </c>
      <c r="G987" s="5" t="s">
        <v>42</v>
      </c>
      <c r="H987" s="5">
        <v>6</v>
      </c>
      <c r="I987" s="7">
        <v>1833.14</v>
      </c>
      <c r="J987" s="6">
        <v>45820</v>
      </c>
      <c r="K987">
        <f t="shared" si="15"/>
        <v>10998.84</v>
      </c>
      <c r="L987" t="str">
        <f>INDEX(Raw_Shipments!L987:L3415,MATCH(A987,Raw_Shipments!B987:B3415))</f>
        <v>No</v>
      </c>
    </row>
    <row r="988" spans="1:12" x14ac:dyDescent="0.3">
      <c r="A988" s="2" t="s">
        <v>1137</v>
      </c>
      <c r="B988" s="3">
        <v>45812</v>
      </c>
      <c r="C988" s="2" t="s">
        <v>183</v>
      </c>
      <c r="D988" s="2" t="s">
        <v>14</v>
      </c>
      <c r="E988" s="2" t="s">
        <v>50</v>
      </c>
      <c r="F988" s="2" t="s">
        <v>51</v>
      </c>
      <c r="G988" s="2" t="s">
        <v>42</v>
      </c>
      <c r="H988" s="2">
        <v>9</v>
      </c>
      <c r="I988" s="4">
        <v>1952.28</v>
      </c>
      <c r="J988" s="3">
        <v>45820</v>
      </c>
      <c r="K988">
        <f t="shared" si="15"/>
        <v>17570.52</v>
      </c>
      <c r="L988" t="str">
        <f>INDEX(Raw_Shipments!L988:L3416,MATCH(A988,Raw_Shipments!B988:B3416))</f>
        <v>No</v>
      </c>
    </row>
    <row r="989" spans="1:12" x14ac:dyDescent="0.3">
      <c r="A989" s="5" t="s">
        <v>1138</v>
      </c>
      <c r="B989" s="6">
        <v>45813</v>
      </c>
      <c r="C989" s="5" t="s">
        <v>304</v>
      </c>
      <c r="D989" s="5" t="s">
        <v>14</v>
      </c>
      <c r="E989" s="5" t="s">
        <v>97</v>
      </c>
      <c r="F989" s="5" t="s">
        <v>98</v>
      </c>
      <c r="G989" s="5" t="s">
        <v>17</v>
      </c>
      <c r="H989" s="5">
        <v>19</v>
      </c>
      <c r="I989" s="7">
        <v>1110.6500000000001</v>
      </c>
      <c r="J989" s="6">
        <v>45816</v>
      </c>
      <c r="K989">
        <f t="shared" si="15"/>
        <v>21102.350000000002</v>
      </c>
      <c r="L989" t="str">
        <f>INDEX(Raw_Shipments!L989:L3417,MATCH(A989,Raw_Shipments!B989:B3417))</f>
        <v>No</v>
      </c>
    </row>
    <row r="990" spans="1:12" x14ac:dyDescent="0.3">
      <c r="A990" s="2" t="s">
        <v>1139</v>
      </c>
      <c r="B990" s="3">
        <v>45813</v>
      </c>
      <c r="C990" s="2" t="s">
        <v>456</v>
      </c>
      <c r="D990" s="2" t="s">
        <v>30</v>
      </c>
      <c r="E990" s="2" t="s">
        <v>119</v>
      </c>
      <c r="F990" s="2" t="s">
        <v>120</v>
      </c>
      <c r="G990" s="2" t="s">
        <v>22</v>
      </c>
      <c r="H990" s="2">
        <v>40</v>
      </c>
      <c r="I990" s="4">
        <v>912.26</v>
      </c>
      <c r="J990" s="3">
        <v>45817</v>
      </c>
      <c r="K990">
        <f t="shared" si="15"/>
        <v>36490.400000000001</v>
      </c>
      <c r="L990" t="str">
        <f>INDEX(Raw_Shipments!L990:L3418,MATCH(A990,Raw_Shipments!B990:B3418))</f>
        <v>No</v>
      </c>
    </row>
    <row r="991" spans="1:12" x14ac:dyDescent="0.3">
      <c r="A991" s="5" t="s">
        <v>1140</v>
      </c>
      <c r="B991" s="6">
        <v>45813</v>
      </c>
      <c r="C991" s="5" t="s">
        <v>57</v>
      </c>
      <c r="D991" s="5" t="s">
        <v>45</v>
      </c>
      <c r="E991" s="5" t="s">
        <v>26</v>
      </c>
      <c r="F991" s="5" t="s">
        <v>27</v>
      </c>
      <c r="G991" s="5" t="s">
        <v>22</v>
      </c>
      <c r="H991" s="5">
        <v>19</v>
      </c>
      <c r="I991" s="7">
        <v>1646.8</v>
      </c>
      <c r="J991" s="6">
        <v>45818</v>
      </c>
      <c r="K991">
        <f t="shared" si="15"/>
        <v>31289.200000000001</v>
      </c>
      <c r="L991" t="str">
        <f>INDEX(Raw_Shipments!L991:L3419,MATCH(A991,Raw_Shipments!B991:B3419))</f>
        <v>No</v>
      </c>
    </row>
    <row r="992" spans="1:12" x14ac:dyDescent="0.3">
      <c r="A992" s="2" t="s">
        <v>1141</v>
      </c>
      <c r="B992" s="3">
        <v>45813</v>
      </c>
      <c r="C992" s="2" t="s">
        <v>418</v>
      </c>
      <c r="D992" s="2" t="s">
        <v>14</v>
      </c>
      <c r="E992" s="2" t="s">
        <v>31</v>
      </c>
      <c r="F992" s="2" t="s">
        <v>32</v>
      </c>
      <c r="G992" s="2" t="s">
        <v>33</v>
      </c>
      <c r="H992" s="2">
        <v>30</v>
      </c>
      <c r="I992" s="4">
        <v>689</v>
      </c>
      <c r="J992" s="3">
        <v>45819</v>
      </c>
      <c r="K992">
        <f t="shared" si="15"/>
        <v>20670</v>
      </c>
      <c r="L992" t="str">
        <f>INDEX(Raw_Shipments!L992:L3420,MATCH(A992,Raw_Shipments!B992:B3420))</f>
        <v>No</v>
      </c>
    </row>
    <row r="993" spans="1:12" x14ac:dyDescent="0.3">
      <c r="A993" s="5" t="s">
        <v>1142</v>
      </c>
      <c r="B993" s="6">
        <v>45813</v>
      </c>
      <c r="C993" s="5" t="s">
        <v>13</v>
      </c>
      <c r="D993" s="5" t="s">
        <v>30</v>
      </c>
      <c r="E993" s="5" t="s">
        <v>36</v>
      </c>
      <c r="F993" s="5" t="s">
        <v>37</v>
      </c>
      <c r="G993" s="5" t="s">
        <v>33</v>
      </c>
      <c r="H993" s="5">
        <v>49</v>
      </c>
      <c r="I993" s="7">
        <v>1064.79</v>
      </c>
      <c r="J993" s="6">
        <v>45821</v>
      </c>
      <c r="K993">
        <f t="shared" si="15"/>
        <v>52174.71</v>
      </c>
      <c r="L993" t="str">
        <f>INDEX(Raw_Shipments!L993:L3421,MATCH(A993,Raw_Shipments!B993:B3421))</f>
        <v>No</v>
      </c>
    </row>
    <row r="994" spans="1:12" x14ac:dyDescent="0.3">
      <c r="A994" s="2" t="s">
        <v>1143</v>
      </c>
      <c r="B994" s="3">
        <v>45813</v>
      </c>
      <c r="C994" s="2" t="s">
        <v>178</v>
      </c>
      <c r="D994" s="2" t="s">
        <v>45</v>
      </c>
      <c r="E994" s="2" t="s">
        <v>86</v>
      </c>
      <c r="F994" s="2" t="s">
        <v>87</v>
      </c>
      <c r="G994" s="2" t="s">
        <v>33</v>
      </c>
      <c r="H994" s="2">
        <v>36</v>
      </c>
      <c r="I994" s="4">
        <v>815.88</v>
      </c>
      <c r="J994" s="3">
        <v>45820</v>
      </c>
      <c r="K994">
        <f t="shared" si="15"/>
        <v>29371.68</v>
      </c>
      <c r="L994" t="str">
        <f>INDEX(Raw_Shipments!L994:L3422,MATCH(A994,Raw_Shipments!B994:B3422))</f>
        <v>No</v>
      </c>
    </row>
    <row r="995" spans="1:12" x14ac:dyDescent="0.3">
      <c r="A995" s="5" t="s">
        <v>1144</v>
      </c>
      <c r="B995" s="6">
        <v>45813</v>
      </c>
      <c r="C995" s="5" t="s">
        <v>100</v>
      </c>
      <c r="D995" s="5" t="s">
        <v>30</v>
      </c>
      <c r="E995" s="5" t="s">
        <v>40</v>
      </c>
      <c r="F995" s="5" t="s">
        <v>41</v>
      </c>
      <c r="G995" s="5" t="s">
        <v>42</v>
      </c>
      <c r="H995" s="5">
        <v>37</v>
      </c>
      <c r="I995" s="7">
        <v>2445.11</v>
      </c>
      <c r="J995" s="6">
        <v>45823</v>
      </c>
      <c r="K995">
        <f t="shared" si="15"/>
        <v>90469.07</v>
      </c>
      <c r="L995" t="str">
        <f>INDEX(Raw_Shipments!L995:L3423,MATCH(A995,Raw_Shipments!B995:B3423))</f>
        <v>No</v>
      </c>
    </row>
    <row r="996" spans="1:12" x14ac:dyDescent="0.3">
      <c r="A996" s="2" t="s">
        <v>1145</v>
      </c>
      <c r="B996" s="3">
        <v>45813</v>
      </c>
      <c r="C996" s="2" t="s">
        <v>248</v>
      </c>
      <c r="D996" s="2" t="s">
        <v>30</v>
      </c>
      <c r="E996" s="2" t="s">
        <v>46</v>
      </c>
      <c r="F996" s="2" t="s">
        <v>47</v>
      </c>
      <c r="G996" s="2" t="s">
        <v>42</v>
      </c>
      <c r="H996" s="2">
        <v>5</v>
      </c>
      <c r="I996" s="4">
        <v>1833.14</v>
      </c>
      <c r="J996" s="3">
        <v>45823</v>
      </c>
      <c r="K996">
        <f t="shared" si="15"/>
        <v>9165.7000000000007</v>
      </c>
      <c r="L996" t="str">
        <f>INDEX(Raw_Shipments!L996:L3424,MATCH(A996,Raw_Shipments!B996:B3424))</f>
        <v>No</v>
      </c>
    </row>
    <row r="997" spans="1:12" x14ac:dyDescent="0.3">
      <c r="A997" s="5" t="s">
        <v>1146</v>
      </c>
      <c r="B997" s="6">
        <v>45813</v>
      </c>
      <c r="C997" s="5" t="s">
        <v>213</v>
      </c>
      <c r="D997" s="5" t="s">
        <v>45</v>
      </c>
      <c r="E997" s="5" t="s">
        <v>50</v>
      </c>
      <c r="F997" s="5" t="s">
        <v>51</v>
      </c>
      <c r="G997" s="5" t="s">
        <v>42</v>
      </c>
      <c r="H997" s="5">
        <v>7</v>
      </c>
      <c r="I997" s="7">
        <v>1952.28</v>
      </c>
      <c r="J997" s="6">
        <v>45822</v>
      </c>
      <c r="K997">
        <f t="shared" si="15"/>
        <v>13665.96</v>
      </c>
      <c r="L997" t="str">
        <f>INDEX(Raw_Shipments!L997:L3425,MATCH(A997,Raw_Shipments!B997:B3425))</f>
        <v>No</v>
      </c>
    </row>
    <row r="998" spans="1:12" x14ac:dyDescent="0.3">
      <c r="A998" s="2" t="s">
        <v>1147</v>
      </c>
      <c r="B998" s="3">
        <v>45814</v>
      </c>
      <c r="C998" s="2" t="s">
        <v>166</v>
      </c>
      <c r="D998" s="2" t="s">
        <v>30</v>
      </c>
      <c r="E998" s="2" t="s">
        <v>66</v>
      </c>
      <c r="F998" s="2" t="s">
        <v>67</v>
      </c>
      <c r="G998" s="2" t="s">
        <v>17</v>
      </c>
      <c r="H998" s="2">
        <v>21</v>
      </c>
      <c r="I998" s="4">
        <v>850.8</v>
      </c>
      <c r="J998" s="3">
        <v>45818</v>
      </c>
      <c r="K998">
        <f t="shared" si="15"/>
        <v>17866.8</v>
      </c>
      <c r="L998" t="str">
        <f>INDEX(Raw_Shipments!L998:L3426,MATCH(A998,Raw_Shipments!B998:B3426))</f>
        <v>No</v>
      </c>
    </row>
    <row r="999" spans="1:12" x14ac:dyDescent="0.3">
      <c r="A999" s="5" t="s">
        <v>1148</v>
      </c>
      <c r="B999" s="6">
        <v>45814</v>
      </c>
      <c r="C999" s="5" t="s">
        <v>115</v>
      </c>
      <c r="D999" s="5" t="s">
        <v>45</v>
      </c>
      <c r="E999" s="5" t="s">
        <v>20</v>
      </c>
      <c r="F999" s="5" t="s">
        <v>21</v>
      </c>
      <c r="G999" s="5" t="s">
        <v>22</v>
      </c>
      <c r="H999" s="5">
        <v>14</v>
      </c>
      <c r="I999" s="7">
        <v>2108.56</v>
      </c>
      <c r="J999" s="6">
        <v>45823</v>
      </c>
      <c r="K999">
        <f t="shared" si="15"/>
        <v>29519.84</v>
      </c>
      <c r="L999" t="str">
        <f>INDEX(Raw_Shipments!L999:L3427,MATCH(A999,Raw_Shipments!B999:B3427))</f>
        <v>Yes</v>
      </c>
    </row>
    <row r="1000" spans="1:12" x14ac:dyDescent="0.3">
      <c r="A1000" s="2" t="s">
        <v>1149</v>
      </c>
      <c r="B1000" s="3">
        <v>45814</v>
      </c>
      <c r="C1000" s="2" t="s">
        <v>122</v>
      </c>
      <c r="D1000" s="2" t="s">
        <v>30</v>
      </c>
      <c r="E1000" s="2" t="s">
        <v>31</v>
      </c>
      <c r="F1000" s="2" t="s">
        <v>32</v>
      </c>
      <c r="G1000" s="2" t="s">
        <v>33</v>
      </c>
      <c r="H1000" s="2">
        <v>32</v>
      </c>
      <c r="I1000" s="4">
        <v>689</v>
      </c>
      <c r="J1000" s="3">
        <v>45820</v>
      </c>
      <c r="K1000">
        <f t="shared" si="15"/>
        <v>22048</v>
      </c>
      <c r="L1000" t="str">
        <f>INDEX(Raw_Shipments!L1000:L3428,MATCH(A1000,Raw_Shipments!B1000:B3428))</f>
        <v>No</v>
      </c>
    </row>
    <row r="1001" spans="1:12" x14ac:dyDescent="0.3">
      <c r="A1001" s="5" t="s">
        <v>1150</v>
      </c>
      <c r="B1001" s="6">
        <v>45814</v>
      </c>
      <c r="C1001" s="5" t="s">
        <v>180</v>
      </c>
      <c r="D1001" s="5" t="s">
        <v>30</v>
      </c>
      <c r="E1001" s="5" t="s">
        <v>36</v>
      </c>
      <c r="F1001" s="5" t="s">
        <v>37</v>
      </c>
      <c r="G1001" s="5" t="s">
        <v>33</v>
      </c>
      <c r="H1001" s="5">
        <v>45</v>
      </c>
      <c r="I1001" s="7">
        <v>1064.79</v>
      </c>
      <c r="J1001" s="6">
        <v>45823</v>
      </c>
      <c r="K1001">
        <f t="shared" si="15"/>
        <v>47915.549999999996</v>
      </c>
      <c r="L1001" t="str">
        <f>INDEX(Raw_Shipments!L1001:L3429,MATCH(A1001,Raw_Shipments!B1001:B3429))</f>
        <v>Yes</v>
      </c>
    </row>
    <row r="1002" spans="1:12" x14ac:dyDescent="0.3">
      <c r="A1002" s="2" t="s">
        <v>1151</v>
      </c>
      <c r="B1002" s="3">
        <v>45814</v>
      </c>
      <c r="C1002" s="2" t="s">
        <v>61</v>
      </c>
      <c r="D1002" s="2" t="s">
        <v>30</v>
      </c>
      <c r="E1002" s="2" t="s">
        <v>86</v>
      </c>
      <c r="F1002" s="2" t="s">
        <v>87</v>
      </c>
      <c r="G1002" s="2" t="s">
        <v>33</v>
      </c>
      <c r="H1002" s="2">
        <v>23</v>
      </c>
      <c r="I1002" s="4">
        <v>815.88</v>
      </c>
      <c r="J1002" s="3">
        <v>45821</v>
      </c>
      <c r="K1002">
        <f t="shared" si="15"/>
        <v>18765.240000000002</v>
      </c>
      <c r="L1002" t="str">
        <f>INDEX(Raw_Shipments!L1002:L3430,MATCH(A1002,Raw_Shipments!B1002:B3430))</f>
        <v>Yes</v>
      </c>
    </row>
    <row r="1003" spans="1:12" x14ac:dyDescent="0.3">
      <c r="A1003" s="5" t="s">
        <v>1152</v>
      </c>
      <c r="B1003" s="6">
        <v>45814</v>
      </c>
      <c r="C1003" s="5" t="s">
        <v>527</v>
      </c>
      <c r="D1003" s="5" t="s">
        <v>25</v>
      </c>
      <c r="E1003" s="5" t="s">
        <v>40</v>
      </c>
      <c r="F1003" s="5" t="s">
        <v>41</v>
      </c>
      <c r="G1003" s="5" t="s">
        <v>42</v>
      </c>
      <c r="H1003" s="5">
        <v>14</v>
      </c>
      <c r="I1003" s="7">
        <v>2445.11</v>
      </c>
      <c r="J1003" s="6">
        <v>45823</v>
      </c>
      <c r="K1003">
        <f t="shared" si="15"/>
        <v>34231.54</v>
      </c>
      <c r="L1003" t="str">
        <f>INDEX(Raw_Shipments!L1003:L3431,MATCH(A1003,Raw_Shipments!B1003:B3431))</f>
        <v>No</v>
      </c>
    </row>
    <row r="1004" spans="1:12" x14ac:dyDescent="0.3">
      <c r="A1004" s="2" t="s">
        <v>1153</v>
      </c>
      <c r="B1004" s="3">
        <v>45814</v>
      </c>
      <c r="C1004" s="2" t="s">
        <v>337</v>
      </c>
      <c r="D1004" s="2" t="s">
        <v>14</v>
      </c>
      <c r="E1004" s="2" t="s">
        <v>46</v>
      </c>
      <c r="F1004" s="2" t="s">
        <v>47</v>
      </c>
      <c r="G1004" s="2" t="s">
        <v>42</v>
      </c>
      <c r="H1004" s="2">
        <v>5</v>
      </c>
      <c r="I1004" s="4">
        <v>1833.14</v>
      </c>
      <c r="J1004" s="3">
        <v>45824</v>
      </c>
      <c r="K1004">
        <f t="shared" si="15"/>
        <v>9165.7000000000007</v>
      </c>
      <c r="L1004" t="str">
        <f>INDEX(Raw_Shipments!L1004:L3432,MATCH(A1004,Raw_Shipments!B1004:B3432))</f>
        <v>No</v>
      </c>
    </row>
    <row r="1005" spans="1:12" x14ac:dyDescent="0.3">
      <c r="A1005" s="5" t="s">
        <v>1154</v>
      </c>
      <c r="B1005" s="6">
        <v>45815</v>
      </c>
      <c r="C1005" s="5" t="s">
        <v>442</v>
      </c>
      <c r="D1005" s="5" t="s">
        <v>45</v>
      </c>
      <c r="E1005" s="5" t="s">
        <v>53</v>
      </c>
      <c r="F1005" s="5" t="s">
        <v>54</v>
      </c>
      <c r="G1005" s="5" t="s">
        <v>55</v>
      </c>
      <c r="H1005" s="5">
        <v>35</v>
      </c>
      <c r="I1005" s="7">
        <v>2055.9</v>
      </c>
      <c r="J1005" s="6">
        <v>45819</v>
      </c>
      <c r="K1005">
        <f t="shared" si="15"/>
        <v>71956.5</v>
      </c>
      <c r="L1005" t="str">
        <f>INDEX(Raw_Shipments!L1005:L3433,MATCH(A1005,Raw_Shipments!B1005:B3433))</f>
        <v>No</v>
      </c>
    </row>
    <row r="1006" spans="1:12" x14ac:dyDescent="0.3">
      <c r="A1006" s="2" t="s">
        <v>1155</v>
      </c>
      <c r="B1006" s="3">
        <v>45815</v>
      </c>
      <c r="C1006" s="2" t="s">
        <v>438</v>
      </c>
      <c r="D1006" s="2" t="s">
        <v>25</v>
      </c>
      <c r="E1006" s="2" t="s">
        <v>66</v>
      </c>
      <c r="F1006" s="2" t="s">
        <v>67</v>
      </c>
      <c r="G1006" s="2" t="s">
        <v>17</v>
      </c>
      <c r="H1006" s="2">
        <v>16</v>
      </c>
      <c r="I1006" s="4">
        <v>850.8</v>
      </c>
      <c r="J1006" s="3">
        <v>45823</v>
      </c>
      <c r="K1006">
        <f t="shared" si="15"/>
        <v>13612.8</v>
      </c>
      <c r="L1006" t="str">
        <f>INDEX(Raw_Shipments!L1006:L3434,MATCH(A1006,Raw_Shipments!B1006:B3434))</f>
        <v>No</v>
      </c>
    </row>
    <row r="1007" spans="1:12" x14ac:dyDescent="0.3">
      <c r="A1007" s="5" t="s">
        <v>1156</v>
      </c>
      <c r="B1007" s="6">
        <v>45815</v>
      </c>
      <c r="C1007" s="5" t="s">
        <v>39</v>
      </c>
      <c r="D1007" s="5" t="s">
        <v>30</v>
      </c>
      <c r="E1007" s="5" t="s">
        <v>15</v>
      </c>
      <c r="F1007" s="5" t="s">
        <v>16</v>
      </c>
      <c r="G1007" s="5" t="s">
        <v>17</v>
      </c>
      <c r="H1007" s="5">
        <v>19</v>
      </c>
      <c r="I1007" s="7">
        <v>183.06</v>
      </c>
      <c r="J1007" s="6">
        <v>45819</v>
      </c>
      <c r="K1007">
        <f t="shared" si="15"/>
        <v>3478.14</v>
      </c>
      <c r="L1007" t="str">
        <f>INDEX(Raw_Shipments!L1007:L3435,MATCH(A1007,Raw_Shipments!B1007:B3435))</f>
        <v>No</v>
      </c>
    </row>
    <row r="1008" spans="1:12" x14ac:dyDescent="0.3">
      <c r="A1008" s="2" t="s">
        <v>1157</v>
      </c>
      <c r="B1008" s="3">
        <v>45815</v>
      </c>
      <c r="C1008" s="2" t="s">
        <v>234</v>
      </c>
      <c r="D1008" s="2" t="s">
        <v>25</v>
      </c>
      <c r="E1008" s="2" t="s">
        <v>119</v>
      </c>
      <c r="F1008" s="2" t="s">
        <v>120</v>
      </c>
      <c r="G1008" s="2" t="s">
        <v>22</v>
      </c>
      <c r="H1008" s="2">
        <v>31</v>
      </c>
      <c r="I1008" s="4">
        <v>912.26</v>
      </c>
      <c r="J1008" s="3">
        <v>45822</v>
      </c>
      <c r="K1008">
        <f t="shared" si="15"/>
        <v>28280.06</v>
      </c>
      <c r="L1008" t="str">
        <f>INDEX(Raw_Shipments!L1008:L3436,MATCH(A1008,Raw_Shipments!B1008:B3436))</f>
        <v>No</v>
      </c>
    </row>
    <row r="1009" spans="1:12" x14ac:dyDescent="0.3">
      <c r="A1009" s="5" t="s">
        <v>1158</v>
      </c>
      <c r="B1009" s="6">
        <v>45815</v>
      </c>
      <c r="C1009" s="5" t="s">
        <v>102</v>
      </c>
      <c r="D1009" s="5" t="s">
        <v>45</v>
      </c>
      <c r="E1009" s="5" t="s">
        <v>36</v>
      </c>
      <c r="F1009" s="5" t="s">
        <v>37</v>
      </c>
      <c r="G1009" s="5" t="s">
        <v>33</v>
      </c>
      <c r="H1009" s="5">
        <v>25</v>
      </c>
      <c r="I1009" s="7">
        <v>1064.79</v>
      </c>
      <c r="J1009" s="6">
        <v>45818</v>
      </c>
      <c r="K1009">
        <f t="shared" si="15"/>
        <v>26619.75</v>
      </c>
      <c r="L1009" t="str">
        <f>INDEX(Raw_Shipments!L1009:L3437,MATCH(A1009,Raw_Shipments!B1009:B3437))</f>
        <v>No</v>
      </c>
    </row>
    <row r="1010" spans="1:12" x14ac:dyDescent="0.3">
      <c r="A1010" s="2" t="s">
        <v>1159</v>
      </c>
      <c r="B1010" s="3">
        <v>45815</v>
      </c>
      <c r="C1010" s="2" t="s">
        <v>24</v>
      </c>
      <c r="D1010" s="2" t="s">
        <v>45</v>
      </c>
      <c r="E1010" s="2" t="s">
        <v>86</v>
      </c>
      <c r="F1010" s="2" t="s">
        <v>87</v>
      </c>
      <c r="G1010" s="2" t="s">
        <v>33</v>
      </c>
      <c r="H1010" s="2">
        <v>22</v>
      </c>
      <c r="I1010" s="4">
        <v>815.88</v>
      </c>
      <c r="J1010" s="3">
        <v>45825</v>
      </c>
      <c r="K1010">
        <f t="shared" si="15"/>
        <v>17949.36</v>
      </c>
      <c r="L1010" t="str">
        <f>INDEX(Raw_Shipments!L1010:L3438,MATCH(A1010,Raw_Shipments!B1010:B3438))</f>
        <v>Yes</v>
      </c>
    </row>
    <row r="1011" spans="1:12" x14ac:dyDescent="0.3">
      <c r="A1011" s="5" t="s">
        <v>1160</v>
      </c>
      <c r="B1011" s="6">
        <v>45815</v>
      </c>
      <c r="C1011" s="5" t="s">
        <v>172</v>
      </c>
      <c r="D1011" s="5" t="s">
        <v>14</v>
      </c>
      <c r="E1011" s="5" t="s">
        <v>40</v>
      </c>
      <c r="F1011" s="5" t="s">
        <v>41</v>
      </c>
      <c r="G1011" s="5" t="s">
        <v>42</v>
      </c>
      <c r="H1011" s="5">
        <v>34</v>
      </c>
      <c r="I1011" s="7">
        <v>2445.11</v>
      </c>
      <c r="J1011" s="6">
        <v>45822</v>
      </c>
      <c r="K1011">
        <f t="shared" si="15"/>
        <v>83133.740000000005</v>
      </c>
      <c r="L1011" t="str">
        <f>INDEX(Raw_Shipments!L1011:L3439,MATCH(A1011,Raw_Shipments!B1011:B3439))</f>
        <v>No</v>
      </c>
    </row>
    <row r="1012" spans="1:12" x14ac:dyDescent="0.3">
      <c r="A1012" s="2" t="s">
        <v>1161</v>
      </c>
      <c r="B1012" s="3">
        <v>45815</v>
      </c>
      <c r="C1012" s="2" t="s">
        <v>195</v>
      </c>
      <c r="D1012" s="2" t="s">
        <v>30</v>
      </c>
      <c r="E1012" s="2" t="s">
        <v>50</v>
      </c>
      <c r="F1012" s="2" t="s">
        <v>51</v>
      </c>
      <c r="G1012" s="2" t="s">
        <v>42</v>
      </c>
      <c r="H1012" s="2">
        <v>8</v>
      </c>
      <c r="I1012" s="4">
        <v>1952.28</v>
      </c>
      <c r="J1012" s="3">
        <v>45819</v>
      </c>
      <c r="K1012">
        <f t="shared" si="15"/>
        <v>15618.24</v>
      </c>
      <c r="L1012" t="str">
        <f>INDEX(Raw_Shipments!L1012:L3440,MATCH(A1012,Raw_Shipments!B1012:B3440))</f>
        <v>No</v>
      </c>
    </row>
    <row r="1013" spans="1:12" x14ac:dyDescent="0.3">
      <c r="A1013" s="5" t="s">
        <v>1162</v>
      </c>
      <c r="B1013" s="6">
        <v>45816</v>
      </c>
      <c r="C1013" s="5" t="s">
        <v>282</v>
      </c>
      <c r="D1013" s="5" t="s">
        <v>30</v>
      </c>
      <c r="E1013" s="5" t="s">
        <v>20</v>
      </c>
      <c r="F1013" s="5" t="s">
        <v>21</v>
      </c>
      <c r="G1013" s="5" t="s">
        <v>22</v>
      </c>
      <c r="H1013" s="5">
        <v>8</v>
      </c>
      <c r="I1013" s="7">
        <v>2108.56</v>
      </c>
      <c r="J1013" s="6">
        <v>45826</v>
      </c>
      <c r="K1013">
        <f t="shared" si="15"/>
        <v>16868.48</v>
      </c>
      <c r="L1013" t="str">
        <f>INDEX(Raw_Shipments!L1013:L3441,MATCH(A1013,Raw_Shipments!B1013:B3441))</f>
        <v>No</v>
      </c>
    </row>
    <row r="1014" spans="1:12" x14ac:dyDescent="0.3">
      <c r="A1014" s="2" t="s">
        <v>1163</v>
      </c>
      <c r="B1014" s="3">
        <v>45816</v>
      </c>
      <c r="C1014" s="2" t="s">
        <v>282</v>
      </c>
      <c r="D1014" s="2" t="s">
        <v>45</v>
      </c>
      <c r="E1014" s="2" t="s">
        <v>26</v>
      </c>
      <c r="F1014" s="2" t="s">
        <v>27</v>
      </c>
      <c r="G1014" s="2" t="s">
        <v>22</v>
      </c>
      <c r="H1014" s="2">
        <v>25</v>
      </c>
      <c r="I1014" s="4">
        <v>1646.8</v>
      </c>
      <c r="J1014" s="3">
        <v>45819</v>
      </c>
      <c r="K1014">
        <f t="shared" si="15"/>
        <v>41170</v>
      </c>
      <c r="L1014" t="str">
        <f>INDEX(Raw_Shipments!L1014:L3442,MATCH(A1014,Raw_Shipments!B1014:B3442))</f>
        <v>No</v>
      </c>
    </row>
    <row r="1015" spans="1:12" x14ac:dyDescent="0.3">
      <c r="A1015" s="5" t="s">
        <v>1164</v>
      </c>
      <c r="B1015" s="6">
        <v>45816</v>
      </c>
      <c r="C1015" s="5" t="s">
        <v>208</v>
      </c>
      <c r="D1015" s="5" t="s">
        <v>45</v>
      </c>
      <c r="E1015" s="5" t="s">
        <v>31</v>
      </c>
      <c r="F1015" s="5" t="s">
        <v>32</v>
      </c>
      <c r="G1015" s="5" t="s">
        <v>33</v>
      </c>
      <c r="H1015" s="5">
        <v>36</v>
      </c>
      <c r="I1015" s="7">
        <v>689</v>
      </c>
      <c r="J1015" s="6">
        <v>45824</v>
      </c>
      <c r="K1015">
        <f t="shared" si="15"/>
        <v>24804</v>
      </c>
      <c r="L1015" t="str">
        <f>INDEX(Raw_Shipments!L1015:L3443,MATCH(A1015,Raw_Shipments!B1015:B3443))</f>
        <v>Yes</v>
      </c>
    </row>
    <row r="1016" spans="1:12" x14ac:dyDescent="0.3">
      <c r="A1016" s="2" t="s">
        <v>1165</v>
      </c>
      <c r="B1016" s="3">
        <v>45816</v>
      </c>
      <c r="C1016" s="2" t="s">
        <v>208</v>
      </c>
      <c r="D1016" s="2" t="s">
        <v>45</v>
      </c>
      <c r="E1016" s="2" t="s">
        <v>40</v>
      </c>
      <c r="F1016" s="2" t="s">
        <v>41</v>
      </c>
      <c r="G1016" s="2" t="s">
        <v>42</v>
      </c>
      <c r="H1016" s="2">
        <v>1</v>
      </c>
      <c r="I1016" s="4">
        <v>2445.11</v>
      </c>
      <c r="J1016" s="3">
        <v>45825</v>
      </c>
      <c r="K1016">
        <f t="shared" si="15"/>
        <v>2445.11</v>
      </c>
      <c r="L1016" t="str">
        <f>INDEX(Raw_Shipments!L1016:L3444,MATCH(A1016,Raw_Shipments!B1016:B3444))</f>
        <v>No</v>
      </c>
    </row>
    <row r="1017" spans="1:12" x14ac:dyDescent="0.3">
      <c r="A1017" s="5" t="s">
        <v>1166</v>
      </c>
      <c r="B1017" s="6">
        <v>45816</v>
      </c>
      <c r="C1017" s="5" t="s">
        <v>282</v>
      </c>
      <c r="D1017" s="5" t="s">
        <v>45</v>
      </c>
      <c r="E1017" s="5" t="s">
        <v>50</v>
      </c>
      <c r="F1017" s="5" t="s">
        <v>51</v>
      </c>
      <c r="G1017" s="5" t="s">
        <v>42</v>
      </c>
      <c r="H1017" s="5">
        <v>13</v>
      </c>
      <c r="I1017" s="7">
        <v>1952.28</v>
      </c>
      <c r="J1017" s="6">
        <v>45823</v>
      </c>
      <c r="K1017">
        <f t="shared" si="15"/>
        <v>25379.64</v>
      </c>
      <c r="L1017" t="str">
        <f>INDEX(Raw_Shipments!L1017:L3445,MATCH(A1017,Raw_Shipments!B1017:B3445))</f>
        <v>No</v>
      </c>
    </row>
    <row r="1018" spans="1:12" x14ac:dyDescent="0.3">
      <c r="A1018" s="2" t="s">
        <v>1167</v>
      </c>
      <c r="B1018" s="3">
        <v>45817</v>
      </c>
      <c r="C1018" s="2" t="s">
        <v>152</v>
      </c>
      <c r="D1018" s="2" t="s">
        <v>25</v>
      </c>
      <c r="E1018" s="2" t="s">
        <v>58</v>
      </c>
      <c r="F1018" s="2" t="s">
        <v>59</v>
      </c>
      <c r="G1018" s="2" t="s">
        <v>55</v>
      </c>
      <c r="H1018" s="2">
        <v>15</v>
      </c>
      <c r="I1018" s="4">
        <v>1695.1</v>
      </c>
      <c r="J1018" s="3">
        <v>45820</v>
      </c>
      <c r="K1018">
        <f t="shared" si="15"/>
        <v>25426.5</v>
      </c>
      <c r="L1018" t="str">
        <f>INDEX(Raw_Shipments!L1018:L3446,MATCH(A1018,Raw_Shipments!B1018:B3446))</f>
        <v>No</v>
      </c>
    </row>
    <row r="1019" spans="1:12" x14ac:dyDescent="0.3">
      <c r="A1019" s="5" t="s">
        <v>1168</v>
      </c>
      <c r="B1019" s="6">
        <v>45817</v>
      </c>
      <c r="C1019" s="5" t="s">
        <v>195</v>
      </c>
      <c r="D1019" s="5" t="s">
        <v>30</v>
      </c>
      <c r="E1019" s="5" t="s">
        <v>62</v>
      </c>
      <c r="F1019" s="5" t="s">
        <v>63</v>
      </c>
      <c r="G1019" s="5" t="s">
        <v>55</v>
      </c>
      <c r="H1019" s="5">
        <v>46</v>
      </c>
      <c r="I1019" s="7">
        <v>2555.2199999999998</v>
      </c>
      <c r="J1019" s="6">
        <v>45826</v>
      </c>
      <c r="K1019">
        <f t="shared" si="15"/>
        <v>117540.12</v>
      </c>
      <c r="L1019" t="str">
        <f>INDEX(Raw_Shipments!L1019:L3447,MATCH(A1019,Raw_Shipments!B1019:B3447))</f>
        <v>Yes</v>
      </c>
    </row>
    <row r="1020" spans="1:12" x14ac:dyDescent="0.3">
      <c r="A1020" s="2" t="s">
        <v>1169</v>
      </c>
      <c r="B1020" s="3">
        <v>45817</v>
      </c>
      <c r="C1020" s="2" t="s">
        <v>111</v>
      </c>
      <c r="D1020" s="2" t="s">
        <v>30</v>
      </c>
      <c r="E1020" s="2" t="s">
        <v>66</v>
      </c>
      <c r="F1020" s="2" t="s">
        <v>67</v>
      </c>
      <c r="G1020" s="2" t="s">
        <v>17</v>
      </c>
      <c r="H1020" s="2">
        <v>11</v>
      </c>
      <c r="I1020" s="4">
        <v>850.8</v>
      </c>
      <c r="J1020" s="3">
        <v>45825</v>
      </c>
      <c r="K1020">
        <f t="shared" si="15"/>
        <v>9358.7999999999993</v>
      </c>
      <c r="L1020" t="str">
        <f>INDEX(Raw_Shipments!L1020:L3448,MATCH(A1020,Raw_Shipments!B1020:B3448))</f>
        <v>No</v>
      </c>
    </row>
    <row r="1021" spans="1:12" x14ac:dyDescent="0.3">
      <c r="A1021" s="5" t="s">
        <v>1170</v>
      </c>
      <c r="B1021" s="6">
        <v>45817</v>
      </c>
      <c r="C1021" s="5" t="s">
        <v>527</v>
      </c>
      <c r="D1021" s="5" t="s">
        <v>45</v>
      </c>
      <c r="E1021" s="5" t="s">
        <v>97</v>
      </c>
      <c r="F1021" s="5" t="s">
        <v>98</v>
      </c>
      <c r="G1021" s="5" t="s">
        <v>17</v>
      </c>
      <c r="H1021" s="5">
        <v>15</v>
      </c>
      <c r="I1021" s="7">
        <v>1110.6500000000001</v>
      </c>
      <c r="J1021" s="6">
        <v>45821</v>
      </c>
      <c r="K1021">
        <f t="shared" si="15"/>
        <v>16659.75</v>
      </c>
      <c r="L1021" t="str">
        <f>INDEX(Raw_Shipments!L1021:L3449,MATCH(A1021,Raw_Shipments!B1021:B3449))</f>
        <v>No</v>
      </c>
    </row>
    <row r="1022" spans="1:12" x14ac:dyDescent="0.3">
      <c r="A1022" s="2" t="s">
        <v>1171</v>
      </c>
      <c r="B1022" s="3">
        <v>45817</v>
      </c>
      <c r="C1022" s="2" t="s">
        <v>240</v>
      </c>
      <c r="D1022" s="2" t="s">
        <v>25</v>
      </c>
      <c r="E1022" s="2" t="s">
        <v>20</v>
      </c>
      <c r="F1022" s="2" t="s">
        <v>21</v>
      </c>
      <c r="G1022" s="2" t="s">
        <v>22</v>
      </c>
      <c r="H1022" s="2">
        <v>5</v>
      </c>
      <c r="I1022" s="4">
        <v>2108.56</v>
      </c>
      <c r="J1022" s="3">
        <v>45825</v>
      </c>
      <c r="K1022">
        <f t="shared" si="15"/>
        <v>10542.8</v>
      </c>
      <c r="L1022" t="str">
        <f>INDEX(Raw_Shipments!L1022:L3450,MATCH(A1022,Raw_Shipments!B1022:B3450))</f>
        <v>No</v>
      </c>
    </row>
    <row r="1023" spans="1:12" x14ac:dyDescent="0.3">
      <c r="A1023" s="5" t="s">
        <v>1172</v>
      </c>
      <c r="B1023" s="6">
        <v>45817</v>
      </c>
      <c r="C1023" s="5" t="s">
        <v>595</v>
      </c>
      <c r="D1023" s="5" t="s">
        <v>30</v>
      </c>
      <c r="E1023" s="5" t="s">
        <v>119</v>
      </c>
      <c r="F1023" s="5" t="s">
        <v>120</v>
      </c>
      <c r="G1023" s="5" t="s">
        <v>22</v>
      </c>
      <c r="H1023" s="5">
        <v>40</v>
      </c>
      <c r="I1023" s="7">
        <v>912.26</v>
      </c>
      <c r="J1023" s="6">
        <v>45826</v>
      </c>
      <c r="K1023">
        <f t="shared" si="15"/>
        <v>36490.400000000001</v>
      </c>
      <c r="L1023" t="str">
        <f>INDEX(Raw_Shipments!L1023:L3451,MATCH(A1023,Raw_Shipments!B1023:B3451))</f>
        <v>No</v>
      </c>
    </row>
    <row r="1024" spans="1:12" x14ac:dyDescent="0.3">
      <c r="A1024" s="2" t="s">
        <v>1173</v>
      </c>
      <c r="B1024" s="3">
        <v>45817</v>
      </c>
      <c r="C1024" s="2" t="s">
        <v>141</v>
      </c>
      <c r="D1024" s="2" t="s">
        <v>25</v>
      </c>
      <c r="E1024" s="2" t="s">
        <v>36</v>
      </c>
      <c r="F1024" s="2" t="s">
        <v>37</v>
      </c>
      <c r="G1024" s="2" t="s">
        <v>33</v>
      </c>
      <c r="H1024" s="2">
        <v>44</v>
      </c>
      <c r="I1024" s="4">
        <v>1064.79</v>
      </c>
      <c r="J1024" s="3">
        <v>45824</v>
      </c>
      <c r="K1024">
        <f t="shared" si="15"/>
        <v>46850.759999999995</v>
      </c>
      <c r="L1024" t="str">
        <f>INDEX(Raw_Shipments!L1024:L3452,MATCH(A1024,Raw_Shipments!B1024:B3452))</f>
        <v>Yes</v>
      </c>
    </row>
    <row r="1025" spans="1:12" x14ac:dyDescent="0.3">
      <c r="A1025" s="5" t="s">
        <v>1174</v>
      </c>
      <c r="B1025" s="6">
        <v>45817</v>
      </c>
      <c r="C1025" s="5" t="s">
        <v>75</v>
      </c>
      <c r="D1025" s="5" t="s">
        <v>45</v>
      </c>
      <c r="E1025" s="5" t="s">
        <v>40</v>
      </c>
      <c r="F1025" s="5" t="s">
        <v>41</v>
      </c>
      <c r="G1025" s="5" t="s">
        <v>42</v>
      </c>
      <c r="H1025" s="5">
        <v>21</v>
      </c>
      <c r="I1025" s="7">
        <v>2445.11</v>
      </c>
      <c r="J1025" s="6">
        <v>45823</v>
      </c>
      <c r="K1025">
        <f t="shared" si="15"/>
        <v>51347.310000000005</v>
      </c>
      <c r="L1025" t="str">
        <f>INDEX(Raw_Shipments!L1025:L3453,MATCH(A1025,Raw_Shipments!B1025:B3453))</f>
        <v>No</v>
      </c>
    </row>
    <row r="1026" spans="1:12" x14ac:dyDescent="0.3">
      <c r="A1026" s="2" t="s">
        <v>1175</v>
      </c>
      <c r="B1026" s="3">
        <v>45818</v>
      </c>
      <c r="C1026" s="2" t="s">
        <v>131</v>
      </c>
      <c r="D1026" s="2" t="s">
        <v>25</v>
      </c>
      <c r="E1026" s="2" t="s">
        <v>58</v>
      </c>
      <c r="F1026" s="2" t="s">
        <v>59</v>
      </c>
      <c r="G1026" s="2" t="s">
        <v>55</v>
      </c>
      <c r="H1026" s="2">
        <v>10</v>
      </c>
      <c r="I1026" s="4">
        <v>1695.1</v>
      </c>
      <c r="J1026" s="3">
        <v>45827</v>
      </c>
      <c r="K1026">
        <f t="shared" si="15"/>
        <v>16951</v>
      </c>
      <c r="L1026" t="str">
        <f>INDEX(Raw_Shipments!L1026:L3454,MATCH(A1026,Raw_Shipments!B1026:B3454))</f>
        <v>No</v>
      </c>
    </row>
    <row r="1027" spans="1:12" x14ac:dyDescent="0.3">
      <c r="A1027" s="5" t="s">
        <v>1176</v>
      </c>
      <c r="B1027" s="6">
        <v>45818</v>
      </c>
      <c r="C1027" s="5" t="s">
        <v>102</v>
      </c>
      <c r="D1027" s="5" t="s">
        <v>25</v>
      </c>
      <c r="E1027" s="5" t="s">
        <v>97</v>
      </c>
      <c r="F1027" s="5" t="s">
        <v>98</v>
      </c>
      <c r="G1027" s="5" t="s">
        <v>17</v>
      </c>
      <c r="H1027" s="5">
        <v>22</v>
      </c>
      <c r="I1027" s="7">
        <v>1110.6500000000001</v>
      </c>
      <c r="J1027" s="6">
        <v>45825</v>
      </c>
      <c r="K1027">
        <f t="shared" ref="K1027:K1090" si="16">I1027*H1027</f>
        <v>24434.300000000003</v>
      </c>
      <c r="L1027" t="str">
        <f>INDEX(Raw_Shipments!L1027:L3455,MATCH(A1027,Raw_Shipments!B1027:B3455))</f>
        <v>Yes</v>
      </c>
    </row>
    <row r="1028" spans="1:12" x14ac:dyDescent="0.3">
      <c r="A1028" s="2" t="s">
        <v>1177</v>
      </c>
      <c r="B1028" s="3">
        <v>45818</v>
      </c>
      <c r="C1028" s="2" t="s">
        <v>109</v>
      </c>
      <c r="D1028" s="2" t="s">
        <v>14</v>
      </c>
      <c r="E1028" s="2" t="s">
        <v>15</v>
      </c>
      <c r="F1028" s="2" t="s">
        <v>16</v>
      </c>
      <c r="G1028" s="2" t="s">
        <v>17</v>
      </c>
      <c r="H1028" s="2">
        <v>8</v>
      </c>
      <c r="I1028" s="4">
        <v>183.06</v>
      </c>
      <c r="J1028" s="3">
        <v>45828</v>
      </c>
      <c r="K1028">
        <f t="shared" si="16"/>
        <v>1464.48</v>
      </c>
      <c r="L1028" t="str">
        <f>INDEX(Raw_Shipments!L1028:L3456,MATCH(A1028,Raw_Shipments!B1028:B3456))</f>
        <v>Yes</v>
      </c>
    </row>
    <row r="1029" spans="1:12" x14ac:dyDescent="0.3">
      <c r="A1029" s="5" t="s">
        <v>1178</v>
      </c>
      <c r="B1029" s="6">
        <v>45818</v>
      </c>
      <c r="C1029" s="5" t="s">
        <v>456</v>
      </c>
      <c r="D1029" s="5" t="s">
        <v>30</v>
      </c>
      <c r="E1029" s="5" t="s">
        <v>31</v>
      </c>
      <c r="F1029" s="5" t="s">
        <v>32</v>
      </c>
      <c r="G1029" s="5" t="s">
        <v>33</v>
      </c>
      <c r="H1029" s="5">
        <v>49</v>
      </c>
      <c r="I1029" s="7">
        <v>689</v>
      </c>
      <c r="J1029" s="6">
        <v>45828</v>
      </c>
      <c r="K1029">
        <f t="shared" si="16"/>
        <v>33761</v>
      </c>
      <c r="L1029" t="str">
        <f>INDEX(Raw_Shipments!L1029:L3457,MATCH(A1029,Raw_Shipments!B1029:B3457))</f>
        <v>Yes</v>
      </c>
    </row>
    <row r="1030" spans="1:12" x14ac:dyDescent="0.3">
      <c r="A1030" s="2" t="s">
        <v>1179</v>
      </c>
      <c r="B1030" s="3">
        <v>45818</v>
      </c>
      <c r="C1030" s="2" t="s">
        <v>195</v>
      </c>
      <c r="D1030" s="2" t="s">
        <v>45</v>
      </c>
      <c r="E1030" s="2" t="s">
        <v>36</v>
      </c>
      <c r="F1030" s="2" t="s">
        <v>37</v>
      </c>
      <c r="G1030" s="2" t="s">
        <v>33</v>
      </c>
      <c r="H1030" s="2">
        <v>23</v>
      </c>
      <c r="I1030" s="4">
        <v>1064.79</v>
      </c>
      <c r="J1030" s="3">
        <v>45827</v>
      </c>
      <c r="K1030">
        <f t="shared" si="16"/>
        <v>24490.17</v>
      </c>
      <c r="L1030" t="str">
        <f>INDEX(Raw_Shipments!L1030:L3458,MATCH(A1030,Raw_Shipments!B1030:B3458))</f>
        <v>Yes</v>
      </c>
    </row>
    <row r="1031" spans="1:12" x14ac:dyDescent="0.3">
      <c r="A1031" s="5" t="s">
        <v>1180</v>
      </c>
      <c r="B1031" s="6">
        <v>45818</v>
      </c>
      <c r="C1031" s="5" t="s">
        <v>262</v>
      </c>
      <c r="D1031" s="5" t="s">
        <v>14</v>
      </c>
      <c r="E1031" s="5" t="s">
        <v>40</v>
      </c>
      <c r="F1031" s="5" t="s">
        <v>41</v>
      </c>
      <c r="G1031" s="5" t="s">
        <v>42</v>
      </c>
      <c r="H1031" s="5">
        <v>13</v>
      </c>
      <c r="I1031" s="7">
        <v>2445.11</v>
      </c>
      <c r="J1031" s="6">
        <v>45823</v>
      </c>
      <c r="K1031">
        <f t="shared" si="16"/>
        <v>31786.43</v>
      </c>
      <c r="L1031" t="str">
        <f>INDEX(Raw_Shipments!L1031:L3459,MATCH(A1031,Raw_Shipments!B1031:B3459))</f>
        <v>No</v>
      </c>
    </row>
    <row r="1032" spans="1:12" x14ac:dyDescent="0.3">
      <c r="A1032" s="2" t="s">
        <v>1181</v>
      </c>
      <c r="B1032" s="3">
        <v>45819</v>
      </c>
      <c r="C1032" s="2" t="s">
        <v>198</v>
      </c>
      <c r="D1032" s="2" t="s">
        <v>25</v>
      </c>
      <c r="E1032" s="2" t="s">
        <v>58</v>
      </c>
      <c r="F1032" s="2" t="s">
        <v>59</v>
      </c>
      <c r="G1032" s="2" t="s">
        <v>55</v>
      </c>
      <c r="H1032" s="2">
        <v>25</v>
      </c>
      <c r="I1032" s="4">
        <v>1695.1</v>
      </c>
      <c r="J1032" s="3">
        <v>45825</v>
      </c>
      <c r="K1032">
        <f t="shared" si="16"/>
        <v>42377.5</v>
      </c>
      <c r="L1032" t="str">
        <f>INDEX(Raw_Shipments!L1032:L3460,MATCH(A1032,Raw_Shipments!B1032:B3460))</f>
        <v>No</v>
      </c>
    </row>
    <row r="1033" spans="1:12" x14ac:dyDescent="0.3">
      <c r="A1033" s="5" t="s">
        <v>1182</v>
      </c>
      <c r="B1033" s="6">
        <v>45819</v>
      </c>
      <c r="C1033" s="5" t="s">
        <v>115</v>
      </c>
      <c r="D1033" s="5" t="s">
        <v>14</v>
      </c>
      <c r="E1033" s="5" t="s">
        <v>97</v>
      </c>
      <c r="F1033" s="5" t="s">
        <v>98</v>
      </c>
      <c r="G1033" s="5" t="s">
        <v>17</v>
      </c>
      <c r="H1033" s="5">
        <v>11</v>
      </c>
      <c r="I1033" s="7">
        <v>1110.6500000000001</v>
      </c>
      <c r="J1033" s="6">
        <v>45825</v>
      </c>
      <c r="K1033">
        <f t="shared" si="16"/>
        <v>12217.150000000001</v>
      </c>
      <c r="L1033" t="str">
        <f>INDEX(Raw_Shipments!L1033:L3461,MATCH(A1033,Raw_Shipments!B1033:B3461))</f>
        <v>No</v>
      </c>
    </row>
    <row r="1034" spans="1:12" x14ac:dyDescent="0.3">
      <c r="A1034" s="2" t="s">
        <v>1183</v>
      </c>
      <c r="B1034" s="3">
        <v>45819</v>
      </c>
      <c r="C1034" s="2" t="s">
        <v>156</v>
      </c>
      <c r="D1034" s="2" t="s">
        <v>30</v>
      </c>
      <c r="E1034" s="2" t="s">
        <v>15</v>
      </c>
      <c r="F1034" s="2" t="s">
        <v>16</v>
      </c>
      <c r="G1034" s="2" t="s">
        <v>17</v>
      </c>
      <c r="H1034" s="2">
        <v>15</v>
      </c>
      <c r="I1034" s="4">
        <v>183.06</v>
      </c>
      <c r="J1034" s="3">
        <v>45826</v>
      </c>
      <c r="K1034">
        <f t="shared" si="16"/>
        <v>2745.9</v>
      </c>
      <c r="L1034" t="str">
        <f>INDEX(Raw_Shipments!L1034:L3462,MATCH(A1034,Raw_Shipments!B1034:B3462))</f>
        <v>No</v>
      </c>
    </row>
    <row r="1035" spans="1:12" x14ac:dyDescent="0.3">
      <c r="A1035" s="5" t="s">
        <v>1184</v>
      </c>
      <c r="B1035" s="6">
        <v>45819</v>
      </c>
      <c r="C1035" s="5" t="s">
        <v>595</v>
      </c>
      <c r="D1035" s="5" t="s">
        <v>14</v>
      </c>
      <c r="E1035" s="5" t="s">
        <v>119</v>
      </c>
      <c r="F1035" s="5" t="s">
        <v>120</v>
      </c>
      <c r="G1035" s="5" t="s">
        <v>22</v>
      </c>
      <c r="H1035" s="5">
        <v>50</v>
      </c>
      <c r="I1035" s="7">
        <v>912.26</v>
      </c>
      <c r="J1035" s="6">
        <v>45822</v>
      </c>
      <c r="K1035">
        <f t="shared" si="16"/>
        <v>45613</v>
      </c>
      <c r="L1035" t="str">
        <f>INDEX(Raw_Shipments!L1035:L3463,MATCH(A1035,Raw_Shipments!B1035:B3463))</f>
        <v>No</v>
      </c>
    </row>
    <row r="1036" spans="1:12" x14ac:dyDescent="0.3">
      <c r="A1036" s="2" t="s">
        <v>1185</v>
      </c>
      <c r="B1036" s="3">
        <v>45819</v>
      </c>
      <c r="C1036" s="2" t="s">
        <v>39</v>
      </c>
      <c r="D1036" s="2" t="s">
        <v>14</v>
      </c>
      <c r="E1036" s="2" t="s">
        <v>26</v>
      </c>
      <c r="F1036" s="2" t="s">
        <v>27</v>
      </c>
      <c r="G1036" s="2" t="s">
        <v>22</v>
      </c>
      <c r="H1036" s="2">
        <v>31</v>
      </c>
      <c r="I1036" s="4">
        <v>1646.8</v>
      </c>
      <c r="J1036" s="3">
        <v>45826</v>
      </c>
      <c r="K1036">
        <f t="shared" si="16"/>
        <v>51050.799999999996</v>
      </c>
      <c r="L1036" t="str">
        <f>INDEX(Raw_Shipments!L1036:L3464,MATCH(A1036,Raw_Shipments!B1036:B3464))</f>
        <v>Yes</v>
      </c>
    </row>
    <row r="1037" spans="1:12" x14ac:dyDescent="0.3">
      <c r="A1037" s="5" t="s">
        <v>1186</v>
      </c>
      <c r="B1037" s="6">
        <v>45819</v>
      </c>
      <c r="C1037" s="5" t="s">
        <v>19</v>
      </c>
      <c r="D1037" s="5" t="s">
        <v>45</v>
      </c>
      <c r="E1037" s="5" t="s">
        <v>36</v>
      </c>
      <c r="F1037" s="5" t="s">
        <v>37</v>
      </c>
      <c r="G1037" s="5" t="s">
        <v>33</v>
      </c>
      <c r="H1037" s="5">
        <v>43</v>
      </c>
      <c r="I1037" s="7">
        <v>1064.79</v>
      </c>
      <c r="J1037" s="6">
        <v>45829</v>
      </c>
      <c r="K1037">
        <f t="shared" si="16"/>
        <v>45785.97</v>
      </c>
      <c r="L1037" t="str">
        <f>INDEX(Raw_Shipments!L1037:L3465,MATCH(A1037,Raw_Shipments!B1037:B3465))</f>
        <v>Yes</v>
      </c>
    </row>
    <row r="1038" spans="1:12" x14ac:dyDescent="0.3">
      <c r="A1038" s="2" t="s">
        <v>1187</v>
      </c>
      <c r="B1038" s="3">
        <v>45819</v>
      </c>
      <c r="C1038" s="2" t="s">
        <v>356</v>
      </c>
      <c r="D1038" s="2" t="s">
        <v>45</v>
      </c>
      <c r="E1038" s="2" t="s">
        <v>40</v>
      </c>
      <c r="F1038" s="2" t="s">
        <v>41</v>
      </c>
      <c r="G1038" s="2" t="s">
        <v>42</v>
      </c>
      <c r="H1038" s="2">
        <v>11</v>
      </c>
      <c r="I1038" s="4">
        <v>2445.11</v>
      </c>
      <c r="J1038" s="3">
        <v>45828</v>
      </c>
      <c r="K1038">
        <f t="shared" si="16"/>
        <v>26896.210000000003</v>
      </c>
      <c r="L1038" t="str">
        <f>INDEX(Raw_Shipments!L1038:L3466,MATCH(A1038,Raw_Shipments!B1038:B3466))</f>
        <v>No</v>
      </c>
    </row>
    <row r="1039" spans="1:12" x14ac:dyDescent="0.3">
      <c r="A1039" s="5" t="s">
        <v>1188</v>
      </c>
      <c r="B1039" s="6">
        <v>45819</v>
      </c>
      <c r="C1039" s="5" t="s">
        <v>262</v>
      </c>
      <c r="D1039" s="5" t="s">
        <v>45</v>
      </c>
      <c r="E1039" s="5" t="s">
        <v>46</v>
      </c>
      <c r="F1039" s="5" t="s">
        <v>47</v>
      </c>
      <c r="G1039" s="5" t="s">
        <v>42</v>
      </c>
      <c r="H1039" s="5">
        <v>4</v>
      </c>
      <c r="I1039" s="7">
        <v>1833.14</v>
      </c>
      <c r="J1039" s="6">
        <v>45824</v>
      </c>
      <c r="K1039">
        <f t="shared" si="16"/>
        <v>7332.56</v>
      </c>
      <c r="L1039" t="str">
        <f>INDEX(Raw_Shipments!L1039:L3467,MATCH(A1039,Raw_Shipments!B1039:B3467))</f>
        <v>No</v>
      </c>
    </row>
    <row r="1040" spans="1:12" x14ac:dyDescent="0.3">
      <c r="A1040" s="2" t="s">
        <v>1189</v>
      </c>
      <c r="B1040" s="3">
        <v>45820</v>
      </c>
      <c r="C1040" s="2" t="s">
        <v>337</v>
      </c>
      <c r="D1040" s="2" t="s">
        <v>45</v>
      </c>
      <c r="E1040" s="2" t="s">
        <v>58</v>
      </c>
      <c r="F1040" s="2" t="s">
        <v>59</v>
      </c>
      <c r="G1040" s="2" t="s">
        <v>55</v>
      </c>
      <c r="H1040" s="2">
        <v>13</v>
      </c>
      <c r="I1040" s="4">
        <v>1695.1</v>
      </c>
      <c r="J1040" s="3">
        <v>45827</v>
      </c>
      <c r="K1040">
        <f t="shared" si="16"/>
        <v>22036.3</v>
      </c>
      <c r="L1040" t="str">
        <f>INDEX(Raw_Shipments!L1040:L3468,MATCH(A1040,Raw_Shipments!B1040:B3468))</f>
        <v>No</v>
      </c>
    </row>
    <row r="1041" spans="1:12" x14ac:dyDescent="0.3">
      <c r="A1041" s="5" t="s">
        <v>1190</v>
      </c>
      <c r="B1041" s="6">
        <v>45820</v>
      </c>
      <c r="C1041" s="5" t="s">
        <v>343</v>
      </c>
      <c r="D1041" s="5" t="s">
        <v>25</v>
      </c>
      <c r="E1041" s="5" t="s">
        <v>62</v>
      </c>
      <c r="F1041" s="5" t="s">
        <v>63</v>
      </c>
      <c r="G1041" s="5" t="s">
        <v>55</v>
      </c>
      <c r="H1041" s="5">
        <v>21</v>
      </c>
      <c r="I1041" s="7">
        <v>2555.2199999999998</v>
      </c>
      <c r="J1041" s="6">
        <v>45824</v>
      </c>
      <c r="K1041">
        <f t="shared" si="16"/>
        <v>53659.619999999995</v>
      </c>
      <c r="L1041" t="str">
        <f>INDEX(Raw_Shipments!L1041:L3469,MATCH(A1041,Raw_Shipments!B1041:B3469))</f>
        <v>No</v>
      </c>
    </row>
    <row r="1042" spans="1:12" x14ac:dyDescent="0.3">
      <c r="A1042" s="2" t="s">
        <v>1191</v>
      </c>
      <c r="B1042" s="3">
        <v>45820</v>
      </c>
      <c r="C1042" s="2" t="s">
        <v>545</v>
      </c>
      <c r="D1042" s="2" t="s">
        <v>14</v>
      </c>
      <c r="E1042" s="2" t="s">
        <v>66</v>
      </c>
      <c r="F1042" s="2" t="s">
        <v>67</v>
      </c>
      <c r="G1042" s="2" t="s">
        <v>17</v>
      </c>
      <c r="H1042" s="2">
        <v>10</v>
      </c>
      <c r="I1042" s="4">
        <v>850.8</v>
      </c>
      <c r="J1042" s="3">
        <v>45826</v>
      </c>
      <c r="K1042">
        <f t="shared" si="16"/>
        <v>8508</v>
      </c>
      <c r="L1042" t="str">
        <f>INDEX(Raw_Shipments!L1042:L3470,MATCH(A1042,Raw_Shipments!B1042:B3470))</f>
        <v>Yes</v>
      </c>
    </row>
    <row r="1043" spans="1:12" x14ac:dyDescent="0.3">
      <c r="A1043" s="5" t="s">
        <v>1192</v>
      </c>
      <c r="B1043" s="6">
        <v>45820</v>
      </c>
      <c r="C1043" s="5" t="s">
        <v>456</v>
      </c>
      <c r="D1043" s="5" t="s">
        <v>25</v>
      </c>
      <c r="E1043" s="5" t="s">
        <v>97</v>
      </c>
      <c r="F1043" s="5" t="s">
        <v>98</v>
      </c>
      <c r="G1043" s="5" t="s">
        <v>17</v>
      </c>
      <c r="H1043" s="5">
        <v>22</v>
      </c>
      <c r="I1043" s="7">
        <v>1110.6500000000001</v>
      </c>
      <c r="J1043" s="6">
        <v>45825</v>
      </c>
      <c r="K1043">
        <f t="shared" si="16"/>
        <v>24434.300000000003</v>
      </c>
      <c r="L1043" t="str">
        <f>INDEX(Raw_Shipments!L1043:L3471,MATCH(A1043,Raw_Shipments!B1043:B3471))</f>
        <v>No</v>
      </c>
    </row>
    <row r="1044" spans="1:12" x14ac:dyDescent="0.3">
      <c r="A1044" s="2" t="s">
        <v>1193</v>
      </c>
      <c r="B1044" s="3">
        <v>45820</v>
      </c>
      <c r="C1044" s="2" t="s">
        <v>152</v>
      </c>
      <c r="D1044" s="2" t="s">
        <v>25</v>
      </c>
      <c r="E1044" s="2" t="s">
        <v>15</v>
      </c>
      <c r="F1044" s="2" t="s">
        <v>16</v>
      </c>
      <c r="G1044" s="2" t="s">
        <v>17</v>
      </c>
      <c r="H1044" s="2">
        <v>13</v>
      </c>
      <c r="I1044" s="4">
        <v>183.06</v>
      </c>
      <c r="J1044" s="3">
        <v>45830</v>
      </c>
      <c r="K1044">
        <f t="shared" si="16"/>
        <v>2379.7800000000002</v>
      </c>
      <c r="L1044" t="str">
        <f>INDEX(Raw_Shipments!L1044:L3472,MATCH(A1044,Raw_Shipments!B1044:B3472))</f>
        <v>No</v>
      </c>
    </row>
    <row r="1045" spans="1:12" x14ac:dyDescent="0.3">
      <c r="A1045" s="5" t="s">
        <v>1194</v>
      </c>
      <c r="B1045" s="6">
        <v>45820</v>
      </c>
      <c r="C1045" s="5" t="s">
        <v>220</v>
      </c>
      <c r="D1045" s="5" t="s">
        <v>14</v>
      </c>
      <c r="E1045" s="5" t="s">
        <v>119</v>
      </c>
      <c r="F1045" s="5" t="s">
        <v>120</v>
      </c>
      <c r="G1045" s="5" t="s">
        <v>22</v>
      </c>
      <c r="H1045" s="5">
        <v>59</v>
      </c>
      <c r="I1045" s="7">
        <v>912.26</v>
      </c>
      <c r="J1045" s="6">
        <v>45829</v>
      </c>
      <c r="K1045">
        <f t="shared" si="16"/>
        <v>53823.34</v>
      </c>
      <c r="L1045" t="str">
        <f>INDEX(Raw_Shipments!L1045:L3473,MATCH(A1045,Raw_Shipments!B1045:B3473))</f>
        <v>No</v>
      </c>
    </row>
    <row r="1046" spans="1:12" x14ac:dyDescent="0.3">
      <c r="A1046" s="2" t="s">
        <v>1195</v>
      </c>
      <c r="B1046" s="3">
        <v>45820</v>
      </c>
      <c r="C1046" s="2" t="s">
        <v>117</v>
      </c>
      <c r="D1046" s="2" t="s">
        <v>45</v>
      </c>
      <c r="E1046" s="2" t="s">
        <v>86</v>
      </c>
      <c r="F1046" s="2" t="s">
        <v>87</v>
      </c>
      <c r="G1046" s="2" t="s">
        <v>33</v>
      </c>
      <c r="H1046" s="2">
        <v>22</v>
      </c>
      <c r="I1046" s="4">
        <v>815.88</v>
      </c>
      <c r="J1046" s="3">
        <v>45823</v>
      </c>
      <c r="K1046">
        <f t="shared" si="16"/>
        <v>17949.36</v>
      </c>
      <c r="L1046" t="str">
        <f>INDEX(Raw_Shipments!L1046:L3474,MATCH(A1046,Raw_Shipments!B1046:B3474))</f>
        <v>No</v>
      </c>
    </row>
    <row r="1047" spans="1:12" x14ac:dyDescent="0.3">
      <c r="A1047" s="5" t="s">
        <v>1196</v>
      </c>
      <c r="B1047" s="6">
        <v>45821</v>
      </c>
      <c r="C1047" s="5" t="s">
        <v>318</v>
      </c>
      <c r="D1047" s="5" t="s">
        <v>25</v>
      </c>
      <c r="E1047" s="5" t="s">
        <v>62</v>
      </c>
      <c r="F1047" s="5" t="s">
        <v>63</v>
      </c>
      <c r="G1047" s="5" t="s">
        <v>55</v>
      </c>
      <c r="H1047" s="5">
        <v>13</v>
      </c>
      <c r="I1047" s="7">
        <v>2555.2199999999998</v>
      </c>
      <c r="J1047" s="6">
        <v>45830</v>
      </c>
      <c r="K1047">
        <f t="shared" si="16"/>
        <v>33217.86</v>
      </c>
      <c r="L1047" t="str">
        <f>INDEX(Raw_Shipments!L1047:L3475,MATCH(A1047,Raw_Shipments!B1047:B3475))</f>
        <v>Yes</v>
      </c>
    </row>
    <row r="1048" spans="1:12" x14ac:dyDescent="0.3">
      <c r="A1048" s="2" t="s">
        <v>1197</v>
      </c>
      <c r="B1048" s="3">
        <v>45821</v>
      </c>
      <c r="C1048" s="2" t="s">
        <v>93</v>
      </c>
      <c r="D1048" s="2" t="s">
        <v>25</v>
      </c>
      <c r="E1048" s="2" t="s">
        <v>20</v>
      </c>
      <c r="F1048" s="2" t="s">
        <v>21</v>
      </c>
      <c r="G1048" s="2" t="s">
        <v>22</v>
      </c>
      <c r="H1048" s="2">
        <v>13</v>
      </c>
      <c r="I1048" s="4">
        <v>2108.56</v>
      </c>
      <c r="J1048" s="3">
        <v>45830</v>
      </c>
      <c r="K1048">
        <f t="shared" si="16"/>
        <v>27411.279999999999</v>
      </c>
      <c r="L1048" t="str">
        <f>INDEX(Raw_Shipments!L1048:L3476,MATCH(A1048,Raw_Shipments!B1048:B3476))</f>
        <v>No</v>
      </c>
    </row>
    <row r="1049" spans="1:12" x14ac:dyDescent="0.3">
      <c r="A1049" s="5" t="s">
        <v>1198</v>
      </c>
      <c r="B1049" s="6">
        <v>45821</v>
      </c>
      <c r="C1049" s="5" t="s">
        <v>451</v>
      </c>
      <c r="D1049" s="5" t="s">
        <v>14</v>
      </c>
      <c r="E1049" s="5" t="s">
        <v>119</v>
      </c>
      <c r="F1049" s="5" t="s">
        <v>120</v>
      </c>
      <c r="G1049" s="5" t="s">
        <v>22</v>
      </c>
      <c r="H1049" s="5">
        <v>41</v>
      </c>
      <c r="I1049" s="7">
        <v>912.26</v>
      </c>
      <c r="J1049" s="6">
        <v>45827</v>
      </c>
      <c r="K1049">
        <f t="shared" si="16"/>
        <v>37402.659999999996</v>
      </c>
      <c r="L1049" t="str">
        <f>INDEX(Raw_Shipments!L1049:L3477,MATCH(A1049,Raw_Shipments!B1049:B3477))</f>
        <v>No</v>
      </c>
    </row>
    <row r="1050" spans="1:12" x14ac:dyDescent="0.3">
      <c r="A1050" s="2" t="s">
        <v>1199</v>
      </c>
      <c r="B1050" s="3">
        <v>45821</v>
      </c>
      <c r="C1050" s="2" t="s">
        <v>24</v>
      </c>
      <c r="D1050" s="2" t="s">
        <v>25</v>
      </c>
      <c r="E1050" s="2" t="s">
        <v>31</v>
      </c>
      <c r="F1050" s="2" t="s">
        <v>32</v>
      </c>
      <c r="G1050" s="2" t="s">
        <v>33</v>
      </c>
      <c r="H1050" s="2">
        <v>27</v>
      </c>
      <c r="I1050" s="4">
        <v>689</v>
      </c>
      <c r="J1050" s="3">
        <v>45830</v>
      </c>
      <c r="K1050">
        <f t="shared" si="16"/>
        <v>18603</v>
      </c>
      <c r="L1050" t="str">
        <f>INDEX(Raw_Shipments!L1050:L3478,MATCH(A1050,Raw_Shipments!B1050:B3478))</f>
        <v>No</v>
      </c>
    </row>
    <row r="1051" spans="1:12" x14ac:dyDescent="0.3">
      <c r="A1051" s="5" t="s">
        <v>1200</v>
      </c>
      <c r="B1051" s="6">
        <v>45821</v>
      </c>
      <c r="C1051" s="5" t="s">
        <v>91</v>
      </c>
      <c r="D1051" s="5" t="s">
        <v>30</v>
      </c>
      <c r="E1051" s="5" t="s">
        <v>50</v>
      </c>
      <c r="F1051" s="5" t="s">
        <v>51</v>
      </c>
      <c r="G1051" s="5" t="s">
        <v>42</v>
      </c>
      <c r="H1051" s="5">
        <v>10</v>
      </c>
      <c r="I1051" s="7">
        <v>1952.28</v>
      </c>
      <c r="J1051" s="6">
        <v>45829</v>
      </c>
      <c r="K1051">
        <f t="shared" si="16"/>
        <v>19522.8</v>
      </c>
      <c r="L1051" t="str">
        <f>INDEX(Raw_Shipments!L1051:L3479,MATCH(A1051,Raw_Shipments!B1051:B3479))</f>
        <v>No</v>
      </c>
    </row>
    <row r="1052" spans="1:12" x14ac:dyDescent="0.3">
      <c r="A1052" s="2" t="s">
        <v>1201</v>
      </c>
      <c r="B1052" s="3">
        <v>45822</v>
      </c>
      <c r="C1052" s="2" t="s">
        <v>79</v>
      </c>
      <c r="D1052" s="2" t="s">
        <v>45</v>
      </c>
      <c r="E1052" s="2" t="s">
        <v>15</v>
      </c>
      <c r="F1052" s="2" t="s">
        <v>16</v>
      </c>
      <c r="G1052" s="2" t="s">
        <v>17</v>
      </c>
      <c r="H1052" s="2">
        <v>7</v>
      </c>
      <c r="I1052" s="4">
        <v>183.06</v>
      </c>
      <c r="J1052" s="3">
        <v>45830</v>
      </c>
      <c r="K1052">
        <f t="shared" si="16"/>
        <v>1281.42</v>
      </c>
      <c r="L1052" t="str">
        <f>INDEX(Raw_Shipments!L1052:L3480,MATCH(A1052,Raw_Shipments!B1052:B3480))</f>
        <v>Yes</v>
      </c>
    </row>
    <row r="1053" spans="1:12" x14ac:dyDescent="0.3">
      <c r="A1053" s="5" t="s">
        <v>1202</v>
      </c>
      <c r="B1053" s="6">
        <v>45822</v>
      </c>
      <c r="C1053" s="5" t="s">
        <v>117</v>
      </c>
      <c r="D1053" s="5" t="s">
        <v>14</v>
      </c>
      <c r="E1053" s="5" t="s">
        <v>26</v>
      </c>
      <c r="F1053" s="5" t="s">
        <v>27</v>
      </c>
      <c r="G1053" s="5" t="s">
        <v>22</v>
      </c>
      <c r="H1053" s="5">
        <v>12</v>
      </c>
      <c r="I1053" s="7">
        <v>1646.8</v>
      </c>
      <c r="J1053" s="6">
        <v>45832</v>
      </c>
      <c r="K1053">
        <f t="shared" si="16"/>
        <v>19761.599999999999</v>
      </c>
      <c r="L1053" t="str">
        <f>INDEX(Raw_Shipments!L1053:L3481,MATCH(A1053,Raw_Shipments!B1053:B3481))</f>
        <v>No</v>
      </c>
    </row>
    <row r="1054" spans="1:12" x14ac:dyDescent="0.3">
      <c r="A1054" s="2" t="s">
        <v>1203</v>
      </c>
      <c r="B1054" s="3">
        <v>45822</v>
      </c>
      <c r="C1054" s="2" t="s">
        <v>100</v>
      </c>
      <c r="D1054" s="2" t="s">
        <v>14</v>
      </c>
      <c r="E1054" s="2" t="s">
        <v>31</v>
      </c>
      <c r="F1054" s="2" t="s">
        <v>32</v>
      </c>
      <c r="G1054" s="2" t="s">
        <v>33</v>
      </c>
      <c r="H1054" s="2">
        <v>41</v>
      </c>
      <c r="I1054" s="4">
        <v>689</v>
      </c>
      <c r="J1054" s="3">
        <v>45826</v>
      </c>
      <c r="K1054">
        <f t="shared" si="16"/>
        <v>28249</v>
      </c>
      <c r="L1054" t="str">
        <f>INDEX(Raw_Shipments!L1054:L3482,MATCH(A1054,Raw_Shipments!B1054:B3482))</f>
        <v>No</v>
      </c>
    </row>
    <row r="1055" spans="1:12" x14ac:dyDescent="0.3">
      <c r="A1055" s="5" t="s">
        <v>1204</v>
      </c>
      <c r="B1055" s="6">
        <v>45822</v>
      </c>
      <c r="C1055" s="5" t="s">
        <v>122</v>
      </c>
      <c r="D1055" s="5" t="s">
        <v>30</v>
      </c>
      <c r="E1055" s="5" t="s">
        <v>36</v>
      </c>
      <c r="F1055" s="5" t="s">
        <v>37</v>
      </c>
      <c r="G1055" s="5" t="s">
        <v>33</v>
      </c>
      <c r="H1055" s="5">
        <v>49</v>
      </c>
      <c r="I1055" s="7">
        <v>1064.79</v>
      </c>
      <c r="J1055" s="6">
        <v>45827</v>
      </c>
      <c r="K1055">
        <f t="shared" si="16"/>
        <v>52174.71</v>
      </c>
      <c r="L1055" t="str">
        <f>INDEX(Raw_Shipments!L1055:L3483,MATCH(A1055,Raw_Shipments!B1055:B3483))</f>
        <v>No</v>
      </c>
    </row>
    <row r="1056" spans="1:12" x14ac:dyDescent="0.3">
      <c r="A1056" s="2" t="s">
        <v>1205</v>
      </c>
      <c r="B1056" s="3">
        <v>45822</v>
      </c>
      <c r="C1056" s="2" t="s">
        <v>107</v>
      </c>
      <c r="D1056" s="2" t="s">
        <v>25</v>
      </c>
      <c r="E1056" s="2" t="s">
        <v>40</v>
      </c>
      <c r="F1056" s="2" t="s">
        <v>41</v>
      </c>
      <c r="G1056" s="2" t="s">
        <v>42</v>
      </c>
      <c r="H1056" s="2">
        <v>11</v>
      </c>
      <c r="I1056" s="4">
        <v>2445.11</v>
      </c>
      <c r="J1056" s="3">
        <v>45829</v>
      </c>
      <c r="K1056">
        <f t="shared" si="16"/>
        <v>26896.210000000003</v>
      </c>
      <c r="L1056" t="str">
        <f>INDEX(Raw_Shipments!L1056:L3484,MATCH(A1056,Raw_Shipments!B1056:B3484))</f>
        <v>No</v>
      </c>
    </row>
    <row r="1057" spans="1:12" x14ac:dyDescent="0.3">
      <c r="A1057" s="5" t="s">
        <v>1206</v>
      </c>
      <c r="B1057" s="6">
        <v>45822</v>
      </c>
      <c r="C1057" s="5" t="s">
        <v>83</v>
      </c>
      <c r="D1057" s="5" t="s">
        <v>14</v>
      </c>
      <c r="E1057" s="5" t="s">
        <v>50</v>
      </c>
      <c r="F1057" s="5" t="s">
        <v>51</v>
      </c>
      <c r="G1057" s="5" t="s">
        <v>42</v>
      </c>
      <c r="H1057" s="5">
        <v>9</v>
      </c>
      <c r="I1057" s="7">
        <v>1952.28</v>
      </c>
      <c r="J1057" s="6">
        <v>45831</v>
      </c>
      <c r="K1057">
        <f t="shared" si="16"/>
        <v>17570.52</v>
      </c>
      <c r="L1057" t="str">
        <f>INDEX(Raw_Shipments!L1057:L3485,MATCH(A1057,Raw_Shipments!B1057:B3485))</f>
        <v>No</v>
      </c>
    </row>
    <row r="1058" spans="1:12" x14ac:dyDescent="0.3">
      <c r="A1058" s="2" t="s">
        <v>1207</v>
      </c>
      <c r="B1058" s="3">
        <v>45823</v>
      </c>
      <c r="C1058" s="2" t="s">
        <v>19</v>
      </c>
      <c r="D1058" s="2" t="s">
        <v>45</v>
      </c>
      <c r="E1058" s="2" t="s">
        <v>53</v>
      </c>
      <c r="F1058" s="2" t="s">
        <v>54</v>
      </c>
      <c r="G1058" s="2" t="s">
        <v>55</v>
      </c>
      <c r="H1058" s="2">
        <v>17</v>
      </c>
      <c r="I1058" s="4">
        <v>2055.9</v>
      </c>
      <c r="J1058" s="3">
        <v>45829</v>
      </c>
      <c r="K1058">
        <f t="shared" si="16"/>
        <v>34950.300000000003</v>
      </c>
      <c r="L1058" t="str">
        <f>INDEX(Raw_Shipments!L1058:L3486,MATCH(A1058,Raw_Shipments!B1058:B3486))</f>
        <v>No</v>
      </c>
    </row>
    <row r="1059" spans="1:12" x14ac:dyDescent="0.3">
      <c r="A1059" s="5" t="s">
        <v>1208</v>
      </c>
      <c r="B1059" s="6">
        <v>45823</v>
      </c>
      <c r="C1059" s="5" t="s">
        <v>141</v>
      </c>
      <c r="D1059" s="5" t="s">
        <v>30</v>
      </c>
      <c r="E1059" s="5" t="s">
        <v>20</v>
      </c>
      <c r="F1059" s="5" t="s">
        <v>21</v>
      </c>
      <c r="G1059" s="5" t="s">
        <v>22</v>
      </c>
      <c r="H1059" s="5">
        <v>20</v>
      </c>
      <c r="I1059" s="7">
        <v>2108.56</v>
      </c>
      <c r="J1059" s="6">
        <v>45828</v>
      </c>
      <c r="K1059">
        <f t="shared" si="16"/>
        <v>42171.199999999997</v>
      </c>
      <c r="L1059" t="str">
        <f>INDEX(Raw_Shipments!L1059:L3487,MATCH(A1059,Raw_Shipments!B1059:B3487))</f>
        <v>No</v>
      </c>
    </row>
    <row r="1060" spans="1:12" x14ac:dyDescent="0.3">
      <c r="A1060" s="2" t="s">
        <v>1209</v>
      </c>
      <c r="B1060" s="3">
        <v>45823</v>
      </c>
      <c r="C1060" s="2" t="s">
        <v>170</v>
      </c>
      <c r="D1060" s="2" t="s">
        <v>30</v>
      </c>
      <c r="E1060" s="2" t="s">
        <v>31</v>
      </c>
      <c r="F1060" s="2" t="s">
        <v>32</v>
      </c>
      <c r="G1060" s="2" t="s">
        <v>33</v>
      </c>
      <c r="H1060" s="2">
        <v>46</v>
      </c>
      <c r="I1060" s="4">
        <v>689</v>
      </c>
      <c r="J1060" s="3">
        <v>45827</v>
      </c>
      <c r="K1060">
        <f t="shared" si="16"/>
        <v>31694</v>
      </c>
      <c r="L1060" t="str">
        <f>INDEX(Raw_Shipments!L1060:L3488,MATCH(A1060,Raw_Shipments!B1060:B3488))</f>
        <v>No</v>
      </c>
    </row>
    <row r="1061" spans="1:12" x14ac:dyDescent="0.3">
      <c r="A1061" s="5" t="s">
        <v>1210</v>
      </c>
      <c r="B1061" s="6">
        <v>45823</v>
      </c>
      <c r="C1061" s="5" t="s">
        <v>213</v>
      </c>
      <c r="D1061" s="5" t="s">
        <v>25</v>
      </c>
      <c r="E1061" s="5" t="s">
        <v>50</v>
      </c>
      <c r="F1061" s="5" t="s">
        <v>51</v>
      </c>
      <c r="G1061" s="5" t="s">
        <v>42</v>
      </c>
      <c r="H1061" s="5">
        <v>8</v>
      </c>
      <c r="I1061" s="7">
        <v>1952.28</v>
      </c>
      <c r="J1061" s="6">
        <v>45829</v>
      </c>
      <c r="K1061">
        <f t="shared" si="16"/>
        <v>15618.24</v>
      </c>
      <c r="L1061" t="str">
        <f>INDEX(Raw_Shipments!L1061:L3489,MATCH(A1061,Raw_Shipments!B1061:B3489))</f>
        <v>No</v>
      </c>
    </row>
    <row r="1062" spans="1:12" x14ac:dyDescent="0.3">
      <c r="A1062" s="2" t="s">
        <v>1211</v>
      </c>
      <c r="B1062" s="3">
        <v>45824</v>
      </c>
      <c r="C1062" s="2" t="s">
        <v>122</v>
      </c>
      <c r="D1062" s="2" t="s">
        <v>14</v>
      </c>
      <c r="E1062" s="2" t="s">
        <v>53</v>
      </c>
      <c r="F1062" s="2" t="s">
        <v>54</v>
      </c>
      <c r="G1062" s="2" t="s">
        <v>55</v>
      </c>
      <c r="H1062" s="2">
        <v>27</v>
      </c>
      <c r="I1062" s="4">
        <v>2055.9</v>
      </c>
      <c r="J1062" s="3">
        <v>45830</v>
      </c>
      <c r="K1062">
        <f t="shared" si="16"/>
        <v>55509.3</v>
      </c>
      <c r="L1062" t="str">
        <f>INDEX(Raw_Shipments!L1062:L3490,MATCH(A1062,Raw_Shipments!B1062:B3490))</f>
        <v>No</v>
      </c>
    </row>
    <row r="1063" spans="1:12" x14ac:dyDescent="0.3">
      <c r="A1063" s="5" t="s">
        <v>1212</v>
      </c>
      <c r="B1063" s="6">
        <v>45824</v>
      </c>
      <c r="C1063" s="5" t="s">
        <v>260</v>
      </c>
      <c r="D1063" s="5" t="s">
        <v>14</v>
      </c>
      <c r="E1063" s="5" t="s">
        <v>62</v>
      </c>
      <c r="F1063" s="5" t="s">
        <v>63</v>
      </c>
      <c r="G1063" s="5" t="s">
        <v>55</v>
      </c>
      <c r="H1063" s="5">
        <v>35</v>
      </c>
      <c r="I1063" s="7">
        <v>2555.2199999999998</v>
      </c>
      <c r="J1063" s="6">
        <v>45830</v>
      </c>
      <c r="K1063">
        <f t="shared" si="16"/>
        <v>89432.7</v>
      </c>
      <c r="L1063" t="str">
        <f>INDEX(Raw_Shipments!L1063:L3491,MATCH(A1063,Raw_Shipments!B1063:B3491))</f>
        <v>No</v>
      </c>
    </row>
    <row r="1064" spans="1:12" x14ac:dyDescent="0.3">
      <c r="A1064" s="2" t="s">
        <v>1213</v>
      </c>
      <c r="B1064" s="3">
        <v>45824</v>
      </c>
      <c r="C1064" s="2" t="s">
        <v>262</v>
      </c>
      <c r="D1064" s="2" t="s">
        <v>30</v>
      </c>
      <c r="E1064" s="2" t="s">
        <v>66</v>
      </c>
      <c r="F1064" s="2" t="s">
        <v>67</v>
      </c>
      <c r="G1064" s="2" t="s">
        <v>17</v>
      </c>
      <c r="H1064" s="2">
        <v>16</v>
      </c>
      <c r="I1064" s="4">
        <v>850.8</v>
      </c>
      <c r="J1064" s="3">
        <v>45831</v>
      </c>
      <c r="K1064">
        <f t="shared" si="16"/>
        <v>13612.8</v>
      </c>
      <c r="L1064" t="str">
        <f>INDEX(Raw_Shipments!L1064:L3492,MATCH(A1064,Raw_Shipments!B1064:B3492))</f>
        <v>Yes</v>
      </c>
    </row>
    <row r="1065" spans="1:12" x14ac:dyDescent="0.3">
      <c r="A1065" s="5" t="s">
        <v>1214</v>
      </c>
      <c r="B1065" s="6">
        <v>45824</v>
      </c>
      <c r="C1065" s="5" t="s">
        <v>510</v>
      </c>
      <c r="D1065" s="5" t="s">
        <v>45</v>
      </c>
      <c r="E1065" s="5" t="s">
        <v>15</v>
      </c>
      <c r="F1065" s="5" t="s">
        <v>16</v>
      </c>
      <c r="G1065" s="5" t="s">
        <v>17</v>
      </c>
      <c r="H1065" s="5">
        <v>17</v>
      </c>
      <c r="I1065" s="7">
        <v>183.06</v>
      </c>
      <c r="J1065" s="6">
        <v>45834</v>
      </c>
      <c r="K1065">
        <f t="shared" si="16"/>
        <v>3112.02</v>
      </c>
      <c r="L1065" t="str">
        <f>INDEX(Raw_Shipments!L1065:L3493,MATCH(A1065,Raw_Shipments!B1065:B3493))</f>
        <v>No</v>
      </c>
    </row>
    <row r="1066" spans="1:12" x14ac:dyDescent="0.3">
      <c r="A1066" s="2" t="s">
        <v>1215</v>
      </c>
      <c r="B1066" s="3">
        <v>45824</v>
      </c>
      <c r="C1066" s="2" t="s">
        <v>442</v>
      </c>
      <c r="D1066" s="2" t="s">
        <v>25</v>
      </c>
      <c r="E1066" s="2" t="s">
        <v>31</v>
      </c>
      <c r="F1066" s="2" t="s">
        <v>32</v>
      </c>
      <c r="G1066" s="2" t="s">
        <v>33</v>
      </c>
      <c r="H1066" s="2">
        <v>41</v>
      </c>
      <c r="I1066" s="4">
        <v>689</v>
      </c>
      <c r="J1066" s="3">
        <v>45833</v>
      </c>
      <c r="K1066">
        <f t="shared" si="16"/>
        <v>28249</v>
      </c>
      <c r="L1066" t="str">
        <f>INDEX(Raw_Shipments!L1066:L3494,MATCH(A1066,Raw_Shipments!B1066:B3494))</f>
        <v>No</v>
      </c>
    </row>
    <row r="1067" spans="1:12" x14ac:dyDescent="0.3">
      <c r="A1067" s="5" t="s">
        <v>1216</v>
      </c>
      <c r="B1067" s="6">
        <v>45824</v>
      </c>
      <c r="C1067" s="5" t="s">
        <v>141</v>
      </c>
      <c r="D1067" s="5" t="s">
        <v>25</v>
      </c>
      <c r="E1067" s="5" t="s">
        <v>36</v>
      </c>
      <c r="F1067" s="5" t="s">
        <v>37</v>
      </c>
      <c r="G1067" s="5" t="s">
        <v>33</v>
      </c>
      <c r="H1067" s="5">
        <v>51</v>
      </c>
      <c r="I1067" s="7">
        <v>1064.79</v>
      </c>
      <c r="J1067" s="6">
        <v>45827</v>
      </c>
      <c r="K1067">
        <f t="shared" si="16"/>
        <v>54304.29</v>
      </c>
      <c r="L1067" t="str">
        <f>INDEX(Raw_Shipments!L1067:L3495,MATCH(A1067,Raw_Shipments!B1067:B3495))</f>
        <v>No</v>
      </c>
    </row>
    <row r="1068" spans="1:12" x14ac:dyDescent="0.3">
      <c r="A1068" s="2" t="s">
        <v>1217</v>
      </c>
      <c r="B1068" s="3">
        <v>45824</v>
      </c>
      <c r="C1068" s="2" t="s">
        <v>125</v>
      </c>
      <c r="D1068" s="2" t="s">
        <v>25</v>
      </c>
      <c r="E1068" s="2" t="s">
        <v>46</v>
      </c>
      <c r="F1068" s="2" t="s">
        <v>47</v>
      </c>
      <c r="G1068" s="2" t="s">
        <v>42</v>
      </c>
      <c r="H1068" s="2">
        <v>4</v>
      </c>
      <c r="I1068" s="4">
        <v>1833.14</v>
      </c>
      <c r="J1068" s="3">
        <v>45827</v>
      </c>
      <c r="K1068">
        <f t="shared" si="16"/>
        <v>7332.56</v>
      </c>
      <c r="L1068" t="str">
        <f>INDEX(Raw_Shipments!L1068:L3496,MATCH(A1068,Raw_Shipments!B1068:B3496))</f>
        <v>No</v>
      </c>
    </row>
    <row r="1069" spans="1:12" x14ac:dyDescent="0.3">
      <c r="A1069" s="5" t="s">
        <v>1218</v>
      </c>
      <c r="B1069" s="6">
        <v>45825</v>
      </c>
      <c r="C1069" s="5" t="s">
        <v>109</v>
      </c>
      <c r="D1069" s="5" t="s">
        <v>25</v>
      </c>
      <c r="E1069" s="5" t="s">
        <v>53</v>
      </c>
      <c r="F1069" s="5" t="s">
        <v>54</v>
      </c>
      <c r="G1069" s="5" t="s">
        <v>55</v>
      </c>
      <c r="H1069" s="5">
        <v>22</v>
      </c>
      <c r="I1069" s="7">
        <v>2055.9</v>
      </c>
      <c r="J1069" s="6">
        <v>45834</v>
      </c>
      <c r="K1069">
        <f t="shared" si="16"/>
        <v>45229.8</v>
      </c>
      <c r="L1069" t="str">
        <f>INDEX(Raw_Shipments!L1069:L3497,MATCH(A1069,Raw_Shipments!B1069:B3497))</f>
        <v>No</v>
      </c>
    </row>
    <row r="1070" spans="1:12" x14ac:dyDescent="0.3">
      <c r="A1070" s="2" t="s">
        <v>1219</v>
      </c>
      <c r="B1070" s="3">
        <v>45825</v>
      </c>
      <c r="C1070" s="2" t="s">
        <v>77</v>
      </c>
      <c r="D1070" s="2" t="s">
        <v>14</v>
      </c>
      <c r="E1070" s="2" t="s">
        <v>58</v>
      </c>
      <c r="F1070" s="2" t="s">
        <v>59</v>
      </c>
      <c r="G1070" s="2" t="s">
        <v>55</v>
      </c>
      <c r="H1070" s="2">
        <v>18</v>
      </c>
      <c r="I1070" s="4">
        <v>1695.1</v>
      </c>
      <c r="J1070" s="3">
        <v>45830</v>
      </c>
      <c r="K1070">
        <f t="shared" si="16"/>
        <v>30511.8</v>
      </c>
      <c r="L1070" t="str">
        <f>INDEX(Raw_Shipments!L1070:L3498,MATCH(A1070,Raw_Shipments!B1070:B3498))</f>
        <v>No</v>
      </c>
    </row>
    <row r="1071" spans="1:12" x14ac:dyDescent="0.3">
      <c r="A1071" s="5" t="s">
        <v>1220</v>
      </c>
      <c r="B1071" s="6">
        <v>45825</v>
      </c>
      <c r="C1071" s="5" t="s">
        <v>172</v>
      </c>
      <c r="D1071" s="5" t="s">
        <v>30</v>
      </c>
      <c r="E1071" s="5" t="s">
        <v>15</v>
      </c>
      <c r="F1071" s="5" t="s">
        <v>16</v>
      </c>
      <c r="G1071" s="5" t="s">
        <v>17</v>
      </c>
      <c r="H1071" s="5">
        <v>13</v>
      </c>
      <c r="I1071" s="7">
        <v>183.06</v>
      </c>
      <c r="J1071" s="6">
        <v>45833</v>
      </c>
      <c r="K1071">
        <f t="shared" si="16"/>
        <v>2379.7800000000002</v>
      </c>
      <c r="L1071" t="str">
        <f>INDEX(Raw_Shipments!L1071:L3499,MATCH(A1071,Raw_Shipments!B1071:B3499))</f>
        <v>No</v>
      </c>
    </row>
    <row r="1072" spans="1:12" x14ac:dyDescent="0.3">
      <c r="A1072" s="2" t="s">
        <v>1221</v>
      </c>
      <c r="B1072" s="3">
        <v>45825</v>
      </c>
      <c r="C1072" s="2" t="s">
        <v>337</v>
      </c>
      <c r="D1072" s="2" t="s">
        <v>25</v>
      </c>
      <c r="E1072" s="2" t="s">
        <v>20</v>
      </c>
      <c r="F1072" s="2" t="s">
        <v>21</v>
      </c>
      <c r="G1072" s="2" t="s">
        <v>22</v>
      </c>
      <c r="H1072" s="2">
        <v>15</v>
      </c>
      <c r="I1072" s="4">
        <v>2108.56</v>
      </c>
      <c r="J1072" s="3">
        <v>45830</v>
      </c>
      <c r="K1072">
        <f t="shared" si="16"/>
        <v>31628.399999999998</v>
      </c>
      <c r="L1072" t="str">
        <f>INDEX(Raw_Shipments!L1072:L3500,MATCH(A1072,Raw_Shipments!B1072:B3500))</f>
        <v>No</v>
      </c>
    </row>
    <row r="1073" spans="1:12" x14ac:dyDescent="0.3">
      <c r="A1073" s="5" t="s">
        <v>1222</v>
      </c>
      <c r="B1073" s="6">
        <v>45825</v>
      </c>
      <c r="C1073" s="5" t="s">
        <v>85</v>
      </c>
      <c r="D1073" s="5" t="s">
        <v>25</v>
      </c>
      <c r="E1073" s="5" t="s">
        <v>31</v>
      </c>
      <c r="F1073" s="5" t="s">
        <v>32</v>
      </c>
      <c r="G1073" s="5" t="s">
        <v>33</v>
      </c>
      <c r="H1073" s="5">
        <v>41</v>
      </c>
      <c r="I1073" s="7">
        <v>689</v>
      </c>
      <c r="J1073" s="6">
        <v>45832</v>
      </c>
      <c r="K1073">
        <f t="shared" si="16"/>
        <v>28249</v>
      </c>
      <c r="L1073" t="str">
        <f>INDEX(Raw_Shipments!L1073:L3501,MATCH(A1073,Raw_Shipments!B1073:B3501))</f>
        <v>Yes</v>
      </c>
    </row>
    <row r="1074" spans="1:12" x14ac:dyDescent="0.3">
      <c r="A1074" s="2" t="s">
        <v>1223</v>
      </c>
      <c r="B1074" s="3">
        <v>45825</v>
      </c>
      <c r="C1074" s="2" t="s">
        <v>150</v>
      </c>
      <c r="D1074" s="2" t="s">
        <v>14</v>
      </c>
      <c r="E1074" s="2" t="s">
        <v>86</v>
      </c>
      <c r="F1074" s="2" t="s">
        <v>87</v>
      </c>
      <c r="G1074" s="2" t="s">
        <v>33</v>
      </c>
      <c r="H1074" s="2">
        <v>33</v>
      </c>
      <c r="I1074" s="4">
        <v>815.88</v>
      </c>
      <c r="J1074" s="3">
        <v>45835</v>
      </c>
      <c r="K1074">
        <f t="shared" si="16"/>
        <v>26924.04</v>
      </c>
      <c r="L1074" t="str">
        <f>INDEX(Raw_Shipments!L1074:L3502,MATCH(A1074,Raw_Shipments!B1074:B3502))</f>
        <v>Yes</v>
      </c>
    </row>
    <row r="1075" spans="1:12" x14ac:dyDescent="0.3">
      <c r="A1075" s="5" t="s">
        <v>1224</v>
      </c>
      <c r="B1075" s="6">
        <v>45826</v>
      </c>
      <c r="C1075" s="5" t="s">
        <v>438</v>
      </c>
      <c r="D1075" s="5" t="s">
        <v>45</v>
      </c>
      <c r="E1075" s="5" t="s">
        <v>53</v>
      </c>
      <c r="F1075" s="5" t="s">
        <v>54</v>
      </c>
      <c r="G1075" s="5" t="s">
        <v>55</v>
      </c>
      <c r="H1075" s="5">
        <v>49</v>
      </c>
      <c r="I1075" s="7">
        <v>2055.9</v>
      </c>
      <c r="J1075" s="6">
        <v>45832</v>
      </c>
      <c r="K1075">
        <f t="shared" si="16"/>
        <v>100739.1</v>
      </c>
      <c r="L1075" t="str">
        <f>INDEX(Raw_Shipments!L1075:L3503,MATCH(A1075,Raw_Shipments!B1075:B3503))</f>
        <v>No</v>
      </c>
    </row>
    <row r="1076" spans="1:12" x14ac:dyDescent="0.3">
      <c r="A1076" s="2" t="s">
        <v>1225</v>
      </c>
      <c r="B1076" s="3">
        <v>45826</v>
      </c>
      <c r="C1076" s="2" t="s">
        <v>102</v>
      </c>
      <c r="D1076" s="2" t="s">
        <v>45</v>
      </c>
      <c r="E1076" s="2" t="s">
        <v>58</v>
      </c>
      <c r="F1076" s="2" t="s">
        <v>59</v>
      </c>
      <c r="G1076" s="2" t="s">
        <v>55</v>
      </c>
      <c r="H1076" s="2">
        <v>22</v>
      </c>
      <c r="I1076" s="4">
        <v>1695.1</v>
      </c>
      <c r="J1076" s="3">
        <v>45836</v>
      </c>
      <c r="K1076">
        <f t="shared" si="16"/>
        <v>37292.199999999997</v>
      </c>
      <c r="L1076" t="str">
        <f>INDEX(Raw_Shipments!L1076:L3504,MATCH(A1076,Raw_Shipments!B1076:B3504))</f>
        <v>No</v>
      </c>
    </row>
    <row r="1077" spans="1:12" x14ac:dyDescent="0.3">
      <c r="A1077" s="5" t="s">
        <v>1226</v>
      </c>
      <c r="B1077" s="6">
        <v>45826</v>
      </c>
      <c r="C1077" s="5" t="s">
        <v>172</v>
      </c>
      <c r="D1077" s="5" t="s">
        <v>30</v>
      </c>
      <c r="E1077" s="5" t="s">
        <v>97</v>
      </c>
      <c r="F1077" s="5" t="s">
        <v>98</v>
      </c>
      <c r="G1077" s="5" t="s">
        <v>17</v>
      </c>
      <c r="H1077" s="5">
        <v>29</v>
      </c>
      <c r="I1077" s="7">
        <v>1110.6500000000001</v>
      </c>
      <c r="J1077" s="6">
        <v>45834</v>
      </c>
      <c r="K1077">
        <f t="shared" si="16"/>
        <v>32208.850000000002</v>
      </c>
      <c r="L1077" t="str">
        <f>INDEX(Raw_Shipments!L1077:L3505,MATCH(A1077,Raw_Shipments!B1077:B3505))</f>
        <v>No</v>
      </c>
    </row>
    <row r="1078" spans="1:12" x14ac:dyDescent="0.3">
      <c r="A1078" s="2" t="s">
        <v>1227</v>
      </c>
      <c r="B1078" s="3">
        <v>45826</v>
      </c>
      <c r="C1078" s="2" t="s">
        <v>250</v>
      </c>
      <c r="D1078" s="2" t="s">
        <v>14</v>
      </c>
      <c r="E1078" s="2" t="s">
        <v>20</v>
      </c>
      <c r="F1078" s="2" t="s">
        <v>21</v>
      </c>
      <c r="G1078" s="2" t="s">
        <v>22</v>
      </c>
      <c r="H1078" s="2">
        <v>13</v>
      </c>
      <c r="I1078" s="4">
        <v>2108.56</v>
      </c>
      <c r="J1078" s="3">
        <v>45834</v>
      </c>
      <c r="K1078">
        <f t="shared" si="16"/>
        <v>27411.279999999999</v>
      </c>
      <c r="L1078" t="str">
        <f>INDEX(Raw_Shipments!L1078:L3506,MATCH(A1078,Raw_Shipments!B1078:B3506))</f>
        <v>Yes</v>
      </c>
    </row>
    <row r="1079" spans="1:12" x14ac:dyDescent="0.3">
      <c r="A1079" s="5" t="s">
        <v>1228</v>
      </c>
      <c r="B1079" s="6">
        <v>45826</v>
      </c>
      <c r="C1079" s="5" t="s">
        <v>89</v>
      </c>
      <c r="D1079" s="5" t="s">
        <v>25</v>
      </c>
      <c r="E1079" s="5" t="s">
        <v>26</v>
      </c>
      <c r="F1079" s="5" t="s">
        <v>27</v>
      </c>
      <c r="G1079" s="5" t="s">
        <v>22</v>
      </c>
      <c r="H1079" s="5">
        <v>15</v>
      </c>
      <c r="I1079" s="7">
        <v>1646.8</v>
      </c>
      <c r="J1079" s="6">
        <v>45831</v>
      </c>
      <c r="K1079">
        <f t="shared" si="16"/>
        <v>24702</v>
      </c>
      <c r="L1079" t="str">
        <f>INDEX(Raw_Shipments!L1079:L3507,MATCH(A1079,Raw_Shipments!B1079:B3507))</f>
        <v>Yes</v>
      </c>
    </row>
    <row r="1080" spans="1:12" x14ac:dyDescent="0.3">
      <c r="A1080" s="2" t="s">
        <v>1229</v>
      </c>
      <c r="B1080" s="3">
        <v>45826</v>
      </c>
      <c r="C1080" s="2" t="s">
        <v>260</v>
      </c>
      <c r="D1080" s="2" t="s">
        <v>45</v>
      </c>
      <c r="E1080" s="2" t="s">
        <v>86</v>
      </c>
      <c r="F1080" s="2" t="s">
        <v>87</v>
      </c>
      <c r="G1080" s="2" t="s">
        <v>33</v>
      </c>
      <c r="H1080" s="2">
        <v>27</v>
      </c>
      <c r="I1080" s="4">
        <v>815.88</v>
      </c>
      <c r="J1080" s="3">
        <v>45831</v>
      </c>
      <c r="K1080">
        <f t="shared" si="16"/>
        <v>22028.76</v>
      </c>
      <c r="L1080" t="str">
        <f>INDEX(Raw_Shipments!L1080:L3508,MATCH(A1080,Raw_Shipments!B1080:B3508))</f>
        <v>No</v>
      </c>
    </row>
    <row r="1081" spans="1:12" x14ac:dyDescent="0.3">
      <c r="A1081" s="5" t="s">
        <v>1230</v>
      </c>
      <c r="B1081" s="6">
        <v>45826</v>
      </c>
      <c r="C1081" s="5" t="s">
        <v>44</v>
      </c>
      <c r="D1081" s="5" t="s">
        <v>45</v>
      </c>
      <c r="E1081" s="5" t="s">
        <v>40</v>
      </c>
      <c r="F1081" s="5" t="s">
        <v>41</v>
      </c>
      <c r="G1081" s="5" t="s">
        <v>42</v>
      </c>
      <c r="H1081" s="5">
        <v>26</v>
      </c>
      <c r="I1081" s="7">
        <v>2445.11</v>
      </c>
      <c r="J1081" s="6">
        <v>45836</v>
      </c>
      <c r="K1081">
        <f t="shared" si="16"/>
        <v>63572.86</v>
      </c>
      <c r="L1081" t="str">
        <f>INDEX(Raw_Shipments!L1081:L3509,MATCH(A1081,Raw_Shipments!B1081:B3509))</f>
        <v>No</v>
      </c>
    </row>
    <row r="1082" spans="1:12" x14ac:dyDescent="0.3">
      <c r="A1082" s="2" t="s">
        <v>1231</v>
      </c>
      <c r="B1082" s="3">
        <v>45826</v>
      </c>
      <c r="C1082" s="2" t="s">
        <v>83</v>
      </c>
      <c r="D1082" s="2" t="s">
        <v>45</v>
      </c>
      <c r="E1082" s="2" t="s">
        <v>50</v>
      </c>
      <c r="F1082" s="2" t="s">
        <v>51</v>
      </c>
      <c r="G1082" s="2" t="s">
        <v>42</v>
      </c>
      <c r="H1082" s="2">
        <v>7</v>
      </c>
      <c r="I1082" s="4">
        <v>1952.28</v>
      </c>
      <c r="J1082" s="3">
        <v>45835</v>
      </c>
      <c r="K1082">
        <f t="shared" si="16"/>
        <v>13665.96</v>
      </c>
      <c r="L1082" t="str">
        <f>INDEX(Raw_Shipments!L1082:L3510,MATCH(A1082,Raw_Shipments!B1082:B3510))</f>
        <v>No</v>
      </c>
    </row>
    <row r="1083" spans="1:12" x14ac:dyDescent="0.3">
      <c r="A1083" s="5" t="s">
        <v>1232</v>
      </c>
      <c r="B1083" s="6">
        <v>45827</v>
      </c>
      <c r="C1083" s="5" t="s">
        <v>79</v>
      </c>
      <c r="D1083" s="5" t="s">
        <v>30</v>
      </c>
      <c r="E1083" s="5" t="s">
        <v>58</v>
      </c>
      <c r="F1083" s="5" t="s">
        <v>59</v>
      </c>
      <c r="G1083" s="5" t="s">
        <v>55</v>
      </c>
      <c r="H1083" s="5">
        <v>9</v>
      </c>
      <c r="I1083" s="7">
        <v>1695.1</v>
      </c>
      <c r="J1083" s="6">
        <v>45831</v>
      </c>
      <c r="K1083">
        <f t="shared" si="16"/>
        <v>15255.9</v>
      </c>
      <c r="L1083" t="str">
        <f>INDEX(Raw_Shipments!L1083:L3511,MATCH(A1083,Raw_Shipments!B1083:B3511))</f>
        <v>No</v>
      </c>
    </row>
    <row r="1084" spans="1:12" x14ac:dyDescent="0.3">
      <c r="A1084" s="2" t="s">
        <v>1233</v>
      </c>
      <c r="B1084" s="3">
        <v>45827</v>
      </c>
      <c r="C1084" s="2" t="s">
        <v>128</v>
      </c>
      <c r="D1084" s="2" t="s">
        <v>14</v>
      </c>
      <c r="E1084" s="2" t="s">
        <v>15</v>
      </c>
      <c r="F1084" s="2" t="s">
        <v>16</v>
      </c>
      <c r="G1084" s="2" t="s">
        <v>17</v>
      </c>
      <c r="H1084" s="2">
        <v>20</v>
      </c>
      <c r="I1084" s="4">
        <v>183.06</v>
      </c>
      <c r="J1084" s="3">
        <v>45837</v>
      </c>
      <c r="K1084">
        <f t="shared" si="16"/>
        <v>3661.2</v>
      </c>
      <c r="L1084" t="str">
        <f>INDEX(Raw_Shipments!L1084:L3512,MATCH(A1084,Raw_Shipments!B1084:B3512))</f>
        <v>Yes</v>
      </c>
    </row>
    <row r="1085" spans="1:12" x14ac:dyDescent="0.3">
      <c r="A1085" s="5" t="s">
        <v>1234</v>
      </c>
      <c r="B1085" s="6">
        <v>45827</v>
      </c>
      <c r="C1085" s="5" t="s">
        <v>117</v>
      </c>
      <c r="D1085" s="5" t="s">
        <v>25</v>
      </c>
      <c r="E1085" s="5" t="s">
        <v>20</v>
      </c>
      <c r="F1085" s="5" t="s">
        <v>21</v>
      </c>
      <c r="G1085" s="5" t="s">
        <v>22</v>
      </c>
      <c r="H1085" s="5">
        <v>12</v>
      </c>
      <c r="I1085" s="7">
        <v>2108.56</v>
      </c>
      <c r="J1085" s="6">
        <v>45830</v>
      </c>
      <c r="K1085">
        <f t="shared" si="16"/>
        <v>25302.720000000001</v>
      </c>
      <c r="L1085" t="str">
        <f>INDEX(Raw_Shipments!L1085:L3513,MATCH(A1085,Raw_Shipments!B1085:B3513))</f>
        <v>No</v>
      </c>
    </row>
    <row r="1086" spans="1:12" x14ac:dyDescent="0.3">
      <c r="A1086" s="2" t="s">
        <v>1235</v>
      </c>
      <c r="B1086" s="3">
        <v>45827</v>
      </c>
      <c r="C1086" s="2" t="s">
        <v>250</v>
      </c>
      <c r="D1086" s="2" t="s">
        <v>30</v>
      </c>
      <c r="E1086" s="2" t="s">
        <v>119</v>
      </c>
      <c r="F1086" s="2" t="s">
        <v>120</v>
      </c>
      <c r="G1086" s="2" t="s">
        <v>22</v>
      </c>
      <c r="H1086" s="2">
        <v>45</v>
      </c>
      <c r="I1086" s="4">
        <v>912.26</v>
      </c>
      <c r="J1086" s="3">
        <v>45836</v>
      </c>
      <c r="K1086">
        <f t="shared" si="16"/>
        <v>41051.699999999997</v>
      </c>
      <c r="L1086" t="str">
        <f>INDEX(Raw_Shipments!L1086:L3514,MATCH(A1086,Raw_Shipments!B1086:B3514))</f>
        <v>No</v>
      </c>
    </row>
    <row r="1087" spans="1:12" x14ac:dyDescent="0.3">
      <c r="A1087" s="5" t="s">
        <v>1236</v>
      </c>
      <c r="B1087" s="6">
        <v>45827</v>
      </c>
      <c r="C1087" s="5" t="s">
        <v>343</v>
      </c>
      <c r="D1087" s="5" t="s">
        <v>30</v>
      </c>
      <c r="E1087" s="5" t="s">
        <v>26</v>
      </c>
      <c r="F1087" s="5" t="s">
        <v>27</v>
      </c>
      <c r="G1087" s="5" t="s">
        <v>22</v>
      </c>
      <c r="H1087" s="5">
        <v>20</v>
      </c>
      <c r="I1087" s="7">
        <v>1646.8</v>
      </c>
      <c r="J1087" s="6">
        <v>45833</v>
      </c>
      <c r="K1087">
        <f t="shared" si="16"/>
        <v>32936</v>
      </c>
      <c r="L1087" t="str">
        <f>INDEX(Raw_Shipments!L1087:L3515,MATCH(A1087,Raw_Shipments!B1087:B3515))</f>
        <v>Yes</v>
      </c>
    </row>
    <row r="1088" spans="1:12" x14ac:dyDescent="0.3">
      <c r="A1088" s="2" t="s">
        <v>1237</v>
      </c>
      <c r="B1088" s="3">
        <v>45827</v>
      </c>
      <c r="C1088" s="2" t="s">
        <v>69</v>
      </c>
      <c r="D1088" s="2" t="s">
        <v>14</v>
      </c>
      <c r="E1088" s="2" t="s">
        <v>31</v>
      </c>
      <c r="F1088" s="2" t="s">
        <v>32</v>
      </c>
      <c r="G1088" s="2" t="s">
        <v>33</v>
      </c>
      <c r="H1088" s="2">
        <v>43</v>
      </c>
      <c r="I1088" s="4">
        <v>689</v>
      </c>
      <c r="J1088" s="3">
        <v>45836</v>
      </c>
      <c r="K1088">
        <f t="shared" si="16"/>
        <v>29627</v>
      </c>
      <c r="L1088" t="str">
        <f>INDEX(Raw_Shipments!L1088:L3516,MATCH(A1088,Raw_Shipments!B1088:B3516))</f>
        <v>No</v>
      </c>
    </row>
    <row r="1089" spans="1:12" x14ac:dyDescent="0.3">
      <c r="A1089" s="5" t="s">
        <v>1238</v>
      </c>
      <c r="B1089" s="6">
        <v>45827</v>
      </c>
      <c r="C1089" s="5" t="s">
        <v>102</v>
      </c>
      <c r="D1089" s="5" t="s">
        <v>25</v>
      </c>
      <c r="E1089" s="5" t="s">
        <v>36</v>
      </c>
      <c r="F1089" s="5" t="s">
        <v>37</v>
      </c>
      <c r="G1089" s="5" t="s">
        <v>33</v>
      </c>
      <c r="H1089" s="5">
        <v>32</v>
      </c>
      <c r="I1089" s="7">
        <v>1064.79</v>
      </c>
      <c r="J1089" s="6">
        <v>45837</v>
      </c>
      <c r="K1089">
        <f t="shared" si="16"/>
        <v>34073.279999999999</v>
      </c>
      <c r="L1089" t="str">
        <f>INDEX(Raw_Shipments!L1089:L3517,MATCH(A1089,Raw_Shipments!B1089:B3517))</f>
        <v>Yes</v>
      </c>
    </row>
    <row r="1090" spans="1:12" x14ac:dyDescent="0.3">
      <c r="A1090" s="2" t="s">
        <v>1239</v>
      </c>
      <c r="B1090" s="3">
        <v>45827</v>
      </c>
      <c r="C1090" s="2" t="s">
        <v>527</v>
      </c>
      <c r="D1090" s="2" t="s">
        <v>30</v>
      </c>
      <c r="E1090" s="2" t="s">
        <v>46</v>
      </c>
      <c r="F1090" s="2" t="s">
        <v>47</v>
      </c>
      <c r="G1090" s="2" t="s">
        <v>42</v>
      </c>
      <c r="H1090" s="2">
        <v>8</v>
      </c>
      <c r="I1090" s="4">
        <v>1833.14</v>
      </c>
      <c r="J1090" s="3">
        <v>45833</v>
      </c>
      <c r="K1090">
        <f t="shared" si="16"/>
        <v>14665.12</v>
      </c>
      <c r="L1090" t="str">
        <f>INDEX(Raw_Shipments!L1090:L3518,MATCH(A1090,Raw_Shipments!B1090:B3518))</f>
        <v>No</v>
      </c>
    </row>
    <row r="1091" spans="1:12" x14ac:dyDescent="0.3">
      <c r="A1091" s="5" t="s">
        <v>1240</v>
      </c>
      <c r="B1091" s="6">
        <v>45828</v>
      </c>
      <c r="C1091" s="5" t="s">
        <v>83</v>
      </c>
      <c r="D1091" s="5" t="s">
        <v>14</v>
      </c>
      <c r="E1091" s="5" t="s">
        <v>62</v>
      </c>
      <c r="F1091" s="5" t="s">
        <v>63</v>
      </c>
      <c r="G1091" s="5" t="s">
        <v>55</v>
      </c>
      <c r="H1091" s="5">
        <v>42</v>
      </c>
      <c r="I1091" s="7">
        <v>2555.2199999999998</v>
      </c>
      <c r="J1091" s="6">
        <v>45837</v>
      </c>
      <c r="K1091">
        <f t="shared" ref="K1091:K1154" si="17">I1091*H1091</f>
        <v>107319.23999999999</v>
      </c>
      <c r="L1091" t="str">
        <f>INDEX(Raw_Shipments!L1091:L3519,MATCH(A1091,Raw_Shipments!B1091:B3519))</f>
        <v>No</v>
      </c>
    </row>
    <row r="1092" spans="1:12" x14ac:dyDescent="0.3">
      <c r="A1092" s="2" t="s">
        <v>1241</v>
      </c>
      <c r="B1092" s="3">
        <v>45828</v>
      </c>
      <c r="C1092" s="2" t="s">
        <v>156</v>
      </c>
      <c r="D1092" s="2" t="s">
        <v>14</v>
      </c>
      <c r="E1092" s="2" t="s">
        <v>66</v>
      </c>
      <c r="F1092" s="2" t="s">
        <v>67</v>
      </c>
      <c r="G1092" s="2" t="s">
        <v>17</v>
      </c>
      <c r="H1092" s="2">
        <v>12</v>
      </c>
      <c r="I1092" s="4">
        <v>850.8</v>
      </c>
      <c r="J1092" s="3">
        <v>45836</v>
      </c>
      <c r="K1092">
        <f t="shared" si="17"/>
        <v>10209.599999999999</v>
      </c>
      <c r="L1092" t="str">
        <f>INDEX(Raw_Shipments!L1092:L3520,MATCH(A1092,Raw_Shipments!B1092:B3520))</f>
        <v>No</v>
      </c>
    </row>
    <row r="1093" spans="1:12" x14ac:dyDescent="0.3">
      <c r="A1093" s="5" t="s">
        <v>1242</v>
      </c>
      <c r="B1093" s="6">
        <v>45828</v>
      </c>
      <c r="C1093" s="5" t="s">
        <v>102</v>
      </c>
      <c r="D1093" s="5" t="s">
        <v>45</v>
      </c>
      <c r="E1093" s="5" t="s">
        <v>31</v>
      </c>
      <c r="F1093" s="5" t="s">
        <v>32</v>
      </c>
      <c r="G1093" s="5" t="s">
        <v>33</v>
      </c>
      <c r="H1093" s="5">
        <v>40</v>
      </c>
      <c r="I1093" s="7">
        <v>689</v>
      </c>
      <c r="J1093" s="6">
        <v>45838</v>
      </c>
      <c r="K1093">
        <f t="shared" si="17"/>
        <v>27560</v>
      </c>
      <c r="L1093" t="str">
        <f>INDEX(Raw_Shipments!L1093:L3521,MATCH(A1093,Raw_Shipments!B1093:B3521))</f>
        <v>No</v>
      </c>
    </row>
    <row r="1094" spans="1:12" x14ac:dyDescent="0.3">
      <c r="A1094" s="2" t="s">
        <v>1243</v>
      </c>
      <c r="B1094" s="3">
        <v>45828</v>
      </c>
      <c r="C1094" s="2" t="s">
        <v>400</v>
      </c>
      <c r="D1094" s="2" t="s">
        <v>30</v>
      </c>
      <c r="E1094" s="2" t="s">
        <v>40</v>
      </c>
      <c r="F1094" s="2" t="s">
        <v>41</v>
      </c>
      <c r="G1094" s="2" t="s">
        <v>42</v>
      </c>
      <c r="H1094" s="2">
        <v>39</v>
      </c>
      <c r="I1094" s="4">
        <v>2445.11</v>
      </c>
      <c r="J1094" s="3">
        <v>45834</v>
      </c>
      <c r="K1094">
        <f t="shared" si="17"/>
        <v>95359.290000000008</v>
      </c>
      <c r="L1094" t="str">
        <f>INDEX(Raw_Shipments!L1094:L3522,MATCH(A1094,Raw_Shipments!B1094:B3522))</f>
        <v>No</v>
      </c>
    </row>
    <row r="1095" spans="1:12" x14ac:dyDescent="0.3">
      <c r="A1095" s="5" t="s">
        <v>1244</v>
      </c>
      <c r="B1095" s="6">
        <v>45828</v>
      </c>
      <c r="C1095" s="5" t="s">
        <v>217</v>
      </c>
      <c r="D1095" s="5" t="s">
        <v>45</v>
      </c>
      <c r="E1095" s="5" t="s">
        <v>46</v>
      </c>
      <c r="F1095" s="5" t="s">
        <v>47</v>
      </c>
      <c r="G1095" s="5" t="s">
        <v>42</v>
      </c>
      <c r="H1095" s="5">
        <v>9</v>
      </c>
      <c r="I1095" s="7">
        <v>1833.14</v>
      </c>
      <c r="J1095" s="6">
        <v>45831</v>
      </c>
      <c r="K1095">
        <f t="shared" si="17"/>
        <v>16498.260000000002</v>
      </c>
      <c r="L1095" t="str">
        <f>INDEX(Raw_Shipments!L1095:L3523,MATCH(A1095,Raw_Shipments!B1095:B3523))</f>
        <v>No</v>
      </c>
    </row>
    <row r="1096" spans="1:12" x14ac:dyDescent="0.3">
      <c r="A1096" s="2" t="s">
        <v>1245</v>
      </c>
      <c r="B1096" s="3">
        <v>45829</v>
      </c>
      <c r="C1096" s="2" t="s">
        <v>183</v>
      </c>
      <c r="D1096" s="2" t="s">
        <v>25</v>
      </c>
      <c r="E1096" s="2" t="s">
        <v>62</v>
      </c>
      <c r="F1096" s="2" t="s">
        <v>63</v>
      </c>
      <c r="G1096" s="2" t="s">
        <v>55</v>
      </c>
      <c r="H1096" s="2">
        <v>16</v>
      </c>
      <c r="I1096" s="4">
        <v>2555.2199999999998</v>
      </c>
      <c r="J1096" s="3">
        <v>45836</v>
      </c>
      <c r="K1096">
        <f t="shared" si="17"/>
        <v>40883.519999999997</v>
      </c>
      <c r="L1096" t="str">
        <f>INDEX(Raw_Shipments!L1096:L3524,MATCH(A1096,Raw_Shipments!B1096:B3524))</f>
        <v>No</v>
      </c>
    </row>
    <row r="1097" spans="1:12" x14ac:dyDescent="0.3">
      <c r="A1097" s="5" t="s">
        <v>1246</v>
      </c>
      <c r="B1097" s="6">
        <v>45829</v>
      </c>
      <c r="C1097" s="5" t="s">
        <v>107</v>
      </c>
      <c r="D1097" s="5" t="s">
        <v>14</v>
      </c>
      <c r="E1097" s="5" t="s">
        <v>15</v>
      </c>
      <c r="F1097" s="5" t="s">
        <v>16</v>
      </c>
      <c r="G1097" s="5" t="s">
        <v>17</v>
      </c>
      <c r="H1097" s="5">
        <v>15</v>
      </c>
      <c r="I1097" s="7">
        <v>183.06</v>
      </c>
      <c r="J1097" s="6">
        <v>45839</v>
      </c>
      <c r="K1097">
        <f t="shared" si="17"/>
        <v>2745.9</v>
      </c>
      <c r="L1097" t="str">
        <f>INDEX(Raw_Shipments!L1097:L3525,MATCH(A1097,Raw_Shipments!B1097:B3525))</f>
        <v>Yes</v>
      </c>
    </row>
    <row r="1098" spans="1:12" x14ac:dyDescent="0.3">
      <c r="A1098" s="2" t="s">
        <v>1247</v>
      </c>
      <c r="B1098" s="3">
        <v>45829</v>
      </c>
      <c r="C1098" s="2" t="s">
        <v>282</v>
      </c>
      <c r="D1098" s="2" t="s">
        <v>30</v>
      </c>
      <c r="E1098" s="2" t="s">
        <v>119</v>
      </c>
      <c r="F1098" s="2" t="s">
        <v>120</v>
      </c>
      <c r="G1098" s="2" t="s">
        <v>22</v>
      </c>
      <c r="H1098" s="2">
        <v>21</v>
      </c>
      <c r="I1098" s="4">
        <v>912.26</v>
      </c>
      <c r="J1098" s="3">
        <v>45837</v>
      </c>
      <c r="K1098">
        <f t="shared" si="17"/>
        <v>19157.46</v>
      </c>
      <c r="L1098" t="str">
        <f>INDEX(Raw_Shipments!L1098:L3526,MATCH(A1098,Raw_Shipments!B1098:B3526))</f>
        <v>No</v>
      </c>
    </row>
    <row r="1099" spans="1:12" x14ac:dyDescent="0.3">
      <c r="A1099" s="5" t="s">
        <v>1248</v>
      </c>
      <c r="B1099" s="6">
        <v>45829</v>
      </c>
      <c r="C1099" s="5" t="s">
        <v>232</v>
      </c>
      <c r="D1099" s="5" t="s">
        <v>14</v>
      </c>
      <c r="E1099" s="5" t="s">
        <v>31</v>
      </c>
      <c r="F1099" s="5" t="s">
        <v>32</v>
      </c>
      <c r="G1099" s="5" t="s">
        <v>33</v>
      </c>
      <c r="H1099" s="5">
        <v>48</v>
      </c>
      <c r="I1099" s="7">
        <v>689</v>
      </c>
      <c r="J1099" s="6">
        <v>45836</v>
      </c>
      <c r="K1099">
        <f t="shared" si="17"/>
        <v>33072</v>
      </c>
      <c r="L1099" t="str">
        <f>INDEX(Raw_Shipments!L1099:L3527,MATCH(A1099,Raw_Shipments!B1099:B3527))</f>
        <v>No</v>
      </c>
    </row>
    <row r="1100" spans="1:12" x14ac:dyDescent="0.3">
      <c r="A1100" s="2" t="s">
        <v>1249</v>
      </c>
      <c r="B1100" s="3">
        <v>45829</v>
      </c>
      <c r="C1100" s="2" t="s">
        <v>44</v>
      </c>
      <c r="D1100" s="2" t="s">
        <v>45</v>
      </c>
      <c r="E1100" s="2" t="s">
        <v>36</v>
      </c>
      <c r="F1100" s="2" t="s">
        <v>37</v>
      </c>
      <c r="G1100" s="2" t="s">
        <v>33</v>
      </c>
      <c r="H1100" s="2">
        <v>72</v>
      </c>
      <c r="I1100" s="4">
        <v>1064.79</v>
      </c>
      <c r="J1100" s="3">
        <v>45836</v>
      </c>
      <c r="K1100">
        <f t="shared" si="17"/>
        <v>76664.88</v>
      </c>
      <c r="L1100" t="str">
        <f>INDEX(Raw_Shipments!L1100:L3528,MATCH(A1100,Raw_Shipments!B1100:B3528))</f>
        <v>No</v>
      </c>
    </row>
    <row r="1101" spans="1:12" x14ac:dyDescent="0.3">
      <c r="A1101" s="5" t="s">
        <v>1250</v>
      </c>
      <c r="B1101" s="6">
        <v>45829</v>
      </c>
      <c r="C1101" s="5" t="s">
        <v>125</v>
      </c>
      <c r="D1101" s="5" t="s">
        <v>30</v>
      </c>
      <c r="E1101" s="5" t="s">
        <v>86</v>
      </c>
      <c r="F1101" s="5" t="s">
        <v>87</v>
      </c>
      <c r="G1101" s="5" t="s">
        <v>33</v>
      </c>
      <c r="H1101" s="5">
        <v>38</v>
      </c>
      <c r="I1101" s="7">
        <v>815.88</v>
      </c>
      <c r="J1101" s="6">
        <v>45832</v>
      </c>
      <c r="K1101">
        <f t="shared" si="17"/>
        <v>31003.439999999999</v>
      </c>
      <c r="L1101" t="str">
        <f>INDEX(Raw_Shipments!L1101:L3529,MATCH(A1101,Raw_Shipments!B1101:B3529))</f>
        <v>No</v>
      </c>
    </row>
    <row r="1102" spans="1:12" x14ac:dyDescent="0.3">
      <c r="A1102" s="2" t="s">
        <v>1251</v>
      </c>
      <c r="B1102" s="3">
        <v>45829</v>
      </c>
      <c r="C1102" s="2" t="s">
        <v>39</v>
      </c>
      <c r="D1102" s="2" t="s">
        <v>30</v>
      </c>
      <c r="E1102" s="2" t="s">
        <v>40</v>
      </c>
      <c r="F1102" s="2" t="s">
        <v>41</v>
      </c>
      <c r="G1102" s="2" t="s">
        <v>42</v>
      </c>
      <c r="H1102" s="2">
        <v>30</v>
      </c>
      <c r="I1102" s="4">
        <v>2445.11</v>
      </c>
      <c r="J1102" s="3">
        <v>45838</v>
      </c>
      <c r="K1102">
        <f t="shared" si="17"/>
        <v>73353.3</v>
      </c>
      <c r="L1102" t="str">
        <f>INDEX(Raw_Shipments!L1102:L3530,MATCH(A1102,Raw_Shipments!B1102:B3530))</f>
        <v>No</v>
      </c>
    </row>
    <row r="1103" spans="1:12" x14ac:dyDescent="0.3">
      <c r="A1103" s="5" t="s">
        <v>1252</v>
      </c>
      <c r="B1103" s="6">
        <v>45829</v>
      </c>
      <c r="C1103" s="5" t="s">
        <v>363</v>
      </c>
      <c r="D1103" s="5" t="s">
        <v>30</v>
      </c>
      <c r="E1103" s="5" t="s">
        <v>46</v>
      </c>
      <c r="F1103" s="5" t="s">
        <v>47</v>
      </c>
      <c r="G1103" s="5" t="s">
        <v>42</v>
      </c>
      <c r="H1103" s="5">
        <v>8</v>
      </c>
      <c r="I1103" s="7">
        <v>1833.14</v>
      </c>
      <c r="J1103" s="6">
        <v>45837</v>
      </c>
      <c r="K1103">
        <f t="shared" si="17"/>
        <v>14665.12</v>
      </c>
      <c r="L1103" t="str">
        <f>INDEX(Raw_Shipments!L1103:L3531,MATCH(A1103,Raw_Shipments!B1103:B3531))</f>
        <v>No</v>
      </c>
    </row>
    <row r="1104" spans="1:12" x14ac:dyDescent="0.3">
      <c r="A1104" s="2" t="s">
        <v>1253</v>
      </c>
      <c r="B1104" s="3">
        <v>45830</v>
      </c>
      <c r="C1104" s="2" t="s">
        <v>431</v>
      </c>
      <c r="D1104" s="2" t="s">
        <v>14</v>
      </c>
      <c r="E1104" s="2" t="s">
        <v>53</v>
      </c>
      <c r="F1104" s="2" t="s">
        <v>54</v>
      </c>
      <c r="G1104" s="2" t="s">
        <v>55</v>
      </c>
      <c r="H1104" s="2">
        <v>38</v>
      </c>
      <c r="I1104" s="4">
        <v>2055.9</v>
      </c>
      <c r="J1104" s="3">
        <v>45833</v>
      </c>
      <c r="K1104">
        <f t="shared" si="17"/>
        <v>78124.2</v>
      </c>
      <c r="L1104" t="str">
        <f>INDEX(Raw_Shipments!L1104:L3532,MATCH(A1104,Raw_Shipments!B1104:B3532))</f>
        <v>No</v>
      </c>
    </row>
    <row r="1105" spans="1:12" x14ac:dyDescent="0.3">
      <c r="A1105" s="5" t="s">
        <v>1254</v>
      </c>
      <c r="B1105" s="6">
        <v>45830</v>
      </c>
      <c r="C1105" s="5" t="s">
        <v>473</v>
      </c>
      <c r="D1105" s="5" t="s">
        <v>14</v>
      </c>
      <c r="E1105" s="5" t="s">
        <v>62</v>
      </c>
      <c r="F1105" s="5" t="s">
        <v>63</v>
      </c>
      <c r="G1105" s="5" t="s">
        <v>55</v>
      </c>
      <c r="H1105" s="5">
        <v>41</v>
      </c>
      <c r="I1105" s="7">
        <v>2555.2199999999998</v>
      </c>
      <c r="J1105" s="6">
        <v>45835</v>
      </c>
      <c r="K1105">
        <f t="shared" si="17"/>
        <v>104764.01999999999</v>
      </c>
      <c r="L1105" t="str">
        <f>INDEX(Raw_Shipments!L1105:L3533,MATCH(A1105,Raw_Shipments!B1105:B3533))</f>
        <v>No</v>
      </c>
    </row>
    <row r="1106" spans="1:12" x14ac:dyDescent="0.3">
      <c r="A1106" s="2" t="s">
        <v>1255</v>
      </c>
      <c r="B1106" s="3">
        <v>45830</v>
      </c>
      <c r="C1106" s="2" t="s">
        <v>250</v>
      </c>
      <c r="D1106" s="2" t="s">
        <v>25</v>
      </c>
      <c r="E1106" s="2" t="s">
        <v>66</v>
      </c>
      <c r="F1106" s="2" t="s">
        <v>67</v>
      </c>
      <c r="G1106" s="2" t="s">
        <v>17</v>
      </c>
      <c r="H1106" s="2">
        <v>8</v>
      </c>
      <c r="I1106" s="4">
        <v>850.8</v>
      </c>
      <c r="J1106" s="3">
        <v>45836</v>
      </c>
      <c r="K1106">
        <f t="shared" si="17"/>
        <v>6806.4</v>
      </c>
      <c r="L1106" t="str">
        <f>INDEX(Raw_Shipments!L1106:L3534,MATCH(A1106,Raw_Shipments!B1106:B3534))</f>
        <v>No</v>
      </c>
    </row>
    <row r="1107" spans="1:12" x14ac:dyDescent="0.3">
      <c r="A1107" s="5" t="s">
        <v>1256</v>
      </c>
      <c r="B1107" s="6">
        <v>45830</v>
      </c>
      <c r="C1107" s="5" t="s">
        <v>19</v>
      </c>
      <c r="D1107" s="5" t="s">
        <v>45</v>
      </c>
      <c r="E1107" s="5" t="s">
        <v>15</v>
      </c>
      <c r="F1107" s="5" t="s">
        <v>16</v>
      </c>
      <c r="G1107" s="5" t="s">
        <v>17</v>
      </c>
      <c r="H1107" s="5">
        <v>8</v>
      </c>
      <c r="I1107" s="7">
        <v>183.06</v>
      </c>
      <c r="J1107" s="6">
        <v>45839</v>
      </c>
      <c r="K1107">
        <f t="shared" si="17"/>
        <v>1464.48</v>
      </c>
      <c r="L1107" t="str">
        <f>INDEX(Raw_Shipments!L1107:L3535,MATCH(A1107,Raw_Shipments!B1107:B3535))</f>
        <v>Yes</v>
      </c>
    </row>
    <row r="1108" spans="1:12" x14ac:dyDescent="0.3">
      <c r="A1108" s="2" t="s">
        <v>1257</v>
      </c>
      <c r="B1108" s="3">
        <v>45830</v>
      </c>
      <c r="C1108" s="2" t="s">
        <v>220</v>
      </c>
      <c r="D1108" s="2" t="s">
        <v>45</v>
      </c>
      <c r="E1108" s="2" t="s">
        <v>20</v>
      </c>
      <c r="F1108" s="2" t="s">
        <v>21</v>
      </c>
      <c r="G1108" s="2" t="s">
        <v>22</v>
      </c>
      <c r="H1108" s="2">
        <v>18</v>
      </c>
      <c r="I1108" s="4">
        <v>2108.56</v>
      </c>
      <c r="J1108" s="3">
        <v>45840</v>
      </c>
      <c r="K1108">
        <f t="shared" si="17"/>
        <v>37954.080000000002</v>
      </c>
      <c r="L1108" t="str">
        <f>INDEX(Raw_Shipments!L1108:L3536,MATCH(A1108,Raw_Shipments!B1108:B3536))</f>
        <v>No</v>
      </c>
    </row>
    <row r="1109" spans="1:12" x14ac:dyDescent="0.3">
      <c r="A1109" s="5" t="s">
        <v>1258</v>
      </c>
      <c r="B1109" s="6">
        <v>45830</v>
      </c>
      <c r="C1109" s="5" t="s">
        <v>141</v>
      </c>
      <c r="D1109" s="5" t="s">
        <v>25</v>
      </c>
      <c r="E1109" s="5" t="s">
        <v>31</v>
      </c>
      <c r="F1109" s="5" t="s">
        <v>32</v>
      </c>
      <c r="G1109" s="5" t="s">
        <v>33</v>
      </c>
      <c r="H1109" s="5">
        <v>55</v>
      </c>
      <c r="I1109" s="7">
        <v>689</v>
      </c>
      <c r="J1109" s="6">
        <v>45839</v>
      </c>
      <c r="K1109">
        <f t="shared" si="17"/>
        <v>37895</v>
      </c>
      <c r="L1109" t="str">
        <f>INDEX(Raw_Shipments!L1109:L3537,MATCH(A1109,Raw_Shipments!B1109:B3537))</f>
        <v>Yes</v>
      </c>
    </row>
    <row r="1110" spans="1:12" x14ac:dyDescent="0.3">
      <c r="A1110" s="2" t="s">
        <v>1259</v>
      </c>
      <c r="B1110" s="3">
        <v>45830</v>
      </c>
      <c r="C1110" s="2" t="s">
        <v>337</v>
      </c>
      <c r="D1110" s="2" t="s">
        <v>25</v>
      </c>
      <c r="E1110" s="2" t="s">
        <v>36</v>
      </c>
      <c r="F1110" s="2" t="s">
        <v>37</v>
      </c>
      <c r="G1110" s="2" t="s">
        <v>33</v>
      </c>
      <c r="H1110" s="2">
        <v>24</v>
      </c>
      <c r="I1110" s="4">
        <v>1064.79</v>
      </c>
      <c r="J1110" s="3">
        <v>45839</v>
      </c>
      <c r="K1110">
        <f t="shared" si="17"/>
        <v>25554.959999999999</v>
      </c>
      <c r="L1110" t="str">
        <f>INDEX(Raw_Shipments!L1110:L3538,MATCH(A1110,Raw_Shipments!B1110:B3538))</f>
        <v>Yes</v>
      </c>
    </row>
    <row r="1111" spans="1:12" x14ac:dyDescent="0.3">
      <c r="A1111" s="5" t="s">
        <v>1260</v>
      </c>
      <c r="B1111" s="6">
        <v>45830</v>
      </c>
      <c r="C1111" s="5" t="s">
        <v>527</v>
      </c>
      <c r="D1111" s="5" t="s">
        <v>30</v>
      </c>
      <c r="E1111" s="5" t="s">
        <v>86</v>
      </c>
      <c r="F1111" s="5" t="s">
        <v>87</v>
      </c>
      <c r="G1111" s="5" t="s">
        <v>33</v>
      </c>
      <c r="H1111" s="5">
        <v>15</v>
      </c>
      <c r="I1111" s="7">
        <v>815.88</v>
      </c>
      <c r="J1111" s="6">
        <v>45839</v>
      </c>
      <c r="K1111">
        <f t="shared" si="17"/>
        <v>12238.2</v>
      </c>
      <c r="L1111" t="str">
        <f>INDEX(Raw_Shipments!L1111:L3539,MATCH(A1111,Raw_Shipments!B1111:B3539))</f>
        <v>Yes</v>
      </c>
    </row>
    <row r="1112" spans="1:12" x14ac:dyDescent="0.3">
      <c r="A1112" s="2" t="s">
        <v>1261</v>
      </c>
      <c r="B1112" s="3">
        <v>45830</v>
      </c>
      <c r="C1112" s="2" t="s">
        <v>217</v>
      </c>
      <c r="D1112" s="2" t="s">
        <v>45</v>
      </c>
      <c r="E1112" s="2" t="s">
        <v>40</v>
      </c>
      <c r="F1112" s="2" t="s">
        <v>41</v>
      </c>
      <c r="G1112" s="2" t="s">
        <v>42</v>
      </c>
      <c r="H1112" s="2">
        <v>27</v>
      </c>
      <c r="I1112" s="4">
        <v>2445.11</v>
      </c>
      <c r="J1112" s="3">
        <v>45838</v>
      </c>
      <c r="K1112">
        <f t="shared" si="17"/>
        <v>66017.97</v>
      </c>
      <c r="L1112" t="str">
        <f>INDEX(Raw_Shipments!L1112:L3540,MATCH(A1112,Raw_Shipments!B1112:B3540))</f>
        <v>No</v>
      </c>
    </row>
    <row r="1113" spans="1:12" x14ac:dyDescent="0.3">
      <c r="A1113" s="5" t="s">
        <v>1262</v>
      </c>
      <c r="B1113" s="6">
        <v>45830</v>
      </c>
      <c r="C1113" s="5" t="s">
        <v>220</v>
      </c>
      <c r="D1113" s="5" t="s">
        <v>45</v>
      </c>
      <c r="E1113" s="5" t="s">
        <v>46</v>
      </c>
      <c r="F1113" s="5" t="s">
        <v>47</v>
      </c>
      <c r="G1113" s="5" t="s">
        <v>42</v>
      </c>
      <c r="H1113" s="5">
        <v>6</v>
      </c>
      <c r="I1113" s="7">
        <v>1833.14</v>
      </c>
      <c r="J1113" s="6">
        <v>45839</v>
      </c>
      <c r="K1113">
        <f t="shared" si="17"/>
        <v>10998.84</v>
      </c>
      <c r="L1113" t="str">
        <f>INDEX(Raw_Shipments!L1113:L3541,MATCH(A1113,Raw_Shipments!B1113:B3541))</f>
        <v>No</v>
      </c>
    </row>
    <row r="1114" spans="1:12" x14ac:dyDescent="0.3">
      <c r="A1114" s="2" t="s">
        <v>1263</v>
      </c>
      <c r="B1114" s="3">
        <v>45831</v>
      </c>
      <c r="C1114" s="2" t="s">
        <v>180</v>
      </c>
      <c r="D1114" s="2" t="s">
        <v>14</v>
      </c>
      <c r="E1114" s="2" t="s">
        <v>58</v>
      </c>
      <c r="F1114" s="2" t="s">
        <v>59</v>
      </c>
      <c r="G1114" s="2" t="s">
        <v>55</v>
      </c>
      <c r="H1114" s="2">
        <v>17</v>
      </c>
      <c r="I1114" s="4">
        <v>1695.1</v>
      </c>
      <c r="J1114" s="3">
        <v>45838</v>
      </c>
      <c r="K1114">
        <f t="shared" si="17"/>
        <v>28816.699999999997</v>
      </c>
      <c r="L1114" t="str">
        <f>INDEX(Raw_Shipments!L1114:L3542,MATCH(A1114,Raw_Shipments!B1114:B3542))</f>
        <v>Yes</v>
      </c>
    </row>
    <row r="1115" spans="1:12" x14ac:dyDescent="0.3">
      <c r="A1115" s="5" t="s">
        <v>1264</v>
      </c>
      <c r="B1115" s="6">
        <v>45831</v>
      </c>
      <c r="C1115" s="5" t="s">
        <v>282</v>
      </c>
      <c r="D1115" s="5" t="s">
        <v>25</v>
      </c>
      <c r="E1115" s="5" t="s">
        <v>66</v>
      </c>
      <c r="F1115" s="5" t="s">
        <v>67</v>
      </c>
      <c r="G1115" s="5" t="s">
        <v>17</v>
      </c>
      <c r="H1115" s="5">
        <v>13</v>
      </c>
      <c r="I1115" s="7">
        <v>850.8</v>
      </c>
      <c r="J1115" s="6">
        <v>45837</v>
      </c>
      <c r="K1115">
        <f t="shared" si="17"/>
        <v>11060.4</v>
      </c>
      <c r="L1115" t="str">
        <f>INDEX(Raw_Shipments!L1115:L3543,MATCH(A1115,Raw_Shipments!B1115:B3543))</f>
        <v>No</v>
      </c>
    </row>
    <row r="1116" spans="1:12" x14ac:dyDescent="0.3">
      <c r="A1116" s="2" t="s">
        <v>1265</v>
      </c>
      <c r="B1116" s="3">
        <v>45831</v>
      </c>
      <c r="C1116" s="2" t="s">
        <v>220</v>
      </c>
      <c r="D1116" s="2" t="s">
        <v>14</v>
      </c>
      <c r="E1116" s="2" t="s">
        <v>36</v>
      </c>
      <c r="F1116" s="2" t="s">
        <v>37</v>
      </c>
      <c r="G1116" s="2" t="s">
        <v>33</v>
      </c>
      <c r="H1116" s="2">
        <v>11</v>
      </c>
      <c r="I1116" s="4">
        <v>1064.79</v>
      </c>
      <c r="J1116" s="3">
        <v>45839</v>
      </c>
      <c r="K1116">
        <f t="shared" si="17"/>
        <v>11712.689999999999</v>
      </c>
      <c r="L1116" t="str">
        <f>INDEX(Raw_Shipments!L1116:L3544,MATCH(A1116,Raw_Shipments!B1116:B3544))</f>
        <v>No</v>
      </c>
    </row>
    <row r="1117" spans="1:12" x14ac:dyDescent="0.3">
      <c r="A1117" s="5" t="s">
        <v>1266</v>
      </c>
      <c r="B1117" s="6">
        <v>45831</v>
      </c>
      <c r="C1117" s="5" t="s">
        <v>109</v>
      </c>
      <c r="D1117" s="5" t="s">
        <v>30</v>
      </c>
      <c r="E1117" s="5" t="s">
        <v>40</v>
      </c>
      <c r="F1117" s="5" t="s">
        <v>41</v>
      </c>
      <c r="G1117" s="5" t="s">
        <v>42</v>
      </c>
      <c r="H1117" s="5">
        <v>36</v>
      </c>
      <c r="I1117" s="7">
        <v>2445.11</v>
      </c>
      <c r="J1117" s="6">
        <v>45835</v>
      </c>
      <c r="K1117">
        <f t="shared" si="17"/>
        <v>88023.96</v>
      </c>
      <c r="L1117" t="str">
        <f>INDEX(Raw_Shipments!L1117:L3545,MATCH(A1117,Raw_Shipments!B1117:B3545))</f>
        <v>No</v>
      </c>
    </row>
    <row r="1118" spans="1:12" x14ac:dyDescent="0.3">
      <c r="A1118" s="2" t="s">
        <v>1267</v>
      </c>
      <c r="B1118" s="3">
        <v>45831</v>
      </c>
      <c r="C1118" s="2" t="s">
        <v>260</v>
      </c>
      <c r="D1118" s="2" t="s">
        <v>30</v>
      </c>
      <c r="E1118" s="2" t="s">
        <v>46</v>
      </c>
      <c r="F1118" s="2" t="s">
        <v>47</v>
      </c>
      <c r="G1118" s="2" t="s">
        <v>42</v>
      </c>
      <c r="H1118" s="2">
        <v>7</v>
      </c>
      <c r="I1118" s="4">
        <v>1833.14</v>
      </c>
      <c r="J1118" s="3">
        <v>45835</v>
      </c>
      <c r="K1118">
        <f t="shared" si="17"/>
        <v>12831.980000000001</v>
      </c>
      <c r="L1118" t="str">
        <f>INDEX(Raw_Shipments!L1118:L3546,MATCH(A1118,Raw_Shipments!B1118:B3546))</f>
        <v>No</v>
      </c>
    </row>
    <row r="1119" spans="1:12" x14ac:dyDescent="0.3">
      <c r="A1119" s="5" t="s">
        <v>1268</v>
      </c>
      <c r="B1119" s="6">
        <v>45831</v>
      </c>
      <c r="C1119" s="5" t="s">
        <v>178</v>
      </c>
      <c r="D1119" s="5" t="s">
        <v>45</v>
      </c>
      <c r="E1119" s="5" t="s">
        <v>50</v>
      </c>
      <c r="F1119" s="5" t="s">
        <v>51</v>
      </c>
      <c r="G1119" s="5" t="s">
        <v>42</v>
      </c>
      <c r="H1119" s="5">
        <v>13</v>
      </c>
      <c r="I1119" s="7">
        <v>1952.28</v>
      </c>
      <c r="J1119" s="6">
        <v>45837</v>
      </c>
      <c r="K1119">
        <f t="shared" si="17"/>
        <v>25379.64</v>
      </c>
      <c r="L1119" t="str">
        <f>INDEX(Raw_Shipments!L1119:L3547,MATCH(A1119,Raw_Shipments!B1119:B3547))</f>
        <v>No</v>
      </c>
    </row>
    <row r="1120" spans="1:12" x14ac:dyDescent="0.3">
      <c r="A1120" s="2" t="s">
        <v>1269</v>
      </c>
      <c r="B1120" s="3">
        <v>45832</v>
      </c>
      <c r="C1120" s="2" t="s">
        <v>331</v>
      </c>
      <c r="D1120" s="2" t="s">
        <v>45</v>
      </c>
      <c r="E1120" s="2" t="s">
        <v>58</v>
      </c>
      <c r="F1120" s="2" t="s">
        <v>59</v>
      </c>
      <c r="G1120" s="2" t="s">
        <v>55</v>
      </c>
      <c r="H1120" s="2">
        <v>16</v>
      </c>
      <c r="I1120" s="4">
        <v>1695.1</v>
      </c>
      <c r="J1120" s="3">
        <v>45837</v>
      </c>
      <c r="K1120">
        <f t="shared" si="17"/>
        <v>27121.599999999999</v>
      </c>
      <c r="L1120" t="str">
        <f>INDEX(Raw_Shipments!L1120:L3548,MATCH(A1120,Raw_Shipments!B1120:B3548))</f>
        <v>No</v>
      </c>
    </row>
    <row r="1121" spans="1:12" x14ac:dyDescent="0.3">
      <c r="A1121" s="5" t="s">
        <v>1270</v>
      </c>
      <c r="B1121" s="6">
        <v>45832</v>
      </c>
      <c r="C1121" s="5" t="s">
        <v>75</v>
      </c>
      <c r="D1121" s="5" t="s">
        <v>14</v>
      </c>
      <c r="E1121" s="5" t="s">
        <v>66</v>
      </c>
      <c r="F1121" s="5" t="s">
        <v>67</v>
      </c>
      <c r="G1121" s="5" t="s">
        <v>17</v>
      </c>
      <c r="H1121" s="5">
        <v>21</v>
      </c>
      <c r="I1121" s="7">
        <v>850.8</v>
      </c>
      <c r="J1121" s="6">
        <v>45836</v>
      </c>
      <c r="K1121">
        <f t="shared" si="17"/>
        <v>17866.8</v>
      </c>
      <c r="L1121" t="str">
        <f>INDEX(Raw_Shipments!L1121:L3549,MATCH(A1121,Raw_Shipments!B1121:B3549))</f>
        <v>No</v>
      </c>
    </row>
    <row r="1122" spans="1:12" x14ac:dyDescent="0.3">
      <c r="A1122" s="2" t="s">
        <v>1271</v>
      </c>
      <c r="B1122" s="3">
        <v>45832</v>
      </c>
      <c r="C1122" s="2" t="s">
        <v>183</v>
      </c>
      <c r="D1122" s="2" t="s">
        <v>45</v>
      </c>
      <c r="E1122" s="2" t="s">
        <v>97</v>
      </c>
      <c r="F1122" s="2" t="s">
        <v>98</v>
      </c>
      <c r="G1122" s="2" t="s">
        <v>17</v>
      </c>
      <c r="H1122" s="2">
        <v>28</v>
      </c>
      <c r="I1122" s="4">
        <v>1110.6500000000001</v>
      </c>
      <c r="J1122" s="3">
        <v>45840</v>
      </c>
      <c r="K1122">
        <f t="shared" si="17"/>
        <v>31098.200000000004</v>
      </c>
      <c r="L1122" t="str">
        <f>INDEX(Raw_Shipments!L1122:L3550,MATCH(A1122,Raw_Shipments!B1122:B3550))</f>
        <v>Yes</v>
      </c>
    </row>
    <row r="1123" spans="1:12" x14ac:dyDescent="0.3">
      <c r="A1123" s="5" t="s">
        <v>1272</v>
      </c>
      <c r="B1123" s="6">
        <v>45832</v>
      </c>
      <c r="C1123" s="5" t="s">
        <v>57</v>
      </c>
      <c r="D1123" s="5" t="s">
        <v>30</v>
      </c>
      <c r="E1123" s="5" t="s">
        <v>86</v>
      </c>
      <c r="F1123" s="5" t="s">
        <v>87</v>
      </c>
      <c r="G1123" s="5" t="s">
        <v>33</v>
      </c>
      <c r="H1123" s="5">
        <v>33</v>
      </c>
      <c r="I1123" s="7">
        <v>815.88</v>
      </c>
      <c r="J1123" s="6">
        <v>45835</v>
      </c>
      <c r="K1123">
        <f t="shared" si="17"/>
        <v>26924.04</v>
      </c>
      <c r="L1123" t="str">
        <f>INDEX(Raw_Shipments!L1123:L3551,MATCH(A1123,Raw_Shipments!B1123:B3551))</f>
        <v>No</v>
      </c>
    </row>
    <row r="1124" spans="1:12" x14ac:dyDescent="0.3">
      <c r="A1124" s="2" t="s">
        <v>1273</v>
      </c>
      <c r="B1124" s="3">
        <v>45833</v>
      </c>
      <c r="C1124" s="2" t="s">
        <v>447</v>
      </c>
      <c r="D1124" s="2" t="s">
        <v>45</v>
      </c>
      <c r="E1124" s="2" t="s">
        <v>66</v>
      </c>
      <c r="F1124" s="2" t="s">
        <v>67</v>
      </c>
      <c r="G1124" s="2" t="s">
        <v>17</v>
      </c>
      <c r="H1124" s="2">
        <v>8</v>
      </c>
      <c r="I1124" s="4">
        <v>850.8</v>
      </c>
      <c r="J1124" s="3">
        <v>45838</v>
      </c>
      <c r="K1124">
        <f t="shared" si="17"/>
        <v>6806.4</v>
      </c>
      <c r="L1124" t="str">
        <f>INDEX(Raw_Shipments!L1124:L3552,MATCH(A1124,Raw_Shipments!B1124:B3552))</f>
        <v>No</v>
      </c>
    </row>
    <row r="1125" spans="1:12" x14ac:dyDescent="0.3">
      <c r="A1125" s="5" t="s">
        <v>1274</v>
      </c>
      <c r="B1125" s="6">
        <v>45833</v>
      </c>
      <c r="C1125" s="5" t="s">
        <v>172</v>
      </c>
      <c r="D1125" s="5" t="s">
        <v>30</v>
      </c>
      <c r="E1125" s="5" t="s">
        <v>20</v>
      </c>
      <c r="F1125" s="5" t="s">
        <v>21</v>
      </c>
      <c r="G1125" s="5" t="s">
        <v>22</v>
      </c>
      <c r="H1125" s="5">
        <v>11</v>
      </c>
      <c r="I1125" s="7">
        <v>2108.56</v>
      </c>
      <c r="J1125" s="6">
        <v>45840</v>
      </c>
      <c r="K1125">
        <f t="shared" si="17"/>
        <v>23194.16</v>
      </c>
      <c r="L1125" t="str">
        <f>INDEX(Raw_Shipments!L1125:L3553,MATCH(A1125,Raw_Shipments!B1125:B3553))</f>
        <v>No</v>
      </c>
    </row>
    <row r="1126" spans="1:12" x14ac:dyDescent="0.3">
      <c r="A1126" s="2" t="s">
        <v>1275</v>
      </c>
      <c r="B1126" s="3">
        <v>45833</v>
      </c>
      <c r="C1126" s="2" t="s">
        <v>595</v>
      </c>
      <c r="D1126" s="2" t="s">
        <v>30</v>
      </c>
      <c r="E1126" s="2" t="s">
        <v>36</v>
      </c>
      <c r="F1126" s="2" t="s">
        <v>37</v>
      </c>
      <c r="G1126" s="2" t="s">
        <v>33</v>
      </c>
      <c r="H1126" s="2">
        <v>22</v>
      </c>
      <c r="I1126" s="4">
        <v>1064.79</v>
      </c>
      <c r="J1126" s="3">
        <v>45837</v>
      </c>
      <c r="K1126">
        <f t="shared" si="17"/>
        <v>23425.379999999997</v>
      </c>
      <c r="L1126" t="str">
        <f>INDEX(Raw_Shipments!L1126:L3554,MATCH(A1126,Raw_Shipments!B1126:B3554))</f>
        <v>No</v>
      </c>
    </row>
    <row r="1127" spans="1:12" x14ac:dyDescent="0.3">
      <c r="A1127" s="5" t="s">
        <v>1276</v>
      </c>
      <c r="B1127" s="6">
        <v>45833</v>
      </c>
      <c r="C1127" s="5" t="s">
        <v>232</v>
      </c>
      <c r="D1127" s="5" t="s">
        <v>25</v>
      </c>
      <c r="E1127" s="5" t="s">
        <v>46</v>
      </c>
      <c r="F1127" s="5" t="s">
        <v>47</v>
      </c>
      <c r="G1127" s="5" t="s">
        <v>42</v>
      </c>
      <c r="H1127" s="5">
        <v>9</v>
      </c>
      <c r="I1127" s="7">
        <v>1833.14</v>
      </c>
      <c r="J1127" s="6">
        <v>45843</v>
      </c>
      <c r="K1127">
        <f t="shared" si="17"/>
        <v>16498.260000000002</v>
      </c>
      <c r="L1127" t="str">
        <f>INDEX(Raw_Shipments!L1127:L3555,MATCH(A1127,Raw_Shipments!B1127:B3555))</f>
        <v>No</v>
      </c>
    </row>
    <row r="1128" spans="1:12" x14ac:dyDescent="0.3">
      <c r="A1128" s="2" t="s">
        <v>1277</v>
      </c>
      <c r="B1128" s="3">
        <v>45834</v>
      </c>
      <c r="C1128" s="2" t="s">
        <v>447</v>
      </c>
      <c r="D1128" s="2" t="s">
        <v>14</v>
      </c>
      <c r="E1128" s="2" t="s">
        <v>53</v>
      </c>
      <c r="F1128" s="2" t="s">
        <v>54</v>
      </c>
      <c r="G1128" s="2" t="s">
        <v>55</v>
      </c>
      <c r="H1128" s="2">
        <v>20</v>
      </c>
      <c r="I1128" s="4">
        <v>2055.9</v>
      </c>
      <c r="J1128" s="3">
        <v>45842</v>
      </c>
      <c r="K1128">
        <f t="shared" si="17"/>
        <v>41118</v>
      </c>
      <c r="L1128" t="str">
        <f>INDEX(Raw_Shipments!L1128:L3556,MATCH(A1128,Raw_Shipments!B1128:B3556))</f>
        <v>No</v>
      </c>
    </row>
    <row r="1129" spans="1:12" x14ac:dyDescent="0.3">
      <c r="A1129" s="5" t="s">
        <v>1278</v>
      </c>
      <c r="B1129" s="6">
        <v>45834</v>
      </c>
      <c r="C1129" s="5" t="s">
        <v>113</v>
      </c>
      <c r="D1129" s="5" t="s">
        <v>14</v>
      </c>
      <c r="E1129" s="5" t="s">
        <v>58</v>
      </c>
      <c r="F1129" s="5" t="s">
        <v>59</v>
      </c>
      <c r="G1129" s="5" t="s">
        <v>55</v>
      </c>
      <c r="H1129" s="5">
        <v>24</v>
      </c>
      <c r="I1129" s="7">
        <v>1695.1</v>
      </c>
      <c r="J1129" s="6">
        <v>45843</v>
      </c>
      <c r="K1129">
        <f t="shared" si="17"/>
        <v>40682.399999999994</v>
      </c>
      <c r="L1129" t="str">
        <f>INDEX(Raw_Shipments!L1129:L3557,MATCH(A1129,Raw_Shipments!B1129:B3557))</f>
        <v>No</v>
      </c>
    </row>
    <row r="1130" spans="1:12" x14ac:dyDescent="0.3">
      <c r="A1130" s="2" t="s">
        <v>1279</v>
      </c>
      <c r="B1130" s="3">
        <v>45834</v>
      </c>
      <c r="C1130" s="2" t="s">
        <v>154</v>
      </c>
      <c r="D1130" s="2" t="s">
        <v>30</v>
      </c>
      <c r="E1130" s="2" t="s">
        <v>66</v>
      </c>
      <c r="F1130" s="2" t="s">
        <v>67</v>
      </c>
      <c r="G1130" s="2" t="s">
        <v>17</v>
      </c>
      <c r="H1130" s="2">
        <v>9</v>
      </c>
      <c r="I1130" s="4">
        <v>850.8</v>
      </c>
      <c r="J1130" s="3">
        <v>45842</v>
      </c>
      <c r="K1130">
        <f t="shared" si="17"/>
        <v>7657.2</v>
      </c>
      <c r="L1130" t="str">
        <f>INDEX(Raw_Shipments!L1130:L3558,MATCH(A1130,Raw_Shipments!B1130:B3558))</f>
        <v>No</v>
      </c>
    </row>
    <row r="1131" spans="1:12" x14ac:dyDescent="0.3">
      <c r="A1131" s="5" t="s">
        <v>1280</v>
      </c>
      <c r="B1131" s="6">
        <v>45834</v>
      </c>
      <c r="C1131" s="5" t="s">
        <v>91</v>
      </c>
      <c r="D1131" s="5" t="s">
        <v>45</v>
      </c>
      <c r="E1131" s="5" t="s">
        <v>97</v>
      </c>
      <c r="F1131" s="5" t="s">
        <v>98</v>
      </c>
      <c r="G1131" s="5" t="s">
        <v>17</v>
      </c>
      <c r="H1131" s="5">
        <v>33</v>
      </c>
      <c r="I1131" s="7">
        <v>1110.6500000000001</v>
      </c>
      <c r="J1131" s="6">
        <v>45837</v>
      </c>
      <c r="K1131">
        <f t="shared" si="17"/>
        <v>36651.450000000004</v>
      </c>
      <c r="L1131" t="str">
        <f>INDEX(Raw_Shipments!L1131:L3559,MATCH(A1131,Raw_Shipments!B1131:B3559))</f>
        <v>No</v>
      </c>
    </row>
    <row r="1132" spans="1:12" x14ac:dyDescent="0.3">
      <c r="A1132" s="2" t="s">
        <v>1281</v>
      </c>
      <c r="B1132" s="3">
        <v>45834</v>
      </c>
      <c r="C1132" s="2" t="s">
        <v>102</v>
      </c>
      <c r="D1132" s="2" t="s">
        <v>45</v>
      </c>
      <c r="E1132" s="2" t="s">
        <v>15</v>
      </c>
      <c r="F1132" s="2" t="s">
        <v>16</v>
      </c>
      <c r="G1132" s="2" t="s">
        <v>17</v>
      </c>
      <c r="H1132" s="2">
        <v>8</v>
      </c>
      <c r="I1132" s="4">
        <v>183.06</v>
      </c>
      <c r="J1132" s="3">
        <v>45839</v>
      </c>
      <c r="K1132">
        <f t="shared" si="17"/>
        <v>1464.48</v>
      </c>
      <c r="L1132" t="str">
        <f>INDEX(Raw_Shipments!L1132:L3560,MATCH(A1132,Raw_Shipments!B1132:B3560))</f>
        <v>No</v>
      </c>
    </row>
    <row r="1133" spans="1:12" x14ac:dyDescent="0.3">
      <c r="A1133" s="5" t="s">
        <v>1282</v>
      </c>
      <c r="B1133" s="6">
        <v>45834</v>
      </c>
      <c r="C1133" s="5" t="s">
        <v>39</v>
      </c>
      <c r="D1133" s="5" t="s">
        <v>14</v>
      </c>
      <c r="E1133" s="5" t="s">
        <v>20</v>
      </c>
      <c r="F1133" s="5" t="s">
        <v>21</v>
      </c>
      <c r="G1133" s="5" t="s">
        <v>22</v>
      </c>
      <c r="H1133" s="5">
        <v>26</v>
      </c>
      <c r="I1133" s="7">
        <v>2108.56</v>
      </c>
      <c r="J1133" s="6">
        <v>45837</v>
      </c>
      <c r="K1133">
        <f t="shared" si="17"/>
        <v>54822.559999999998</v>
      </c>
      <c r="L1133" t="str">
        <f>INDEX(Raw_Shipments!L1133:L3561,MATCH(A1133,Raw_Shipments!B1133:B3561))</f>
        <v>No</v>
      </c>
    </row>
    <row r="1134" spans="1:12" x14ac:dyDescent="0.3">
      <c r="A1134" s="2" t="s">
        <v>1283</v>
      </c>
      <c r="B1134" s="3">
        <v>45834</v>
      </c>
      <c r="C1134" s="2" t="s">
        <v>260</v>
      </c>
      <c r="D1134" s="2" t="s">
        <v>30</v>
      </c>
      <c r="E1134" s="2" t="s">
        <v>26</v>
      </c>
      <c r="F1134" s="2" t="s">
        <v>27</v>
      </c>
      <c r="G1134" s="2" t="s">
        <v>22</v>
      </c>
      <c r="H1134" s="2">
        <v>12</v>
      </c>
      <c r="I1134" s="4">
        <v>1646.8</v>
      </c>
      <c r="J1134" s="3">
        <v>45841</v>
      </c>
      <c r="K1134">
        <f t="shared" si="17"/>
        <v>19761.599999999999</v>
      </c>
      <c r="L1134" t="str">
        <f>INDEX(Raw_Shipments!L1134:L3562,MATCH(A1134,Raw_Shipments!B1134:B3562))</f>
        <v>No</v>
      </c>
    </row>
    <row r="1135" spans="1:12" x14ac:dyDescent="0.3">
      <c r="A1135" s="5" t="s">
        <v>1284</v>
      </c>
      <c r="B1135" s="6">
        <v>45834</v>
      </c>
      <c r="C1135" s="5" t="s">
        <v>170</v>
      </c>
      <c r="D1135" s="5" t="s">
        <v>25</v>
      </c>
      <c r="E1135" s="5" t="s">
        <v>46</v>
      </c>
      <c r="F1135" s="5" t="s">
        <v>47</v>
      </c>
      <c r="G1135" s="5" t="s">
        <v>42</v>
      </c>
      <c r="H1135" s="5">
        <v>4</v>
      </c>
      <c r="I1135" s="7">
        <v>1833.14</v>
      </c>
      <c r="J1135" s="6">
        <v>45842</v>
      </c>
      <c r="K1135">
        <f t="shared" si="17"/>
        <v>7332.56</v>
      </c>
      <c r="L1135" t="str">
        <f>INDEX(Raw_Shipments!L1135:L3563,MATCH(A1135,Raw_Shipments!B1135:B3563))</f>
        <v>No</v>
      </c>
    </row>
    <row r="1136" spans="1:12" x14ac:dyDescent="0.3">
      <c r="A1136" s="2" t="s">
        <v>1285</v>
      </c>
      <c r="B1136" s="3">
        <v>45835</v>
      </c>
      <c r="C1136" s="2" t="s">
        <v>431</v>
      </c>
      <c r="D1136" s="2" t="s">
        <v>25</v>
      </c>
      <c r="E1136" s="2" t="s">
        <v>58</v>
      </c>
      <c r="F1136" s="2" t="s">
        <v>59</v>
      </c>
      <c r="G1136" s="2" t="s">
        <v>55</v>
      </c>
      <c r="H1136" s="2">
        <v>10</v>
      </c>
      <c r="I1136" s="4">
        <v>1695.1</v>
      </c>
      <c r="J1136" s="3">
        <v>45845</v>
      </c>
      <c r="K1136">
        <f t="shared" si="17"/>
        <v>16951</v>
      </c>
      <c r="L1136" t="str">
        <f>INDEX(Raw_Shipments!L1136:L3564,MATCH(A1136,Raw_Shipments!B1136:B3564))</f>
        <v>No</v>
      </c>
    </row>
    <row r="1137" spans="1:12" x14ac:dyDescent="0.3">
      <c r="A1137" s="5" t="s">
        <v>1286</v>
      </c>
      <c r="B1137" s="6">
        <v>45835</v>
      </c>
      <c r="C1137" s="5" t="s">
        <v>451</v>
      </c>
      <c r="D1137" s="5" t="s">
        <v>45</v>
      </c>
      <c r="E1137" s="5" t="s">
        <v>97</v>
      </c>
      <c r="F1137" s="5" t="s">
        <v>98</v>
      </c>
      <c r="G1137" s="5" t="s">
        <v>17</v>
      </c>
      <c r="H1137" s="5">
        <v>35</v>
      </c>
      <c r="I1137" s="7">
        <v>1110.6500000000001</v>
      </c>
      <c r="J1137" s="6">
        <v>45841</v>
      </c>
      <c r="K1137">
        <f t="shared" si="17"/>
        <v>38872.75</v>
      </c>
      <c r="L1137" t="str">
        <f>INDEX(Raw_Shipments!L1137:L3565,MATCH(A1137,Raw_Shipments!B1137:B3565))</f>
        <v>No</v>
      </c>
    </row>
    <row r="1138" spans="1:12" x14ac:dyDescent="0.3">
      <c r="A1138" s="2" t="s">
        <v>1287</v>
      </c>
      <c r="B1138" s="3">
        <v>45835</v>
      </c>
      <c r="C1138" s="2" t="s">
        <v>400</v>
      </c>
      <c r="D1138" s="2" t="s">
        <v>25</v>
      </c>
      <c r="E1138" s="2" t="s">
        <v>15</v>
      </c>
      <c r="F1138" s="2" t="s">
        <v>16</v>
      </c>
      <c r="G1138" s="2" t="s">
        <v>17</v>
      </c>
      <c r="H1138" s="2">
        <v>10</v>
      </c>
      <c r="I1138" s="4">
        <v>183.06</v>
      </c>
      <c r="J1138" s="3">
        <v>45840</v>
      </c>
      <c r="K1138">
        <f t="shared" si="17"/>
        <v>1830.6</v>
      </c>
      <c r="L1138" t="str">
        <f>INDEX(Raw_Shipments!L1138:L3566,MATCH(A1138,Raw_Shipments!B1138:B3566))</f>
        <v>Yes</v>
      </c>
    </row>
    <row r="1139" spans="1:12" x14ac:dyDescent="0.3">
      <c r="A1139" s="5" t="s">
        <v>1288</v>
      </c>
      <c r="B1139" s="6">
        <v>45835</v>
      </c>
      <c r="C1139" s="5" t="s">
        <v>400</v>
      </c>
      <c r="D1139" s="5" t="s">
        <v>25</v>
      </c>
      <c r="E1139" s="5" t="s">
        <v>20</v>
      </c>
      <c r="F1139" s="5" t="s">
        <v>21</v>
      </c>
      <c r="G1139" s="5" t="s">
        <v>22</v>
      </c>
      <c r="H1139" s="5">
        <v>20</v>
      </c>
      <c r="I1139" s="7">
        <v>2108.56</v>
      </c>
      <c r="J1139" s="6">
        <v>45842</v>
      </c>
      <c r="K1139">
        <f t="shared" si="17"/>
        <v>42171.199999999997</v>
      </c>
      <c r="L1139" t="str">
        <f>INDEX(Raw_Shipments!L1139:L3567,MATCH(A1139,Raw_Shipments!B1139:B3567))</f>
        <v>Yes</v>
      </c>
    </row>
    <row r="1140" spans="1:12" x14ac:dyDescent="0.3">
      <c r="A1140" s="2" t="s">
        <v>1289</v>
      </c>
      <c r="B1140" s="3">
        <v>45835</v>
      </c>
      <c r="C1140" s="2" t="s">
        <v>262</v>
      </c>
      <c r="D1140" s="2" t="s">
        <v>25</v>
      </c>
      <c r="E1140" s="2" t="s">
        <v>26</v>
      </c>
      <c r="F1140" s="2" t="s">
        <v>27</v>
      </c>
      <c r="G1140" s="2" t="s">
        <v>22</v>
      </c>
      <c r="H1140" s="2">
        <v>31</v>
      </c>
      <c r="I1140" s="4">
        <v>1646.8</v>
      </c>
      <c r="J1140" s="3">
        <v>45842</v>
      </c>
      <c r="K1140">
        <f t="shared" si="17"/>
        <v>51050.799999999996</v>
      </c>
      <c r="L1140" t="str">
        <f>INDEX(Raw_Shipments!L1140:L3568,MATCH(A1140,Raw_Shipments!B1140:B3568))</f>
        <v>No</v>
      </c>
    </row>
    <row r="1141" spans="1:12" x14ac:dyDescent="0.3">
      <c r="A1141" s="5" t="s">
        <v>1290</v>
      </c>
      <c r="B1141" s="6">
        <v>45835</v>
      </c>
      <c r="C1141" s="5" t="s">
        <v>83</v>
      </c>
      <c r="D1141" s="5" t="s">
        <v>25</v>
      </c>
      <c r="E1141" s="5" t="s">
        <v>86</v>
      </c>
      <c r="F1141" s="5" t="s">
        <v>87</v>
      </c>
      <c r="G1141" s="5" t="s">
        <v>33</v>
      </c>
      <c r="H1141" s="5">
        <v>29</v>
      </c>
      <c r="I1141" s="7">
        <v>815.88</v>
      </c>
      <c r="J1141" s="6">
        <v>45838</v>
      </c>
      <c r="K1141">
        <f t="shared" si="17"/>
        <v>23660.52</v>
      </c>
      <c r="L1141" t="str">
        <f>INDEX(Raw_Shipments!L1141:L3569,MATCH(A1141,Raw_Shipments!B1141:B3569))</f>
        <v>No</v>
      </c>
    </row>
    <row r="1142" spans="1:12" x14ac:dyDescent="0.3">
      <c r="A1142" s="2" t="s">
        <v>1291</v>
      </c>
      <c r="B1142" s="3">
        <v>45835</v>
      </c>
      <c r="C1142" s="2" t="s">
        <v>175</v>
      </c>
      <c r="D1142" s="2" t="s">
        <v>25</v>
      </c>
      <c r="E1142" s="2" t="s">
        <v>46</v>
      </c>
      <c r="F1142" s="2" t="s">
        <v>47</v>
      </c>
      <c r="G1142" s="2" t="s">
        <v>42</v>
      </c>
      <c r="H1142" s="2">
        <v>9</v>
      </c>
      <c r="I1142" s="4">
        <v>1833.14</v>
      </c>
      <c r="J1142" s="3">
        <v>45839</v>
      </c>
      <c r="K1142">
        <f t="shared" si="17"/>
        <v>16498.260000000002</v>
      </c>
      <c r="L1142" t="str">
        <f>INDEX(Raw_Shipments!L1142:L3570,MATCH(A1142,Raw_Shipments!B1142:B3570))</f>
        <v>No</v>
      </c>
    </row>
    <row r="1143" spans="1:12" x14ac:dyDescent="0.3">
      <c r="A1143" s="5" t="s">
        <v>1292</v>
      </c>
      <c r="B1143" s="6">
        <v>45836</v>
      </c>
      <c r="C1143" s="5" t="s">
        <v>262</v>
      </c>
      <c r="D1143" s="5" t="s">
        <v>14</v>
      </c>
      <c r="E1143" s="5" t="s">
        <v>53</v>
      </c>
      <c r="F1143" s="5" t="s">
        <v>54</v>
      </c>
      <c r="G1143" s="5" t="s">
        <v>55</v>
      </c>
      <c r="H1143" s="5">
        <v>38</v>
      </c>
      <c r="I1143" s="7">
        <v>2055.9</v>
      </c>
      <c r="J1143" s="6">
        <v>45844</v>
      </c>
      <c r="K1143">
        <f t="shared" si="17"/>
        <v>78124.2</v>
      </c>
      <c r="L1143" t="str">
        <f>INDEX(Raw_Shipments!L1143:L3571,MATCH(A1143,Raw_Shipments!B1143:B3571))</f>
        <v>No</v>
      </c>
    </row>
    <row r="1144" spans="1:12" x14ac:dyDescent="0.3">
      <c r="A1144" s="2" t="s">
        <v>1293</v>
      </c>
      <c r="B1144" s="3">
        <v>45836</v>
      </c>
      <c r="C1144" s="2" t="s">
        <v>91</v>
      </c>
      <c r="D1144" s="2" t="s">
        <v>30</v>
      </c>
      <c r="E1144" s="2" t="s">
        <v>58</v>
      </c>
      <c r="F1144" s="2" t="s">
        <v>59</v>
      </c>
      <c r="G1144" s="2" t="s">
        <v>55</v>
      </c>
      <c r="H1144" s="2">
        <v>15</v>
      </c>
      <c r="I1144" s="4">
        <v>1695.1</v>
      </c>
      <c r="J1144" s="3">
        <v>45841</v>
      </c>
      <c r="K1144">
        <f t="shared" si="17"/>
        <v>25426.5</v>
      </c>
      <c r="L1144" t="str">
        <f>INDEX(Raw_Shipments!L1144:L3572,MATCH(A1144,Raw_Shipments!B1144:B3572))</f>
        <v>No</v>
      </c>
    </row>
    <row r="1145" spans="1:12" x14ac:dyDescent="0.3">
      <c r="A1145" s="5" t="s">
        <v>1294</v>
      </c>
      <c r="B1145" s="6">
        <v>45836</v>
      </c>
      <c r="C1145" s="5" t="s">
        <v>400</v>
      </c>
      <c r="D1145" s="5" t="s">
        <v>14</v>
      </c>
      <c r="E1145" s="5" t="s">
        <v>66</v>
      </c>
      <c r="F1145" s="5" t="s">
        <v>67</v>
      </c>
      <c r="G1145" s="5" t="s">
        <v>17</v>
      </c>
      <c r="H1145" s="5">
        <v>22</v>
      </c>
      <c r="I1145" s="7">
        <v>850.8</v>
      </c>
      <c r="J1145" s="6">
        <v>45844</v>
      </c>
      <c r="K1145">
        <f t="shared" si="17"/>
        <v>18717.599999999999</v>
      </c>
      <c r="L1145" t="str">
        <f>INDEX(Raw_Shipments!L1145:L3573,MATCH(A1145,Raw_Shipments!B1145:B3573))</f>
        <v>No</v>
      </c>
    </row>
    <row r="1146" spans="1:12" x14ac:dyDescent="0.3">
      <c r="A1146" s="2" t="s">
        <v>1295</v>
      </c>
      <c r="B1146" s="3">
        <v>45836</v>
      </c>
      <c r="C1146" s="2" t="s">
        <v>510</v>
      </c>
      <c r="D1146" s="2" t="s">
        <v>45</v>
      </c>
      <c r="E1146" s="2" t="s">
        <v>15</v>
      </c>
      <c r="F1146" s="2" t="s">
        <v>16</v>
      </c>
      <c r="G1146" s="2" t="s">
        <v>17</v>
      </c>
      <c r="H1146" s="2">
        <v>20</v>
      </c>
      <c r="I1146" s="4">
        <v>183.06</v>
      </c>
      <c r="J1146" s="3">
        <v>45845</v>
      </c>
      <c r="K1146">
        <f t="shared" si="17"/>
        <v>3661.2</v>
      </c>
      <c r="L1146" t="str">
        <f>INDEX(Raw_Shipments!L1146:L3574,MATCH(A1146,Raw_Shipments!B1146:B3574))</f>
        <v>Yes</v>
      </c>
    </row>
    <row r="1147" spans="1:12" x14ac:dyDescent="0.3">
      <c r="A1147" s="5" t="s">
        <v>1296</v>
      </c>
      <c r="B1147" s="6">
        <v>45836</v>
      </c>
      <c r="C1147" s="5" t="s">
        <v>220</v>
      </c>
      <c r="D1147" s="5" t="s">
        <v>14</v>
      </c>
      <c r="E1147" s="5" t="s">
        <v>20</v>
      </c>
      <c r="F1147" s="5" t="s">
        <v>21</v>
      </c>
      <c r="G1147" s="5" t="s">
        <v>22</v>
      </c>
      <c r="H1147" s="5">
        <v>18</v>
      </c>
      <c r="I1147" s="7">
        <v>2108.56</v>
      </c>
      <c r="J1147" s="6">
        <v>45841</v>
      </c>
      <c r="K1147">
        <f t="shared" si="17"/>
        <v>37954.080000000002</v>
      </c>
      <c r="L1147" t="str">
        <f>INDEX(Raw_Shipments!L1147:L3575,MATCH(A1147,Raw_Shipments!B1147:B3575))</f>
        <v>No</v>
      </c>
    </row>
    <row r="1148" spans="1:12" x14ac:dyDescent="0.3">
      <c r="A1148" s="2" t="s">
        <v>1297</v>
      </c>
      <c r="B1148" s="3">
        <v>45836</v>
      </c>
      <c r="C1148" s="2" t="s">
        <v>77</v>
      </c>
      <c r="D1148" s="2" t="s">
        <v>30</v>
      </c>
      <c r="E1148" s="2" t="s">
        <v>119</v>
      </c>
      <c r="F1148" s="2" t="s">
        <v>120</v>
      </c>
      <c r="G1148" s="2" t="s">
        <v>22</v>
      </c>
      <c r="H1148" s="2">
        <v>28</v>
      </c>
      <c r="I1148" s="4">
        <v>912.26</v>
      </c>
      <c r="J1148" s="3">
        <v>45845</v>
      </c>
      <c r="K1148">
        <f t="shared" si="17"/>
        <v>25543.279999999999</v>
      </c>
      <c r="L1148" t="str">
        <f>INDEX(Raw_Shipments!L1148:L3576,MATCH(A1148,Raw_Shipments!B1148:B3576))</f>
        <v>Yes</v>
      </c>
    </row>
    <row r="1149" spans="1:12" x14ac:dyDescent="0.3">
      <c r="A1149" s="5" t="s">
        <v>1298</v>
      </c>
      <c r="B1149" s="6">
        <v>45836</v>
      </c>
      <c r="C1149" s="5" t="s">
        <v>135</v>
      </c>
      <c r="D1149" s="5" t="s">
        <v>14</v>
      </c>
      <c r="E1149" s="5" t="s">
        <v>46</v>
      </c>
      <c r="F1149" s="5" t="s">
        <v>47</v>
      </c>
      <c r="G1149" s="5" t="s">
        <v>42</v>
      </c>
      <c r="H1149" s="5">
        <v>8</v>
      </c>
      <c r="I1149" s="7">
        <v>1833.14</v>
      </c>
      <c r="J1149" s="6">
        <v>45841</v>
      </c>
      <c r="K1149">
        <f t="shared" si="17"/>
        <v>14665.12</v>
      </c>
      <c r="L1149" t="str">
        <f>INDEX(Raw_Shipments!L1149:L3577,MATCH(A1149,Raw_Shipments!B1149:B3577))</f>
        <v>No</v>
      </c>
    </row>
    <row r="1150" spans="1:12" x14ac:dyDescent="0.3">
      <c r="A1150" s="2" t="s">
        <v>1299</v>
      </c>
      <c r="B1150" s="3">
        <v>45837</v>
      </c>
      <c r="C1150" s="2" t="s">
        <v>312</v>
      </c>
      <c r="D1150" s="2" t="s">
        <v>30</v>
      </c>
      <c r="E1150" s="2" t="s">
        <v>20</v>
      </c>
      <c r="F1150" s="2" t="s">
        <v>21</v>
      </c>
      <c r="G1150" s="2" t="s">
        <v>22</v>
      </c>
      <c r="H1150" s="2">
        <v>17</v>
      </c>
      <c r="I1150" s="4">
        <v>2108.56</v>
      </c>
      <c r="J1150" s="3">
        <v>45841</v>
      </c>
      <c r="K1150">
        <f t="shared" si="17"/>
        <v>35845.519999999997</v>
      </c>
      <c r="L1150" t="str">
        <f>INDEX(Raw_Shipments!L1150:L3578,MATCH(A1150,Raw_Shipments!B1150:B3578))</f>
        <v>No</v>
      </c>
    </row>
    <row r="1151" spans="1:12" x14ac:dyDescent="0.3">
      <c r="A1151" s="5" t="s">
        <v>1300</v>
      </c>
      <c r="B1151" s="6">
        <v>45837</v>
      </c>
      <c r="C1151" s="5" t="s">
        <v>191</v>
      </c>
      <c r="D1151" s="5" t="s">
        <v>25</v>
      </c>
      <c r="E1151" s="5" t="s">
        <v>119</v>
      </c>
      <c r="F1151" s="5" t="s">
        <v>120</v>
      </c>
      <c r="G1151" s="5" t="s">
        <v>22</v>
      </c>
      <c r="H1151" s="5">
        <v>55</v>
      </c>
      <c r="I1151" s="7">
        <v>912.26</v>
      </c>
      <c r="J1151" s="6">
        <v>45845</v>
      </c>
      <c r="K1151">
        <f t="shared" si="17"/>
        <v>50174.3</v>
      </c>
      <c r="L1151" t="str">
        <f>INDEX(Raw_Shipments!L1151:L3579,MATCH(A1151,Raw_Shipments!B1151:B3579))</f>
        <v>No</v>
      </c>
    </row>
    <row r="1152" spans="1:12" x14ac:dyDescent="0.3">
      <c r="A1152" s="2" t="s">
        <v>1301</v>
      </c>
      <c r="B1152" s="3">
        <v>45837</v>
      </c>
      <c r="C1152" s="2" t="s">
        <v>451</v>
      </c>
      <c r="D1152" s="2" t="s">
        <v>25</v>
      </c>
      <c r="E1152" s="2" t="s">
        <v>26</v>
      </c>
      <c r="F1152" s="2" t="s">
        <v>27</v>
      </c>
      <c r="G1152" s="2" t="s">
        <v>22</v>
      </c>
      <c r="H1152" s="2">
        <v>23</v>
      </c>
      <c r="I1152" s="4">
        <v>1646.8</v>
      </c>
      <c r="J1152" s="3">
        <v>45845</v>
      </c>
      <c r="K1152">
        <f t="shared" si="17"/>
        <v>37876.400000000001</v>
      </c>
      <c r="L1152" t="str">
        <f>INDEX(Raw_Shipments!L1152:L3580,MATCH(A1152,Raw_Shipments!B1152:B3580))</f>
        <v>Yes</v>
      </c>
    </row>
    <row r="1153" spans="1:12" x14ac:dyDescent="0.3">
      <c r="A1153" s="5" t="s">
        <v>1302</v>
      </c>
      <c r="B1153" s="6">
        <v>45837</v>
      </c>
      <c r="C1153" s="5" t="s">
        <v>141</v>
      </c>
      <c r="D1153" s="5" t="s">
        <v>25</v>
      </c>
      <c r="E1153" s="5" t="s">
        <v>86</v>
      </c>
      <c r="F1153" s="5" t="s">
        <v>87</v>
      </c>
      <c r="G1153" s="5" t="s">
        <v>33</v>
      </c>
      <c r="H1153" s="5">
        <v>33</v>
      </c>
      <c r="I1153" s="7">
        <v>815.88</v>
      </c>
      <c r="J1153" s="6">
        <v>45846</v>
      </c>
      <c r="K1153">
        <f t="shared" si="17"/>
        <v>26924.04</v>
      </c>
      <c r="L1153" t="str">
        <f>INDEX(Raw_Shipments!L1153:L3581,MATCH(A1153,Raw_Shipments!B1153:B3581))</f>
        <v>Yes</v>
      </c>
    </row>
    <row r="1154" spans="1:12" x14ac:dyDescent="0.3">
      <c r="A1154" s="2" t="s">
        <v>1303</v>
      </c>
      <c r="B1154" s="3">
        <v>45837</v>
      </c>
      <c r="C1154" s="2" t="s">
        <v>217</v>
      </c>
      <c r="D1154" s="2" t="s">
        <v>25</v>
      </c>
      <c r="E1154" s="2" t="s">
        <v>46</v>
      </c>
      <c r="F1154" s="2" t="s">
        <v>47</v>
      </c>
      <c r="G1154" s="2" t="s">
        <v>42</v>
      </c>
      <c r="H1154" s="2">
        <v>7</v>
      </c>
      <c r="I1154" s="4">
        <v>1833.14</v>
      </c>
      <c r="J1154" s="3">
        <v>45841</v>
      </c>
      <c r="K1154">
        <f t="shared" si="17"/>
        <v>12831.980000000001</v>
      </c>
      <c r="L1154" t="str">
        <f>INDEX(Raw_Shipments!L1154:L3582,MATCH(A1154,Raw_Shipments!B1154:B3582))</f>
        <v>No</v>
      </c>
    </row>
    <row r="1155" spans="1:12" x14ac:dyDescent="0.3">
      <c r="A1155" s="5" t="s">
        <v>1304</v>
      </c>
      <c r="B1155" s="6">
        <v>45837</v>
      </c>
      <c r="C1155" s="5" t="s">
        <v>260</v>
      </c>
      <c r="D1155" s="5" t="s">
        <v>30</v>
      </c>
      <c r="E1155" s="5" t="s">
        <v>50</v>
      </c>
      <c r="F1155" s="5" t="s">
        <v>51</v>
      </c>
      <c r="G1155" s="5" t="s">
        <v>42</v>
      </c>
      <c r="H1155" s="5">
        <v>5</v>
      </c>
      <c r="I1155" s="7">
        <v>1952.28</v>
      </c>
      <c r="J1155" s="6">
        <v>45840</v>
      </c>
      <c r="K1155">
        <f t="shared" ref="K1155:K1218" si="18">I1155*H1155</f>
        <v>9761.4</v>
      </c>
      <c r="L1155" t="str">
        <f>INDEX(Raw_Shipments!L1155:L3583,MATCH(A1155,Raw_Shipments!B1155:B3583))</f>
        <v>No</v>
      </c>
    </row>
    <row r="1156" spans="1:12" x14ac:dyDescent="0.3">
      <c r="A1156" s="2" t="s">
        <v>1305</v>
      </c>
      <c r="B1156" s="3">
        <v>45838</v>
      </c>
      <c r="C1156" s="2" t="s">
        <v>250</v>
      </c>
      <c r="D1156" s="2" t="s">
        <v>30</v>
      </c>
      <c r="E1156" s="2" t="s">
        <v>36</v>
      </c>
      <c r="F1156" s="2" t="s">
        <v>37</v>
      </c>
      <c r="G1156" s="2" t="s">
        <v>33</v>
      </c>
      <c r="H1156" s="2">
        <v>13</v>
      </c>
      <c r="I1156" s="4">
        <v>1064.79</v>
      </c>
      <c r="J1156" s="3">
        <v>45846</v>
      </c>
      <c r="K1156">
        <f t="shared" si="18"/>
        <v>13842.27</v>
      </c>
      <c r="L1156" t="str">
        <f>INDEX(Raw_Shipments!L1156:L3584,MATCH(A1156,Raw_Shipments!B1156:B3584))</f>
        <v>No</v>
      </c>
    </row>
    <row r="1157" spans="1:12" x14ac:dyDescent="0.3">
      <c r="A1157" s="5" t="s">
        <v>1306</v>
      </c>
      <c r="B1157" s="6">
        <v>45838</v>
      </c>
      <c r="C1157" s="5" t="s">
        <v>232</v>
      </c>
      <c r="D1157" s="5" t="s">
        <v>45</v>
      </c>
      <c r="E1157" s="5" t="s">
        <v>86</v>
      </c>
      <c r="F1157" s="5" t="s">
        <v>87</v>
      </c>
      <c r="G1157" s="5" t="s">
        <v>33</v>
      </c>
      <c r="H1157" s="5">
        <v>32</v>
      </c>
      <c r="I1157" s="7">
        <v>815.88</v>
      </c>
      <c r="J1157" s="6">
        <v>45847</v>
      </c>
      <c r="K1157">
        <f t="shared" si="18"/>
        <v>26108.16</v>
      </c>
      <c r="L1157" t="str">
        <f>INDEX(Raw_Shipments!L1157:L3585,MATCH(A1157,Raw_Shipments!B1157:B3585))</f>
        <v>Yes</v>
      </c>
    </row>
    <row r="1158" spans="1:12" x14ac:dyDescent="0.3">
      <c r="A1158" s="2" t="s">
        <v>1307</v>
      </c>
      <c r="B1158" s="3">
        <v>45839</v>
      </c>
      <c r="C1158" s="2" t="s">
        <v>195</v>
      </c>
      <c r="D1158" s="2" t="s">
        <v>14</v>
      </c>
      <c r="E1158" s="2" t="s">
        <v>119</v>
      </c>
      <c r="F1158" s="2" t="s">
        <v>120</v>
      </c>
      <c r="G1158" s="2" t="s">
        <v>22</v>
      </c>
      <c r="H1158" s="2">
        <v>31</v>
      </c>
      <c r="I1158" s="4">
        <v>912.26</v>
      </c>
      <c r="J1158" s="3">
        <v>45842</v>
      </c>
      <c r="K1158">
        <f t="shared" si="18"/>
        <v>28280.06</v>
      </c>
      <c r="L1158" t="str">
        <f>INDEX(Raw_Shipments!L1158:L3586,MATCH(A1158,Raw_Shipments!B1158:B3586))</f>
        <v>No</v>
      </c>
    </row>
    <row r="1159" spans="1:12" x14ac:dyDescent="0.3">
      <c r="A1159" s="5" t="s">
        <v>1308</v>
      </c>
      <c r="B1159" s="6">
        <v>45839</v>
      </c>
      <c r="C1159" s="5" t="s">
        <v>19</v>
      </c>
      <c r="D1159" s="5" t="s">
        <v>25</v>
      </c>
      <c r="E1159" s="5" t="s">
        <v>36</v>
      </c>
      <c r="F1159" s="5" t="s">
        <v>37</v>
      </c>
      <c r="G1159" s="5" t="s">
        <v>33</v>
      </c>
      <c r="H1159" s="5">
        <v>35</v>
      </c>
      <c r="I1159" s="7">
        <v>1064.79</v>
      </c>
      <c r="J1159" s="6">
        <v>45844</v>
      </c>
      <c r="K1159">
        <f t="shared" si="18"/>
        <v>37267.65</v>
      </c>
      <c r="L1159" t="str">
        <f>INDEX(Raw_Shipments!L1159:L3587,MATCH(A1159,Raw_Shipments!B1159:B3587))</f>
        <v>No</v>
      </c>
    </row>
    <row r="1160" spans="1:12" x14ac:dyDescent="0.3">
      <c r="A1160" s="2" t="s">
        <v>1309</v>
      </c>
      <c r="B1160" s="3">
        <v>45839</v>
      </c>
      <c r="C1160" s="2" t="s">
        <v>510</v>
      </c>
      <c r="D1160" s="2" t="s">
        <v>25</v>
      </c>
      <c r="E1160" s="2" t="s">
        <v>40</v>
      </c>
      <c r="F1160" s="2" t="s">
        <v>41</v>
      </c>
      <c r="G1160" s="2" t="s">
        <v>42</v>
      </c>
      <c r="H1160" s="2">
        <v>20</v>
      </c>
      <c r="I1160" s="4">
        <v>2445.11</v>
      </c>
      <c r="J1160" s="3">
        <v>45849</v>
      </c>
      <c r="K1160">
        <f t="shared" si="18"/>
        <v>48902.200000000004</v>
      </c>
      <c r="L1160" t="str">
        <f>INDEX(Raw_Shipments!L1160:L3588,MATCH(A1160,Raw_Shipments!B1160:B3588))</f>
        <v>No</v>
      </c>
    </row>
    <row r="1161" spans="1:12" x14ac:dyDescent="0.3">
      <c r="A1161" s="5" t="s">
        <v>1310</v>
      </c>
      <c r="B1161" s="6">
        <v>45839</v>
      </c>
      <c r="C1161" s="5" t="s">
        <v>527</v>
      </c>
      <c r="D1161" s="5" t="s">
        <v>45</v>
      </c>
      <c r="E1161" s="5" t="s">
        <v>46</v>
      </c>
      <c r="F1161" s="5" t="s">
        <v>47</v>
      </c>
      <c r="G1161" s="5" t="s">
        <v>42</v>
      </c>
      <c r="H1161" s="5">
        <v>2</v>
      </c>
      <c r="I1161" s="7">
        <v>1833.14</v>
      </c>
      <c r="J1161" s="6">
        <v>45842</v>
      </c>
      <c r="K1161">
        <f t="shared" si="18"/>
        <v>3666.28</v>
      </c>
      <c r="L1161" t="str">
        <f>INDEX(Raw_Shipments!L1161:L3589,MATCH(A1161,Raw_Shipments!B1161:B3589))</f>
        <v>No</v>
      </c>
    </row>
    <row r="1162" spans="1:12" x14ac:dyDescent="0.3">
      <c r="A1162" s="2" t="s">
        <v>1311</v>
      </c>
      <c r="B1162" s="3">
        <v>45839</v>
      </c>
      <c r="C1162" s="2" t="s">
        <v>111</v>
      </c>
      <c r="D1162" s="2" t="s">
        <v>25</v>
      </c>
      <c r="E1162" s="2" t="s">
        <v>50</v>
      </c>
      <c r="F1162" s="2" t="s">
        <v>51</v>
      </c>
      <c r="G1162" s="2" t="s">
        <v>42</v>
      </c>
      <c r="H1162" s="2">
        <v>9</v>
      </c>
      <c r="I1162" s="4">
        <v>1952.28</v>
      </c>
      <c r="J1162" s="3">
        <v>45847</v>
      </c>
      <c r="K1162">
        <f t="shared" si="18"/>
        <v>17570.52</v>
      </c>
      <c r="L1162" t="str">
        <f>INDEX(Raw_Shipments!L1162:L3590,MATCH(A1162,Raw_Shipments!B1162:B3590))</f>
        <v>No</v>
      </c>
    </row>
    <row r="1163" spans="1:12" x14ac:dyDescent="0.3">
      <c r="A1163" s="5" t="s">
        <v>1312</v>
      </c>
      <c r="B1163" s="6">
        <v>45840</v>
      </c>
      <c r="C1163" s="5" t="s">
        <v>234</v>
      </c>
      <c r="D1163" s="5" t="s">
        <v>14</v>
      </c>
      <c r="E1163" s="5" t="s">
        <v>53</v>
      </c>
      <c r="F1163" s="5" t="s">
        <v>54</v>
      </c>
      <c r="G1163" s="5" t="s">
        <v>55</v>
      </c>
      <c r="H1163" s="5">
        <v>35</v>
      </c>
      <c r="I1163" s="7">
        <v>2055.9</v>
      </c>
      <c r="J1163" s="6">
        <v>45844</v>
      </c>
      <c r="K1163">
        <f t="shared" si="18"/>
        <v>71956.5</v>
      </c>
      <c r="L1163" t="str">
        <f>INDEX(Raw_Shipments!L1163:L3591,MATCH(A1163,Raw_Shipments!B1163:B3591))</f>
        <v>No</v>
      </c>
    </row>
    <row r="1164" spans="1:12" x14ac:dyDescent="0.3">
      <c r="A1164" s="2" t="s">
        <v>1313</v>
      </c>
      <c r="B1164" s="3">
        <v>45840</v>
      </c>
      <c r="C1164" s="2" t="s">
        <v>318</v>
      </c>
      <c r="D1164" s="2" t="s">
        <v>30</v>
      </c>
      <c r="E1164" s="2" t="s">
        <v>58</v>
      </c>
      <c r="F1164" s="2" t="s">
        <v>59</v>
      </c>
      <c r="G1164" s="2" t="s">
        <v>55</v>
      </c>
      <c r="H1164" s="2">
        <v>21</v>
      </c>
      <c r="I1164" s="4">
        <v>1695.1</v>
      </c>
      <c r="J1164" s="3">
        <v>45845</v>
      </c>
      <c r="K1164">
        <f t="shared" si="18"/>
        <v>35597.1</v>
      </c>
      <c r="L1164" t="str">
        <f>INDEX(Raw_Shipments!L1164:L3592,MATCH(A1164,Raw_Shipments!B1164:B3592))</f>
        <v>No</v>
      </c>
    </row>
    <row r="1165" spans="1:12" x14ac:dyDescent="0.3">
      <c r="A1165" s="5" t="s">
        <v>1314</v>
      </c>
      <c r="B1165" s="6">
        <v>45840</v>
      </c>
      <c r="C1165" s="5" t="s">
        <v>420</v>
      </c>
      <c r="D1165" s="5" t="s">
        <v>45</v>
      </c>
      <c r="E1165" s="5" t="s">
        <v>66</v>
      </c>
      <c r="F1165" s="5" t="s">
        <v>67</v>
      </c>
      <c r="G1165" s="5" t="s">
        <v>17</v>
      </c>
      <c r="H1165" s="5">
        <v>21</v>
      </c>
      <c r="I1165" s="7">
        <v>850.8</v>
      </c>
      <c r="J1165" s="6">
        <v>45848</v>
      </c>
      <c r="K1165">
        <f t="shared" si="18"/>
        <v>17866.8</v>
      </c>
      <c r="L1165" t="str">
        <f>INDEX(Raw_Shipments!L1165:L3593,MATCH(A1165,Raw_Shipments!B1165:B3593))</f>
        <v>No</v>
      </c>
    </row>
    <row r="1166" spans="1:12" x14ac:dyDescent="0.3">
      <c r="A1166" s="2" t="s">
        <v>1315</v>
      </c>
      <c r="B1166" s="3">
        <v>45840</v>
      </c>
      <c r="C1166" s="2" t="s">
        <v>77</v>
      </c>
      <c r="D1166" s="2" t="s">
        <v>30</v>
      </c>
      <c r="E1166" s="2" t="s">
        <v>15</v>
      </c>
      <c r="F1166" s="2" t="s">
        <v>16</v>
      </c>
      <c r="G1166" s="2" t="s">
        <v>17</v>
      </c>
      <c r="H1166" s="2">
        <v>16</v>
      </c>
      <c r="I1166" s="4">
        <v>183.06</v>
      </c>
      <c r="J1166" s="3">
        <v>45848</v>
      </c>
      <c r="K1166">
        <f t="shared" si="18"/>
        <v>2928.96</v>
      </c>
      <c r="L1166" t="str">
        <f>INDEX(Raw_Shipments!L1166:L3594,MATCH(A1166,Raw_Shipments!B1166:B3594))</f>
        <v>Yes</v>
      </c>
    </row>
    <row r="1167" spans="1:12" x14ac:dyDescent="0.3">
      <c r="A1167" s="5" t="s">
        <v>1316</v>
      </c>
      <c r="B1167" s="6">
        <v>45840</v>
      </c>
      <c r="C1167" s="5" t="s">
        <v>61</v>
      </c>
      <c r="D1167" s="5" t="s">
        <v>14</v>
      </c>
      <c r="E1167" s="5" t="s">
        <v>26</v>
      </c>
      <c r="F1167" s="5" t="s">
        <v>27</v>
      </c>
      <c r="G1167" s="5" t="s">
        <v>22</v>
      </c>
      <c r="H1167" s="5">
        <v>21</v>
      </c>
      <c r="I1167" s="7">
        <v>1646.8</v>
      </c>
      <c r="J1167" s="6">
        <v>45846</v>
      </c>
      <c r="K1167">
        <f t="shared" si="18"/>
        <v>34582.799999999996</v>
      </c>
      <c r="L1167" t="str">
        <f>INDEX(Raw_Shipments!L1167:L3595,MATCH(A1167,Raw_Shipments!B1167:B3595))</f>
        <v>Yes</v>
      </c>
    </row>
    <row r="1168" spans="1:12" x14ac:dyDescent="0.3">
      <c r="A1168" s="2" t="s">
        <v>1317</v>
      </c>
      <c r="B1168" s="3">
        <v>45840</v>
      </c>
      <c r="C1168" s="2" t="s">
        <v>217</v>
      </c>
      <c r="D1168" s="2" t="s">
        <v>30</v>
      </c>
      <c r="E1168" s="2" t="s">
        <v>86</v>
      </c>
      <c r="F1168" s="2" t="s">
        <v>87</v>
      </c>
      <c r="G1168" s="2" t="s">
        <v>33</v>
      </c>
      <c r="H1168" s="2">
        <v>28</v>
      </c>
      <c r="I1168" s="4">
        <v>815.88</v>
      </c>
      <c r="J1168" s="3">
        <v>45850</v>
      </c>
      <c r="K1168">
        <f t="shared" si="18"/>
        <v>22844.639999999999</v>
      </c>
      <c r="L1168" t="str">
        <f>INDEX(Raw_Shipments!L1168:L3596,MATCH(A1168,Raw_Shipments!B1168:B3596))</f>
        <v>Yes</v>
      </c>
    </row>
    <row r="1169" spans="1:12" x14ac:dyDescent="0.3">
      <c r="A1169" s="5" t="s">
        <v>1318</v>
      </c>
      <c r="B1169" s="6">
        <v>45840</v>
      </c>
      <c r="C1169" s="5" t="s">
        <v>198</v>
      </c>
      <c r="D1169" s="5" t="s">
        <v>14</v>
      </c>
      <c r="E1169" s="5" t="s">
        <v>40</v>
      </c>
      <c r="F1169" s="5" t="s">
        <v>41</v>
      </c>
      <c r="G1169" s="5" t="s">
        <v>42</v>
      </c>
      <c r="H1169" s="5">
        <v>28</v>
      </c>
      <c r="I1169" s="7">
        <v>2445.11</v>
      </c>
      <c r="J1169" s="6">
        <v>45843</v>
      </c>
      <c r="K1169">
        <f t="shared" si="18"/>
        <v>68463.08</v>
      </c>
      <c r="L1169" t="str">
        <f>INDEX(Raw_Shipments!L1169:L3597,MATCH(A1169,Raw_Shipments!B1169:B3597))</f>
        <v>No</v>
      </c>
    </row>
    <row r="1170" spans="1:12" x14ac:dyDescent="0.3">
      <c r="A1170" s="2" t="s">
        <v>1319</v>
      </c>
      <c r="B1170" s="3">
        <v>45840</v>
      </c>
      <c r="C1170" s="2" t="s">
        <v>35</v>
      </c>
      <c r="D1170" s="2" t="s">
        <v>14</v>
      </c>
      <c r="E1170" s="2" t="s">
        <v>50</v>
      </c>
      <c r="F1170" s="2" t="s">
        <v>51</v>
      </c>
      <c r="G1170" s="2" t="s">
        <v>42</v>
      </c>
      <c r="H1170" s="2">
        <v>5</v>
      </c>
      <c r="I1170" s="4">
        <v>1952.28</v>
      </c>
      <c r="J1170" s="3">
        <v>45844</v>
      </c>
      <c r="K1170">
        <f t="shared" si="18"/>
        <v>9761.4</v>
      </c>
      <c r="L1170" t="str">
        <f>INDEX(Raw_Shipments!L1170:L3598,MATCH(A1170,Raw_Shipments!B1170:B3598))</f>
        <v>No</v>
      </c>
    </row>
    <row r="1171" spans="1:12" x14ac:dyDescent="0.3">
      <c r="A1171" s="5" t="s">
        <v>1320</v>
      </c>
      <c r="B1171" s="6">
        <v>45841</v>
      </c>
      <c r="C1171" s="5" t="s">
        <v>175</v>
      </c>
      <c r="D1171" s="5" t="s">
        <v>45</v>
      </c>
      <c r="E1171" s="5" t="s">
        <v>53</v>
      </c>
      <c r="F1171" s="5" t="s">
        <v>54</v>
      </c>
      <c r="G1171" s="5" t="s">
        <v>55</v>
      </c>
      <c r="H1171" s="5">
        <v>28</v>
      </c>
      <c r="I1171" s="7">
        <v>2055.9</v>
      </c>
      <c r="J1171" s="6">
        <v>45850</v>
      </c>
      <c r="K1171">
        <f t="shared" si="18"/>
        <v>57565.200000000004</v>
      </c>
      <c r="L1171" t="str">
        <f>INDEX(Raw_Shipments!L1171:L3599,MATCH(A1171,Raw_Shipments!B1171:B3599))</f>
        <v>No</v>
      </c>
    </row>
    <row r="1172" spans="1:12" x14ac:dyDescent="0.3">
      <c r="A1172" s="2" t="s">
        <v>1321</v>
      </c>
      <c r="B1172" s="3">
        <v>45841</v>
      </c>
      <c r="C1172" s="2" t="s">
        <v>152</v>
      </c>
      <c r="D1172" s="2" t="s">
        <v>30</v>
      </c>
      <c r="E1172" s="2" t="s">
        <v>97</v>
      </c>
      <c r="F1172" s="2" t="s">
        <v>98</v>
      </c>
      <c r="G1172" s="2" t="s">
        <v>17</v>
      </c>
      <c r="H1172" s="2">
        <v>21</v>
      </c>
      <c r="I1172" s="4">
        <v>1110.6500000000001</v>
      </c>
      <c r="J1172" s="3">
        <v>45847</v>
      </c>
      <c r="K1172">
        <f t="shared" si="18"/>
        <v>23323.65</v>
      </c>
      <c r="L1172" t="str">
        <f>INDEX(Raw_Shipments!L1172:L3600,MATCH(A1172,Raw_Shipments!B1172:B3600))</f>
        <v>Yes</v>
      </c>
    </row>
    <row r="1173" spans="1:12" x14ac:dyDescent="0.3">
      <c r="A1173" s="5" t="s">
        <v>1322</v>
      </c>
      <c r="B1173" s="6">
        <v>45841</v>
      </c>
      <c r="C1173" s="5" t="s">
        <v>75</v>
      </c>
      <c r="D1173" s="5" t="s">
        <v>25</v>
      </c>
      <c r="E1173" s="5" t="s">
        <v>119</v>
      </c>
      <c r="F1173" s="5" t="s">
        <v>120</v>
      </c>
      <c r="G1173" s="5" t="s">
        <v>22</v>
      </c>
      <c r="H1173" s="5">
        <v>38</v>
      </c>
      <c r="I1173" s="7">
        <v>912.26</v>
      </c>
      <c r="J1173" s="6">
        <v>45851</v>
      </c>
      <c r="K1173">
        <f t="shared" si="18"/>
        <v>34665.879999999997</v>
      </c>
      <c r="L1173" t="str">
        <f>INDEX(Raw_Shipments!L1173:L3601,MATCH(A1173,Raw_Shipments!B1173:B3601))</f>
        <v>No</v>
      </c>
    </row>
    <row r="1174" spans="1:12" x14ac:dyDescent="0.3">
      <c r="A1174" s="2" t="s">
        <v>1323</v>
      </c>
      <c r="B1174" s="3">
        <v>45841</v>
      </c>
      <c r="C1174" s="2" t="s">
        <v>122</v>
      </c>
      <c r="D1174" s="2" t="s">
        <v>25</v>
      </c>
      <c r="E1174" s="2" t="s">
        <v>31</v>
      </c>
      <c r="F1174" s="2" t="s">
        <v>32</v>
      </c>
      <c r="G1174" s="2" t="s">
        <v>33</v>
      </c>
      <c r="H1174" s="2">
        <v>66</v>
      </c>
      <c r="I1174" s="4">
        <v>689</v>
      </c>
      <c r="J1174" s="3">
        <v>45848</v>
      </c>
      <c r="K1174">
        <f t="shared" si="18"/>
        <v>45474</v>
      </c>
      <c r="L1174" t="str">
        <f>INDEX(Raw_Shipments!L1174:L3602,MATCH(A1174,Raw_Shipments!B1174:B3602))</f>
        <v>No</v>
      </c>
    </row>
    <row r="1175" spans="1:12" x14ac:dyDescent="0.3">
      <c r="A1175" s="5" t="s">
        <v>1324</v>
      </c>
      <c r="B1175" s="6">
        <v>45841</v>
      </c>
      <c r="C1175" s="5" t="s">
        <v>447</v>
      </c>
      <c r="D1175" s="5" t="s">
        <v>14</v>
      </c>
      <c r="E1175" s="5" t="s">
        <v>86</v>
      </c>
      <c r="F1175" s="5" t="s">
        <v>87</v>
      </c>
      <c r="G1175" s="5" t="s">
        <v>33</v>
      </c>
      <c r="H1175" s="5">
        <v>33</v>
      </c>
      <c r="I1175" s="7">
        <v>815.88</v>
      </c>
      <c r="J1175" s="6">
        <v>45849</v>
      </c>
      <c r="K1175">
        <f t="shared" si="18"/>
        <v>26924.04</v>
      </c>
      <c r="L1175" t="str">
        <f>INDEX(Raw_Shipments!L1175:L3603,MATCH(A1175,Raw_Shipments!B1175:B3603))</f>
        <v>No</v>
      </c>
    </row>
    <row r="1176" spans="1:12" x14ac:dyDescent="0.3">
      <c r="A1176" s="2" t="s">
        <v>1325</v>
      </c>
      <c r="B1176" s="3">
        <v>45841</v>
      </c>
      <c r="C1176" s="2" t="s">
        <v>250</v>
      </c>
      <c r="D1176" s="2" t="s">
        <v>30</v>
      </c>
      <c r="E1176" s="2" t="s">
        <v>50</v>
      </c>
      <c r="F1176" s="2" t="s">
        <v>51</v>
      </c>
      <c r="G1176" s="2" t="s">
        <v>42</v>
      </c>
      <c r="H1176" s="2">
        <v>8</v>
      </c>
      <c r="I1176" s="4">
        <v>1952.28</v>
      </c>
      <c r="J1176" s="3">
        <v>45848</v>
      </c>
      <c r="K1176">
        <f t="shared" si="18"/>
        <v>15618.24</v>
      </c>
      <c r="L1176" t="str">
        <f>INDEX(Raw_Shipments!L1176:L3604,MATCH(A1176,Raw_Shipments!B1176:B3604))</f>
        <v>No</v>
      </c>
    </row>
    <row r="1177" spans="1:12" x14ac:dyDescent="0.3">
      <c r="A1177" s="5" t="s">
        <v>1326</v>
      </c>
      <c r="B1177" s="6">
        <v>45842</v>
      </c>
      <c r="C1177" s="5" t="s">
        <v>279</v>
      </c>
      <c r="D1177" s="5" t="s">
        <v>25</v>
      </c>
      <c r="E1177" s="5" t="s">
        <v>15</v>
      </c>
      <c r="F1177" s="5" t="s">
        <v>16</v>
      </c>
      <c r="G1177" s="5" t="s">
        <v>17</v>
      </c>
      <c r="H1177" s="5">
        <v>7</v>
      </c>
      <c r="I1177" s="7">
        <v>183.06</v>
      </c>
      <c r="J1177" s="6">
        <v>45850</v>
      </c>
      <c r="K1177">
        <f t="shared" si="18"/>
        <v>1281.42</v>
      </c>
      <c r="L1177" t="str">
        <f>INDEX(Raw_Shipments!L1177:L3605,MATCH(A1177,Raw_Shipments!B1177:B3605))</f>
        <v>No</v>
      </c>
    </row>
    <row r="1178" spans="1:12" x14ac:dyDescent="0.3">
      <c r="A1178" s="2" t="s">
        <v>1327</v>
      </c>
      <c r="B1178" s="3">
        <v>45842</v>
      </c>
      <c r="C1178" s="2" t="s">
        <v>79</v>
      </c>
      <c r="D1178" s="2" t="s">
        <v>25</v>
      </c>
      <c r="E1178" s="2" t="s">
        <v>31</v>
      </c>
      <c r="F1178" s="2" t="s">
        <v>32</v>
      </c>
      <c r="G1178" s="2" t="s">
        <v>33</v>
      </c>
      <c r="H1178" s="2">
        <v>32</v>
      </c>
      <c r="I1178" s="4">
        <v>689</v>
      </c>
      <c r="J1178" s="3">
        <v>45848</v>
      </c>
      <c r="K1178">
        <f t="shared" si="18"/>
        <v>22048</v>
      </c>
      <c r="L1178" t="str">
        <f>INDEX(Raw_Shipments!L1178:L3606,MATCH(A1178,Raw_Shipments!B1178:B3606))</f>
        <v>No</v>
      </c>
    </row>
    <row r="1179" spans="1:12" x14ac:dyDescent="0.3">
      <c r="A1179" s="5" t="s">
        <v>1328</v>
      </c>
      <c r="B1179" s="6">
        <v>45842</v>
      </c>
      <c r="C1179" s="5" t="s">
        <v>117</v>
      </c>
      <c r="D1179" s="5" t="s">
        <v>45</v>
      </c>
      <c r="E1179" s="5" t="s">
        <v>36</v>
      </c>
      <c r="F1179" s="5" t="s">
        <v>37</v>
      </c>
      <c r="G1179" s="5" t="s">
        <v>33</v>
      </c>
      <c r="H1179" s="5">
        <v>28</v>
      </c>
      <c r="I1179" s="7">
        <v>1064.79</v>
      </c>
      <c r="J1179" s="6">
        <v>45847</v>
      </c>
      <c r="K1179">
        <f t="shared" si="18"/>
        <v>29814.12</v>
      </c>
      <c r="L1179" t="str">
        <f>INDEX(Raw_Shipments!L1179:L3607,MATCH(A1179,Raw_Shipments!B1179:B3607))</f>
        <v>No</v>
      </c>
    </row>
    <row r="1180" spans="1:12" x14ac:dyDescent="0.3">
      <c r="A1180" s="2" t="s">
        <v>1329</v>
      </c>
      <c r="B1180" s="3">
        <v>45842</v>
      </c>
      <c r="C1180" s="2" t="s">
        <v>150</v>
      </c>
      <c r="D1180" s="2" t="s">
        <v>30</v>
      </c>
      <c r="E1180" s="2" t="s">
        <v>40</v>
      </c>
      <c r="F1180" s="2" t="s">
        <v>41</v>
      </c>
      <c r="G1180" s="2" t="s">
        <v>42</v>
      </c>
      <c r="H1180" s="2">
        <v>31</v>
      </c>
      <c r="I1180" s="4">
        <v>2445.11</v>
      </c>
      <c r="J1180" s="3">
        <v>45852</v>
      </c>
      <c r="K1180">
        <f t="shared" si="18"/>
        <v>75798.41</v>
      </c>
      <c r="L1180" t="str">
        <f>INDEX(Raw_Shipments!L1180:L3608,MATCH(A1180,Raw_Shipments!B1180:B3608))</f>
        <v>No</v>
      </c>
    </row>
    <row r="1181" spans="1:12" x14ac:dyDescent="0.3">
      <c r="A1181" s="5" t="s">
        <v>1330</v>
      </c>
      <c r="B1181" s="6">
        <v>45843</v>
      </c>
      <c r="C1181" s="5" t="s">
        <v>109</v>
      </c>
      <c r="D1181" s="5" t="s">
        <v>30</v>
      </c>
      <c r="E1181" s="5" t="s">
        <v>58</v>
      </c>
      <c r="F1181" s="5" t="s">
        <v>59</v>
      </c>
      <c r="G1181" s="5" t="s">
        <v>55</v>
      </c>
      <c r="H1181" s="5">
        <v>17</v>
      </c>
      <c r="I1181" s="7">
        <v>1695.1</v>
      </c>
      <c r="J1181" s="6">
        <v>45846</v>
      </c>
      <c r="K1181">
        <f t="shared" si="18"/>
        <v>28816.699999999997</v>
      </c>
      <c r="L1181" t="str">
        <f>INDEX(Raw_Shipments!L1181:L3609,MATCH(A1181,Raw_Shipments!B1181:B3609))</f>
        <v>No</v>
      </c>
    </row>
    <row r="1182" spans="1:12" x14ac:dyDescent="0.3">
      <c r="A1182" s="2" t="s">
        <v>1331</v>
      </c>
      <c r="B1182" s="3">
        <v>45843</v>
      </c>
      <c r="C1182" s="2" t="s">
        <v>227</v>
      </c>
      <c r="D1182" s="2" t="s">
        <v>14</v>
      </c>
      <c r="E1182" s="2" t="s">
        <v>66</v>
      </c>
      <c r="F1182" s="2" t="s">
        <v>67</v>
      </c>
      <c r="G1182" s="2" t="s">
        <v>17</v>
      </c>
      <c r="H1182" s="2">
        <v>17</v>
      </c>
      <c r="I1182" s="4">
        <v>850.8</v>
      </c>
      <c r="J1182" s="3">
        <v>45851</v>
      </c>
      <c r="K1182">
        <f t="shared" si="18"/>
        <v>14463.599999999999</v>
      </c>
      <c r="L1182" t="str">
        <f>INDEX(Raw_Shipments!L1182:L3610,MATCH(A1182,Raw_Shipments!B1182:B3610))</f>
        <v>No</v>
      </c>
    </row>
    <row r="1183" spans="1:12" x14ac:dyDescent="0.3">
      <c r="A1183" s="5" t="s">
        <v>1332</v>
      </c>
      <c r="B1183" s="6">
        <v>45843</v>
      </c>
      <c r="C1183" s="5" t="s">
        <v>213</v>
      </c>
      <c r="D1183" s="5" t="s">
        <v>30</v>
      </c>
      <c r="E1183" s="5" t="s">
        <v>119</v>
      </c>
      <c r="F1183" s="5" t="s">
        <v>120</v>
      </c>
      <c r="G1183" s="5" t="s">
        <v>22</v>
      </c>
      <c r="H1183" s="5">
        <v>16</v>
      </c>
      <c r="I1183" s="7">
        <v>912.26</v>
      </c>
      <c r="J1183" s="6">
        <v>45851</v>
      </c>
      <c r="K1183">
        <f t="shared" si="18"/>
        <v>14596.16</v>
      </c>
      <c r="L1183" t="str">
        <f>INDEX(Raw_Shipments!L1183:L3611,MATCH(A1183,Raw_Shipments!B1183:B3611))</f>
        <v>No</v>
      </c>
    </row>
    <row r="1184" spans="1:12" x14ac:dyDescent="0.3">
      <c r="A1184" s="2" t="s">
        <v>1333</v>
      </c>
      <c r="B1184" s="3">
        <v>45843</v>
      </c>
      <c r="C1184" s="2" t="s">
        <v>213</v>
      </c>
      <c r="D1184" s="2" t="s">
        <v>45</v>
      </c>
      <c r="E1184" s="2" t="s">
        <v>26</v>
      </c>
      <c r="F1184" s="2" t="s">
        <v>27</v>
      </c>
      <c r="G1184" s="2" t="s">
        <v>22</v>
      </c>
      <c r="H1184" s="2">
        <v>19</v>
      </c>
      <c r="I1184" s="4">
        <v>1646.8</v>
      </c>
      <c r="J1184" s="3">
        <v>45851</v>
      </c>
      <c r="K1184">
        <f t="shared" si="18"/>
        <v>31289.200000000001</v>
      </c>
      <c r="L1184" t="str">
        <f>INDEX(Raw_Shipments!L1184:L3612,MATCH(A1184,Raw_Shipments!B1184:B3612))</f>
        <v>Yes</v>
      </c>
    </row>
    <row r="1185" spans="1:12" x14ac:dyDescent="0.3">
      <c r="A1185" s="5" t="s">
        <v>1334</v>
      </c>
      <c r="B1185" s="6">
        <v>45843</v>
      </c>
      <c r="C1185" s="5" t="s">
        <v>356</v>
      </c>
      <c r="D1185" s="5" t="s">
        <v>45</v>
      </c>
      <c r="E1185" s="5" t="s">
        <v>40</v>
      </c>
      <c r="F1185" s="5" t="s">
        <v>41</v>
      </c>
      <c r="G1185" s="5" t="s">
        <v>42</v>
      </c>
      <c r="H1185" s="5">
        <v>11</v>
      </c>
      <c r="I1185" s="7">
        <v>2445.11</v>
      </c>
      <c r="J1185" s="6">
        <v>45853</v>
      </c>
      <c r="K1185">
        <f t="shared" si="18"/>
        <v>26896.210000000003</v>
      </c>
      <c r="L1185" t="str">
        <f>INDEX(Raw_Shipments!L1185:L3613,MATCH(A1185,Raw_Shipments!B1185:B3613))</f>
        <v>No</v>
      </c>
    </row>
    <row r="1186" spans="1:12" x14ac:dyDescent="0.3">
      <c r="A1186" s="2" t="s">
        <v>1335</v>
      </c>
      <c r="B1186" s="3">
        <v>45843</v>
      </c>
      <c r="C1186" s="2" t="s">
        <v>125</v>
      </c>
      <c r="D1186" s="2" t="s">
        <v>14</v>
      </c>
      <c r="E1186" s="2" t="s">
        <v>46</v>
      </c>
      <c r="F1186" s="2" t="s">
        <v>47</v>
      </c>
      <c r="G1186" s="2" t="s">
        <v>42</v>
      </c>
      <c r="H1186" s="2">
        <v>9</v>
      </c>
      <c r="I1186" s="4">
        <v>1833.14</v>
      </c>
      <c r="J1186" s="3">
        <v>45849</v>
      </c>
      <c r="K1186">
        <f t="shared" si="18"/>
        <v>16498.260000000002</v>
      </c>
      <c r="L1186" t="str">
        <f>INDEX(Raw_Shipments!L1186:L3614,MATCH(A1186,Raw_Shipments!B1186:B3614))</f>
        <v>No</v>
      </c>
    </row>
    <row r="1187" spans="1:12" x14ac:dyDescent="0.3">
      <c r="A1187" s="5" t="s">
        <v>1336</v>
      </c>
      <c r="B1187" s="6">
        <v>45844</v>
      </c>
      <c r="C1187" s="5" t="s">
        <v>195</v>
      </c>
      <c r="D1187" s="5" t="s">
        <v>30</v>
      </c>
      <c r="E1187" s="5" t="s">
        <v>58</v>
      </c>
      <c r="F1187" s="5" t="s">
        <v>59</v>
      </c>
      <c r="G1187" s="5" t="s">
        <v>55</v>
      </c>
      <c r="H1187" s="5">
        <v>12</v>
      </c>
      <c r="I1187" s="7">
        <v>1695.1</v>
      </c>
      <c r="J1187" s="6">
        <v>45851</v>
      </c>
      <c r="K1187">
        <f t="shared" si="18"/>
        <v>20341.199999999997</v>
      </c>
      <c r="L1187" t="str">
        <f>INDEX(Raw_Shipments!L1187:L3615,MATCH(A1187,Raw_Shipments!B1187:B3615))</f>
        <v>No</v>
      </c>
    </row>
    <row r="1188" spans="1:12" x14ac:dyDescent="0.3">
      <c r="A1188" s="2" t="s">
        <v>1337</v>
      </c>
      <c r="B1188" s="3">
        <v>45844</v>
      </c>
      <c r="C1188" s="2" t="s">
        <v>222</v>
      </c>
      <c r="D1188" s="2" t="s">
        <v>14</v>
      </c>
      <c r="E1188" s="2" t="s">
        <v>62</v>
      </c>
      <c r="F1188" s="2" t="s">
        <v>63</v>
      </c>
      <c r="G1188" s="2" t="s">
        <v>55</v>
      </c>
      <c r="H1188" s="2">
        <v>42</v>
      </c>
      <c r="I1188" s="4">
        <v>2555.2199999999998</v>
      </c>
      <c r="J1188" s="3">
        <v>45849</v>
      </c>
      <c r="K1188">
        <f t="shared" si="18"/>
        <v>107319.23999999999</v>
      </c>
      <c r="L1188" t="str">
        <f>INDEX(Raw_Shipments!L1188:L3616,MATCH(A1188,Raw_Shipments!B1188:B3616))</f>
        <v>No</v>
      </c>
    </row>
    <row r="1189" spans="1:12" x14ac:dyDescent="0.3">
      <c r="A1189" s="5" t="s">
        <v>1338</v>
      </c>
      <c r="B1189" s="6">
        <v>45844</v>
      </c>
      <c r="C1189" s="5" t="s">
        <v>400</v>
      </c>
      <c r="D1189" s="5" t="s">
        <v>25</v>
      </c>
      <c r="E1189" s="5" t="s">
        <v>97</v>
      </c>
      <c r="F1189" s="5" t="s">
        <v>98</v>
      </c>
      <c r="G1189" s="5" t="s">
        <v>17</v>
      </c>
      <c r="H1189" s="5">
        <v>42</v>
      </c>
      <c r="I1189" s="7">
        <v>1110.6500000000001</v>
      </c>
      <c r="J1189" s="6">
        <v>45850</v>
      </c>
      <c r="K1189">
        <f t="shared" si="18"/>
        <v>46647.3</v>
      </c>
      <c r="L1189" t="str">
        <f>INDEX(Raw_Shipments!L1189:L3617,MATCH(A1189,Raw_Shipments!B1189:B3617))</f>
        <v>No</v>
      </c>
    </row>
    <row r="1190" spans="1:12" x14ac:dyDescent="0.3">
      <c r="A1190" s="2" t="s">
        <v>1339</v>
      </c>
      <c r="B1190" s="3">
        <v>45844</v>
      </c>
      <c r="C1190" s="2" t="s">
        <v>279</v>
      </c>
      <c r="D1190" s="2" t="s">
        <v>30</v>
      </c>
      <c r="E1190" s="2" t="s">
        <v>15</v>
      </c>
      <c r="F1190" s="2" t="s">
        <v>16</v>
      </c>
      <c r="G1190" s="2" t="s">
        <v>17</v>
      </c>
      <c r="H1190" s="2">
        <v>7</v>
      </c>
      <c r="I1190" s="4">
        <v>183.06</v>
      </c>
      <c r="J1190" s="3">
        <v>45851</v>
      </c>
      <c r="K1190">
        <f t="shared" si="18"/>
        <v>1281.42</v>
      </c>
      <c r="L1190" t="str">
        <f>INDEX(Raw_Shipments!L1190:L3618,MATCH(A1190,Raw_Shipments!B1190:B3618))</f>
        <v>Yes</v>
      </c>
    </row>
    <row r="1191" spans="1:12" x14ac:dyDescent="0.3">
      <c r="A1191" s="5" t="s">
        <v>1340</v>
      </c>
      <c r="B1191" s="6">
        <v>45844</v>
      </c>
      <c r="C1191" s="5" t="s">
        <v>117</v>
      </c>
      <c r="D1191" s="5" t="s">
        <v>45</v>
      </c>
      <c r="E1191" s="5" t="s">
        <v>20</v>
      </c>
      <c r="F1191" s="5" t="s">
        <v>21</v>
      </c>
      <c r="G1191" s="5" t="s">
        <v>22</v>
      </c>
      <c r="H1191" s="5">
        <v>1</v>
      </c>
      <c r="I1191" s="7">
        <v>2108.56</v>
      </c>
      <c r="J1191" s="6">
        <v>45853</v>
      </c>
      <c r="K1191">
        <f t="shared" si="18"/>
        <v>2108.56</v>
      </c>
      <c r="L1191" t="str">
        <f>INDEX(Raw_Shipments!L1191:L3619,MATCH(A1191,Raw_Shipments!B1191:B3619))</f>
        <v>Yes</v>
      </c>
    </row>
    <row r="1192" spans="1:12" x14ac:dyDescent="0.3">
      <c r="A1192" s="2" t="s">
        <v>1341</v>
      </c>
      <c r="B1192" s="3">
        <v>45844</v>
      </c>
      <c r="C1192" s="2" t="s">
        <v>279</v>
      </c>
      <c r="D1192" s="2" t="s">
        <v>30</v>
      </c>
      <c r="E1192" s="2" t="s">
        <v>26</v>
      </c>
      <c r="F1192" s="2" t="s">
        <v>27</v>
      </c>
      <c r="G1192" s="2" t="s">
        <v>22</v>
      </c>
      <c r="H1192" s="2">
        <v>23</v>
      </c>
      <c r="I1192" s="4">
        <v>1646.8</v>
      </c>
      <c r="J1192" s="3">
        <v>45848</v>
      </c>
      <c r="K1192">
        <f t="shared" si="18"/>
        <v>37876.400000000001</v>
      </c>
      <c r="L1192" t="str">
        <f>INDEX(Raw_Shipments!L1192:L3620,MATCH(A1192,Raw_Shipments!B1192:B3620))</f>
        <v>No</v>
      </c>
    </row>
    <row r="1193" spans="1:12" x14ac:dyDescent="0.3">
      <c r="A1193" s="5" t="s">
        <v>1342</v>
      </c>
      <c r="B1193" s="6">
        <v>45844</v>
      </c>
      <c r="C1193" s="5" t="s">
        <v>141</v>
      </c>
      <c r="D1193" s="5" t="s">
        <v>25</v>
      </c>
      <c r="E1193" s="5" t="s">
        <v>86</v>
      </c>
      <c r="F1193" s="5" t="s">
        <v>87</v>
      </c>
      <c r="G1193" s="5" t="s">
        <v>33</v>
      </c>
      <c r="H1193" s="5">
        <v>18</v>
      </c>
      <c r="I1193" s="7">
        <v>815.88</v>
      </c>
      <c r="J1193" s="6">
        <v>45850</v>
      </c>
      <c r="K1193">
        <f t="shared" si="18"/>
        <v>14685.84</v>
      </c>
      <c r="L1193" t="str">
        <f>INDEX(Raw_Shipments!L1193:L3621,MATCH(A1193,Raw_Shipments!B1193:B3621))</f>
        <v>Yes</v>
      </c>
    </row>
    <row r="1194" spans="1:12" x14ac:dyDescent="0.3">
      <c r="A1194" s="2" t="s">
        <v>1343</v>
      </c>
      <c r="B1194" s="3">
        <v>45844</v>
      </c>
      <c r="C1194" s="2" t="s">
        <v>442</v>
      </c>
      <c r="D1194" s="2" t="s">
        <v>14</v>
      </c>
      <c r="E1194" s="2" t="s">
        <v>50</v>
      </c>
      <c r="F1194" s="2" t="s">
        <v>51</v>
      </c>
      <c r="G1194" s="2" t="s">
        <v>42</v>
      </c>
      <c r="H1194" s="2">
        <v>6</v>
      </c>
      <c r="I1194" s="4">
        <v>1952.28</v>
      </c>
      <c r="J1194" s="3">
        <v>45847</v>
      </c>
      <c r="K1194">
        <f t="shared" si="18"/>
        <v>11713.68</v>
      </c>
      <c r="L1194" t="str">
        <f>INDEX(Raw_Shipments!L1194:L3622,MATCH(A1194,Raw_Shipments!B1194:B3622))</f>
        <v>No</v>
      </c>
    </row>
    <row r="1195" spans="1:12" x14ac:dyDescent="0.3">
      <c r="A1195" s="5" t="s">
        <v>1344</v>
      </c>
      <c r="B1195" s="6">
        <v>45845</v>
      </c>
      <c r="C1195" s="5" t="s">
        <v>35</v>
      </c>
      <c r="D1195" s="5" t="s">
        <v>14</v>
      </c>
      <c r="E1195" s="5" t="s">
        <v>58</v>
      </c>
      <c r="F1195" s="5" t="s">
        <v>59</v>
      </c>
      <c r="G1195" s="5" t="s">
        <v>55</v>
      </c>
      <c r="H1195" s="5">
        <v>20</v>
      </c>
      <c r="I1195" s="7">
        <v>1695.1</v>
      </c>
      <c r="J1195" s="6">
        <v>45849</v>
      </c>
      <c r="K1195">
        <f t="shared" si="18"/>
        <v>33902</v>
      </c>
      <c r="L1195" t="str">
        <f>INDEX(Raw_Shipments!L1195:L3623,MATCH(A1195,Raw_Shipments!B1195:B3623))</f>
        <v>No</v>
      </c>
    </row>
    <row r="1196" spans="1:12" x14ac:dyDescent="0.3">
      <c r="A1196" s="2" t="s">
        <v>1345</v>
      </c>
      <c r="B1196" s="3">
        <v>45845</v>
      </c>
      <c r="C1196" s="2" t="s">
        <v>154</v>
      </c>
      <c r="D1196" s="2" t="s">
        <v>30</v>
      </c>
      <c r="E1196" s="2" t="s">
        <v>62</v>
      </c>
      <c r="F1196" s="2" t="s">
        <v>63</v>
      </c>
      <c r="G1196" s="2" t="s">
        <v>55</v>
      </c>
      <c r="H1196" s="2">
        <v>29</v>
      </c>
      <c r="I1196" s="4">
        <v>2555.2199999999998</v>
      </c>
      <c r="J1196" s="3">
        <v>45849</v>
      </c>
      <c r="K1196">
        <f t="shared" si="18"/>
        <v>74101.37999999999</v>
      </c>
      <c r="L1196" t="str">
        <f>INDEX(Raw_Shipments!L1196:L3624,MATCH(A1196,Raw_Shipments!B1196:B3624))</f>
        <v>No</v>
      </c>
    </row>
    <row r="1197" spans="1:12" x14ac:dyDescent="0.3">
      <c r="A1197" s="5" t="s">
        <v>1346</v>
      </c>
      <c r="B1197" s="6">
        <v>45845</v>
      </c>
      <c r="C1197" s="5" t="s">
        <v>282</v>
      </c>
      <c r="D1197" s="5" t="s">
        <v>25</v>
      </c>
      <c r="E1197" s="5" t="s">
        <v>66</v>
      </c>
      <c r="F1197" s="5" t="s">
        <v>67</v>
      </c>
      <c r="G1197" s="5" t="s">
        <v>17</v>
      </c>
      <c r="H1197" s="5">
        <v>20</v>
      </c>
      <c r="I1197" s="7">
        <v>850.8</v>
      </c>
      <c r="J1197" s="6">
        <v>45848</v>
      </c>
      <c r="K1197">
        <f t="shared" si="18"/>
        <v>17016</v>
      </c>
      <c r="L1197" t="str">
        <f>INDEX(Raw_Shipments!L1197:L3625,MATCH(A1197,Raw_Shipments!B1197:B3625))</f>
        <v>No</v>
      </c>
    </row>
    <row r="1198" spans="1:12" x14ac:dyDescent="0.3">
      <c r="A1198" s="2" t="s">
        <v>1347</v>
      </c>
      <c r="B1198" s="3">
        <v>45845</v>
      </c>
      <c r="C1198" s="2" t="s">
        <v>146</v>
      </c>
      <c r="D1198" s="2" t="s">
        <v>14</v>
      </c>
      <c r="E1198" s="2" t="s">
        <v>15</v>
      </c>
      <c r="F1198" s="2" t="s">
        <v>16</v>
      </c>
      <c r="G1198" s="2" t="s">
        <v>17</v>
      </c>
      <c r="H1198" s="2">
        <v>2</v>
      </c>
      <c r="I1198" s="4">
        <v>183.06</v>
      </c>
      <c r="J1198" s="3">
        <v>45848</v>
      </c>
      <c r="K1198">
        <f t="shared" si="18"/>
        <v>366.12</v>
      </c>
      <c r="L1198" t="str">
        <f>INDEX(Raw_Shipments!L1198:L3626,MATCH(A1198,Raw_Shipments!B1198:B3626))</f>
        <v>No</v>
      </c>
    </row>
    <row r="1199" spans="1:12" x14ac:dyDescent="0.3">
      <c r="A1199" s="5" t="s">
        <v>1348</v>
      </c>
      <c r="B1199" s="6">
        <v>45845</v>
      </c>
      <c r="C1199" s="5" t="s">
        <v>24</v>
      </c>
      <c r="D1199" s="5" t="s">
        <v>30</v>
      </c>
      <c r="E1199" s="5" t="s">
        <v>40</v>
      </c>
      <c r="F1199" s="5" t="s">
        <v>41</v>
      </c>
      <c r="G1199" s="5" t="s">
        <v>42</v>
      </c>
      <c r="H1199" s="5">
        <v>29</v>
      </c>
      <c r="I1199" s="7">
        <v>2445.11</v>
      </c>
      <c r="J1199" s="6">
        <v>45848</v>
      </c>
      <c r="K1199">
        <f t="shared" si="18"/>
        <v>70908.19</v>
      </c>
      <c r="L1199" t="str">
        <f>INDEX(Raw_Shipments!L1199:L3627,MATCH(A1199,Raw_Shipments!B1199:B3627))</f>
        <v>No</v>
      </c>
    </row>
    <row r="1200" spans="1:12" x14ac:dyDescent="0.3">
      <c r="A1200" s="2" t="s">
        <v>1349</v>
      </c>
      <c r="B1200" s="3">
        <v>45845</v>
      </c>
      <c r="C1200" s="2" t="s">
        <v>71</v>
      </c>
      <c r="D1200" s="2" t="s">
        <v>30</v>
      </c>
      <c r="E1200" s="2" t="s">
        <v>46</v>
      </c>
      <c r="F1200" s="2" t="s">
        <v>47</v>
      </c>
      <c r="G1200" s="2" t="s">
        <v>42</v>
      </c>
      <c r="H1200" s="2">
        <v>7</v>
      </c>
      <c r="I1200" s="4">
        <v>1833.14</v>
      </c>
      <c r="J1200" s="3">
        <v>45850</v>
      </c>
      <c r="K1200">
        <f t="shared" si="18"/>
        <v>12831.980000000001</v>
      </c>
      <c r="L1200" t="str">
        <f>INDEX(Raw_Shipments!L1200:L3628,MATCH(A1200,Raw_Shipments!B1200:B3628))</f>
        <v>No</v>
      </c>
    </row>
    <row r="1201" spans="1:12" x14ac:dyDescent="0.3">
      <c r="A1201" s="5" t="s">
        <v>1350</v>
      </c>
      <c r="B1201" s="6">
        <v>45845</v>
      </c>
      <c r="C1201" s="5" t="s">
        <v>222</v>
      </c>
      <c r="D1201" s="5" t="s">
        <v>45</v>
      </c>
      <c r="E1201" s="5" t="s">
        <v>50</v>
      </c>
      <c r="F1201" s="5" t="s">
        <v>51</v>
      </c>
      <c r="G1201" s="5" t="s">
        <v>42</v>
      </c>
      <c r="H1201" s="5">
        <v>8</v>
      </c>
      <c r="I1201" s="7">
        <v>1952.28</v>
      </c>
      <c r="J1201" s="6">
        <v>45854</v>
      </c>
      <c r="K1201">
        <f t="shared" si="18"/>
        <v>15618.24</v>
      </c>
      <c r="L1201" t="str">
        <f>INDEX(Raw_Shipments!L1201:L3629,MATCH(A1201,Raw_Shipments!B1201:B3629))</f>
        <v>No</v>
      </c>
    </row>
    <row r="1202" spans="1:12" x14ac:dyDescent="0.3">
      <c r="A1202" s="2" t="s">
        <v>1351</v>
      </c>
      <c r="B1202" s="3">
        <v>45846</v>
      </c>
      <c r="C1202" s="2" t="s">
        <v>113</v>
      </c>
      <c r="D1202" s="2" t="s">
        <v>45</v>
      </c>
      <c r="E1202" s="2" t="s">
        <v>62</v>
      </c>
      <c r="F1202" s="2" t="s">
        <v>63</v>
      </c>
      <c r="G1202" s="2" t="s">
        <v>55</v>
      </c>
      <c r="H1202" s="2">
        <v>31</v>
      </c>
      <c r="I1202" s="4">
        <v>2555.2199999999998</v>
      </c>
      <c r="J1202" s="3">
        <v>45855</v>
      </c>
      <c r="K1202">
        <f t="shared" si="18"/>
        <v>79211.819999999992</v>
      </c>
      <c r="L1202" t="str">
        <f>INDEX(Raw_Shipments!L1202:L3630,MATCH(A1202,Raw_Shipments!B1202:B3630))</f>
        <v>Yes</v>
      </c>
    </row>
    <row r="1203" spans="1:12" x14ac:dyDescent="0.3">
      <c r="A1203" s="5" t="s">
        <v>1352</v>
      </c>
      <c r="B1203" s="6">
        <v>45846</v>
      </c>
      <c r="C1203" s="5" t="s">
        <v>232</v>
      </c>
      <c r="D1203" s="5" t="s">
        <v>45</v>
      </c>
      <c r="E1203" s="5" t="s">
        <v>15</v>
      </c>
      <c r="F1203" s="5" t="s">
        <v>16</v>
      </c>
      <c r="G1203" s="5" t="s">
        <v>17</v>
      </c>
      <c r="H1203" s="5">
        <v>15</v>
      </c>
      <c r="I1203" s="7">
        <v>183.06</v>
      </c>
      <c r="J1203" s="6">
        <v>45850</v>
      </c>
      <c r="K1203">
        <f t="shared" si="18"/>
        <v>2745.9</v>
      </c>
      <c r="L1203" t="str">
        <f>INDEX(Raw_Shipments!L1203:L3631,MATCH(A1203,Raw_Shipments!B1203:B3631))</f>
        <v>No</v>
      </c>
    </row>
    <row r="1204" spans="1:12" x14ac:dyDescent="0.3">
      <c r="A1204" s="2" t="s">
        <v>1353</v>
      </c>
      <c r="B1204" s="3">
        <v>45846</v>
      </c>
      <c r="C1204" s="2" t="s">
        <v>282</v>
      </c>
      <c r="D1204" s="2" t="s">
        <v>14</v>
      </c>
      <c r="E1204" s="2" t="s">
        <v>119</v>
      </c>
      <c r="F1204" s="2" t="s">
        <v>120</v>
      </c>
      <c r="G1204" s="2" t="s">
        <v>22</v>
      </c>
      <c r="H1204" s="2">
        <v>42</v>
      </c>
      <c r="I1204" s="4">
        <v>912.26</v>
      </c>
      <c r="J1204" s="3">
        <v>45850</v>
      </c>
      <c r="K1204">
        <f t="shared" si="18"/>
        <v>38314.92</v>
      </c>
      <c r="L1204" t="str">
        <f>INDEX(Raw_Shipments!L1204:L3632,MATCH(A1204,Raw_Shipments!B1204:B3632))</f>
        <v>No</v>
      </c>
    </row>
    <row r="1205" spans="1:12" x14ac:dyDescent="0.3">
      <c r="A1205" s="5" t="s">
        <v>1354</v>
      </c>
      <c r="B1205" s="6">
        <v>45846</v>
      </c>
      <c r="C1205" s="5" t="s">
        <v>183</v>
      </c>
      <c r="D1205" s="5" t="s">
        <v>30</v>
      </c>
      <c r="E1205" s="5" t="s">
        <v>31</v>
      </c>
      <c r="F1205" s="5" t="s">
        <v>32</v>
      </c>
      <c r="G1205" s="5" t="s">
        <v>33</v>
      </c>
      <c r="H1205" s="5">
        <v>44</v>
      </c>
      <c r="I1205" s="7">
        <v>689</v>
      </c>
      <c r="J1205" s="6">
        <v>45853</v>
      </c>
      <c r="K1205">
        <f t="shared" si="18"/>
        <v>30316</v>
      </c>
      <c r="L1205" t="str">
        <f>INDEX(Raw_Shipments!L1205:L3633,MATCH(A1205,Raw_Shipments!B1205:B3633))</f>
        <v>Yes</v>
      </c>
    </row>
    <row r="1206" spans="1:12" x14ac:dyDescent="0.3">
      <c r="A1206" s="2" t="s">
        <v>1355</v>
      </c>
      <c r="B1206" s="3">
        <v>45846</v>
      </c>
      <c r="C1206" s="2" t="s">
        <v>318</v>
      </c>
      <c r="D1206" s="2" t="s">
        <v>30</v>
      </c>
      <c r="E1206" s="2" t="s">
        <v>40</v>
      </c>
      <c r="F1206" s="2" t="s">
        <v>41</v>
      </c>
      <c r="G1206" s="2" t="s">
        <v>42</v>
      </c>
      <c r="H1206" s="2">
        <v>27</v>
      </c>
      <c r="I1206" s="4">
        <v>2445.11</v>
      </c>
      <c r="J1206" s="3">
        <v>45851</v>
      </c>
      <c r="K1206">
        <f t="shared" si="18"/>
        <v>66017.97</v>
      </c>
      <c r="L1206" t="str">
        <f>INDEX(Raw_Shipments!L1206:L3634,MATCH(A1206,Raw_Shipments!B1206:B3634))</f>
        <v>No</v>
      </c>
    </row>
    <row r="1207" spans="1:12" x14ac:dyDescent="0.3">
      <c r="A1207" s="5" t="s">
        <v>1356</v>
      </c>
      <c r="B1207" s="6">
        <v>45847</v>
      </c>
      <c r="C1207" s="5" t="s">
        <v>135</v>
      </c>
      <c r="D1207" s="5" t="s">
        <v>30</v>
      </c>
      <c r="E1207" s="5" t="s">
        <v>53</v>
      </c>
      <c r="F1207" s="5" t="s">
        <v>54</v>
      </c>
      <c r="G1207" s="5" t="s">
        <v>55</v>
      </c>
      <c r="H1207" s="5">
        <v>36</v>
      </c>
      <c r="I1207" s="7">
        <v>2055.9</v>
      </c>
      <c r="J1207" s="6">
        <v>45852</v>
      </c>
      <c r="K1207">
        <f t="shared" si="18"/>
        <v>74012.400000000009</v>
      </c>
      <c r="L1207" t="str">
        <f>INDEX(Raw_Shipments!L1207:L3635,MATCH(A1207,Raw_Shipments!B1207:B3635))</f>
        <v>No</v>
      </c>
    </row>
    <row r="1208" spans="1:12" x14ac:dyDescent="0.3">
      <c r="A1208" s="2" t="s">
        <v>1357</v>
      </c>
      <c r="B1208" s="3">
        <v>45847</v>
      </c>
      <c r="C1208" s="2" t="s">
        <v>400</v>
      </c>
      <c r="D1208" s="2" t="s">
        <v>14</v>
      </c>
      <c r="E1208" s="2" t="s">
        <v>58</v>
      </c>
      <c r="F1208" s="2" t="s">
        <v>59</v>
      </c>
      <c r="G1208" s="2" t="s">
        <v>55</v>
      </c>
      <c r="H1208" s="2">
        <v>14</v>
      </c>
      <c r="I1208" s="4">
        <v>1695.1</v>
      </c>
      <c r="J1208" s="3">
        <v>45850</v>
      </c>
      <c r="K1208">
        <f t="shared" si="18"/>
        <v>23731.399999999998</v>
      </c>
      <c r="L1208" t="str">
        <f>INDEX(Raw_Shipments!L1208:L3636,MATCH(A1208,Raw_Shipments!B1208:B3636))</f>
        <v>No</v>
      </c>
    </row>
    <row r="1209" spans="1:12" x14ac:dyDescent="0.3">
      <c r="A1209" s="5" t="s">
        <v>1358</v>
      </c>
      <c r="B1209" s="6">
        <v>45847</v>
      </c>
      <c r="C1209" s="5" t="s">
        <v>545</v>
      </c>
      <c r="D1209" s="5" t="s">
        <v>25</v>
      </c>
      <c r="E1209" s="5" t="s">
        <v>62</v>
      </c>
      <c r="F1209" s="5" t="s">
        <v>63</v>
      </c>
      <c r="G1209" s="5" t="s">
        <v>55</v>
      </c>
      <c r="H1209" s="5">
        <v>45</v>
      </c>
      <c r="I1209" s="7">
        <v>2555.2199999999998</v>
      </c>
      <c r="J1209" s="6">
        <v>45850</v>
      </c>
      <c r="K1209">
        <f t="shared" si="18"/>
        <v>114984.9</v>
      </c>
      <c r="L1209" t="str">
        <f>INDEX(Raw_Shipments!L1209:L3637,MATCH(A1209,Raw_Shipments!B1209:B3637))</f>
        <v>No</v>
      </c>
    </row>
    <row r="1210" spans="1:12" x14ac:dyDescent="0.3">
      <c r="A1210" s="2" t="s">
        <v>1359</v>
      </c>
      <c r="B1210" s="3">
        <v>45847</v>
      </c>
      <c r="C1210" s="2" t="s">
        <v>232</v>
      </c>
      <c r="D1210" s="2" t="s">
        <v>14</v>
      </c>
      <c r="E1210" s="2" t="s">
        <v>66</v>
      </c>
      <c r="F1210" s="2" t="s">
        <v>67</v>
      </c>
      <c r="G1210" s="2" t="s">
        <v>17</v>
      </c>
      <c r="H1210" s="2">
        <v>17</v>
      </c>
      <c r="I1210" s="4">
        <v>850.8</v>
      </c>
      <c r="J1210" s="3">
        <v>45851</v>
      </c>
      <c r="K1210">
        <f t="shared" si="18"/>
        <v>14463.599999999999</v>
      </c>
      <c r="L1210" t="str">
        <f>INDEX(Raw_Shipments!L1210:L3638,MATCH(A1210,Raw_Shipments!B1210:B3638))</f>
        <v>No</v>
      </c>
    </row>
    <row r="1211" spans="1:12" x14ac:dyDescent="0.3">
      <c r="A1211" s="5" t="s">
        <v>1360</v>
      </c>
      <c r="B1211" s="6">
        <v>45847</v>
      </c>
      <c r="C1211" s="5" t="s">
        <v>85</v>
      </c>
      <c r="D1211" s="5" t="s">
        <v>25</v>
      </c>
      <c r="E1211" s="5" t="s">
        <v>26</v>
      </c>
      <c r="F1211" s="5" t="s">
        <v>27</v>
      </c>
      <c r="G1211" s="5" t="s">
        <v>22</v>
      </c>
      <c r="H1211" s="5">
        <v>33</v>
      </c>
      <c r="I1211" s="7">
        <v>1646.8</v>
      </c>
      <c r="J1211" s="6">
        <v>45855</v>
      </c>
      <c r="K1211">
        <f t="shared" si="18"/>
        <v>54344.4</v>
      </c>
      <c r="L1211" t="str">
        <f>INDEX(Raw_Shipments!L1211:L3639,MATCH(A1211,Raw_Shipments!B1211:B3639))</f>
        <v>No</v>
      </c>
    </row>
    <row r="1212" spans="1:12" x14ac:dyDescent="0.3">
      <c r="A1212" s="2" t="s">
        <v>1361</v>
      </c>
      <c r="B1212" s="3">
        <v>45847</v>
      </c>
      <c r="C1212" s="2" t="s">
        <v>337</v>
      </c>
      <c r="D1212" s="2" t="s">
        <v>14</v>
      </c>
      <c r="E1212" s="2" t="s">
        <v>31</v>
      </c>
      <c r="F1212" s="2" t="s">
        <v>32</v>
      </c>
      <c r="G1212" s="2" t="s">
        <v>33</v>
      </c>
      <c r="H1212" s="2">
        <v>46</v>
      </c>
      <c r="I1212" s="4">
        <v>689</v>
      </c>
      <c r="J1212" s="3">
        <v>45850</v>
      </c>
      <c r="K1212">
        <f t="shared" si="18"/>
        <v>31694</v>
      </c>
      <c r="L1212" t="str">
        <f>INDEX(Raw_Shipments!L1212:L3640,MATCH(A1212,Raw_Shipments!B1212:B3640))</f>
        <v>No</v>
      </c>
    </row>
    <row r="1213" spans="1:12" x14ac:dyDescent="0.3">
      <c r="A1213" s="5" t="s">
        <v>1362</v>
      </c>
      <c r="B1213" s="6">
        <v>45847</v>
      </c>
      <c r="C1213" s="5" t="s">
        <v>442</v>
      </c>
      <c r="D1213" s="5" t="s">
        <v>25</v>
      </c>
      <c r="E1213" s="5" t="s">
        <v>50</v>
      </c>
      <c r="F1213" s="5" t="s">
        <v>51</v>
      </c>
      <c r="G1213" s="5" t="s">
        <v>42</v>
      </c>
      <c r="H1213" s="5">
        <v>11</v>
      </c>
      <c r="I1213" s="7">
        <v>1952.28</v>
      </c>
      <c r="J1213" s="6">
        <v>45857</v>
      </c>
      <c r="K1213">
        <f t="shared" si="18"/>
        <v>21475.079999999998</v>
      </c>
      <c r="L1213" t="str">
        <f>INDEX(Raw_Shipments!L1213:L3641,MATCH(A1213,Raw_Shipments!B1213:B3641))</f>
        <v>No</v>
      </c>
    </row>
    <row r="1214" spans="1:12" x14ac:dyDescent="0.3">
      <c r="A1214" s="2" t="s">
        <v>1363</v>
      </c>
      <c r="B1214" s="3">
        <v>45848</v>
      </c>
      <c r="C1214" s="2" t="s">
        <v>356</v>
      </c>
      <c r="D1214" s="2" t="s">
        <v>45</v>
      </c>
      <c r="E1214" s="2" t="s">
        <v>58</v>
      </c>
      <c r="F1214" s="2" t="s">
        <v>59</v>
      </c>
      <c r="G1214" s="2" t="s">
        <v>55</v>
      </c>
      <c r="H1214" s="2">
        <v>8</v>
      </c>
      <c r="I1214" s="4">
        <v>1695.1</v>
      </c>
      <c r="J1214" s="3">
        <v>45851</v>
      </c>
      <c r="K1214">
        <f t="shared" si="18"/>
        <v>13560.8</v>
      </c>
      <c r="L1214" t="str">
        <f>INDEX(Raw_Shipments!L1214:L3642,MATCH(A1214,Raw_Shipments!B1214:B3642))</f>
        <v>No</v>
      </c>
    </row>
    <row r="1215" spans="1:12" x14ac:dyDescent="0.3">
      <c r="A1215" s="5" t="s">
        <v>1364</v>
      </c>
      <c r="B1215" s="6">
        <v>45848</v>
      </c>
      <c r="C1215" s="5" t="s">
        <v>178</v>
      </c>
      <c r="D1215" s="5" t="s">
        <v>45</v>
      </c>
      <c r="E1215" s="5" t="s">
        <v>62</v>
      </c>
      <c r="F1215" s="5" t="s">
        <v>63</v>
      </c>
      <c r="G1215" s="5" t="s">
        <v>55</v>
      </c>
      <c r="H1215" s="5">
        <v>49</v>
      </c>
      <c r="I1215" s="7">
        <v>2555.2199999999998</v>
      </c>
      <c r="J1215" s="6">
        <v>45851</v>
      </c>
      <c r="K1215">
        <f t="shared" si="18"/>
        <v>125205.77999999998</v>
      </c>
      <c r="L1215" t="str">
        <f>INDEX(Raw_Shipments!L1215:L3643,MATCH(A1215,Raw_Shipments!B1215:B3643))</f>
        <v>No</v>
      </c>
    </row>
    <row r="1216" spans="1:12" x14ac:dyDescent="0.3">
      <c r="A1216" s="2" t="s">
        <v>1365</v>
      </c>
      <c r="B1216" s="3">
        <v>45848</v>
      </c>
      <c r="C1216" s="2" t="s">
        <v>104</v>
      </c>
      <c r="D1216" s="2" t="s">
        <v>45</v>
      </c>
      <c r="E1216" s="2" t="s">
        <v>66</v>
      </c>
      <c r="F1216" s="2" t="s">
        <v>67</v>
      </c>
      <c r="G1216" s="2" t="s">
        <v>17</v>
      </c>
      <c r="H1216" s="2">
        <v>7</v>
      </c>
      <c r="I1216" s="4">
        <v>850.8</v>
      </c>
      <c r="J1216" s="3">
        <v>45856</v>
      </c>
      <c r="K1216">
        <f t="shared" si="18"/>
        <v>5955.5999999999995</v>
      </c>
      <c r="L1216" t="str">
        <f>INDEX(Raw_Shipments!L1216:L3644,MATCH(A1216,Raw_Shipments!B1216:B3644))</f>
        <v>No</v>
      </c>
    </row>
    <row r="1217" spans="1:12" x14ac:dyDescent="0.3">
      <c r="A1217" s="5" t="s">
        <v>1366</v>
      </c>
      <c r="B1217" s="6">
        <v>45848</v>
      </c>
      <c r="C1217" s="5" t="s">
        <v>107</v>
      </c>
      <c r="D1217" s="5" t="s">
        <v>14</v>
      </c>
      <c r="E1217" s="5" t="s">
        <v>97</v>
      </c>
      <c r="F1217" s="5" t="s">
        <v>98</v>
      </c>
      <c r="G1217" s="5" t="s">
        <v>17</v>
      </c>
      <c r="H1217" s="5">
        <v>32</v>
      </c>
      <c r="I1217" s="7">
        <v>1110.6500000000001</v>
      </c>
      <c r="J1217" s="6">
        <v>45855</v>
      </c>
      <c r="K1217">
        <f t="shared" si="18"/>
        <v>35540.800000000003</v>
      </c>
      <c r="L1217" t="str">
        <f>INDEX(Raw_Shipments!L1217:L3645,MATCH(A1217,Raw_Shipments!B1217:B3645))</f>
        <v>No</v>
      </c>
    </row>
    <row r="1218" spans="1:12" x14ac:dyDescent="0.3">
      <c r="A1218" s="2" t="s">
        <v>1367</v>
      </c>
      <c r="B1218" s="3">
        <v>45848</v>
      </c>
      <c r="C1218" s="2" t="s">
        <v>107</v>
      </c>
      <c r="D1218" s="2" t="s">
        <v>25</v>
      </c>
      <c r="E1218" s="2" t="s">
        <v>119</v>
      </c>
      <c r="F1218" s="2" t="s">
        <v>120</v>
      </c>
      <c r="G1218" s="2" t="s">
        <v>22</v>
      </c>
      <c r="H1218" s="2">
        <v>32</v>
      </c>
      <c r="I1218" s="4">
        <v>912.26</v>
      </c>
      <c r="J1218" s="3">
        <v>45851</v>
      </c>
      <c r="K1218">
        <f t="shared" si="18"/>
        <v>29192.32</v>
      </c>
      <c r="L1218" t="str">
        <f>INDEX(Raw_Shipments!L1218:L3646,MATCH(A1218,Raw_Shipments!B1218:B3646))</f>
        <v>No</v>
      </c>
    </row>
    <row r="1219" spans="1:12" x14ac:dyDescent="0.3">
      <c r="A1219" s="5" t="s">
        <v>1368</v>
      </c>
      <c r="B1219" s="6">
        <v>45848</v>
      </c>
      <c r="C1219" s="5" t="s">
        <v>111</v>
      </c>
      <c r="D1219" s="5" t="s">
        <v>45</v>
      </c>
      <c r="E1219" s="5" t="s">
        <v>31</v>
      </c>
      <c r="F1219" s="5" t="s">
        <v>32</v>
      </c>
      <c r="G1219" s="5" t="s">
        <v>33</v>
      </c>
      <c r="H1219" s="5">
        <v>35</v>
      </c>
      <c r="I1219" s="7">
        <v>689</v>
      </c>
      <c r="J1219" s="6">
        <v>45853</v>
      </c>
      <c r="K1219">
        <f t="shared" ref="K1219:K1282" si="19">I1219*H1219</f>
        <v>24115</v>
      </c>
      <c r="L1219" t="str">
        <f>INDEX(Raw_Shipments!L1219:L3647,MATCH(A1219,Raw_Shipments!B1219:B3647))</f>
        <v>No</v>
      </c>
    </row>
    <row r="1220" spans="1:12" x14ac:dyDescent="0.3">
      <c r="A1220" s="2" t="s">
        <v>1369</v>
      </c>
      <c r="B1220" s="3">
        <v>45848</v>
      </c>
      <c r="C1220" s="2" t="s">
        <v>83</v>
      </c>
      <c r="D1220" s="2" t="s">
        <v>14</v>
      </c>
      <c r="E1220" s="2" t="s">
        <v>36</v>
      </c>
      <c r="F1220" s="2" t="s">
        <v>37</v>
      </c>
      <c r="G1220" s="2" t="s">
        <v>33</v>
      </c>
      <c r="H1220" s="2">
        <v>42</v>
      </c>
      <c r="I1220" s="4">
        <v>1064.79</v>
      </c>
      <c r="J1220" s="3">
        <v>45856</v>
      </c>
      <c r="K1220">
        <f t="shared" si="19"/>
        <v>44721.18</v>
      </c>
      <c r="L1220" t="str">
        <f>INDEX(Raw_Shipments!L1220:L3648,MATCH(A1220,Raw_Shipments!B1220:B3648))</f>
        <v>Yes</v>
      </c>
    </row>
    <row r="1221" spans="1:12" x14ac:dyDescent="0.3">
      <c r="A1221" s="5" t="s">
        <v>1370</v>
      </c>
      <c r="B1221" s="6">
        <v>45849</v>
      </c>
      <c r="C1221" s="5" t="s">
        <v>268</v>
      </c>
      <c r="D1221" s="5" t="s">
        <v>14</v>
      </c>
      <c r="E1221" s="5" t="s">
        <v>58</v>
      </c>
      <c r="F1221" s="5" t="s">
        <v>59</v>
      </c>
      <c r="G1221" s="5" t="s">
        <v>55</v>
      </c>
      <c r="H1221" s="5">
        <v>23</v>
      </c>
      <c r="I1221" s="7">
        <v>1695.1</v>
      </c>
      <c r="J1221" s="6">
        <v>45854</v>
      </c>
      <c r="K1221">
        <f t="shared" si="19"/>
        <v>38987.299999999996</v>
      </c>
      <c r="L1221" t="str">
        <f>INDEX(Raw_Shipments!L1221:L3649,MATCH(A1221,Raw_Shipments!B1221:B3649))</f>
        <v>No</v>
      </c>
    </row>
    <row r="1222" spans="1:12" x14ac:dyDescent="0.3">
      <c r="A1222" s="2" t="s">
        <v>1371</v>
      </c>
      <c r="B1222" s="3">
        <v>45849</v>
      </c>
      <c r="C1222" s="2" t="s">
        <v>144</v>
      </c>
      <c r="D1222" s="2" t="s">
        <v>14</v>
      </c>
      <c r="E1222" s="2" t="s">
        <v>62</v>
      </c>
      <c r="F1222" s="2" t="s">
        <v>63</v>
      </c>
      <c r="G1222" s="2" t="s">
        <v>55</v>
      </c>
      <c r="H1222" s="2">
        <v>27</v>
      </c>
      <c r="I1222" s="4">
        <v>2555.2199999999998</v>
      </c>
      <c r="J1222" s="3">
        <v>45858</v>
      </c>
      <c r="K1222">
        <f t="shared" si="19"/>
        <v>68990.939999999988</v>
      </c>
      <c r="L1222" t="str">
        <f>INDEX(Raw_Shipments!L1222:L3650,MATCH(A1222,Raw_Shipments!B1222:B3650))</f>
        <v>No</v>
      </c>
    </row>
    <row r="1223" spans="1:12" x14ac:dyDescent="0.3">
      <c r="A1223" s="5" t="s">
        <v>1372</v>
      </c>
      <c r="B1223" s="6">
        <v>45849</v>
      </c>
      <c r="C1223" s="5" t="s">
        <v>128</v>
      </c>
      <c r="D1223" s="5" t="s">
        <v>14</v>
      </c>
      <c r="E1223" s="5" t="s">
        <v>119</v>
      </c>
      <c r="F1223" s="5" t="s">
        <v>120</v>
      </c>
      <c r="G1223" s="5" t="s">
        <v>22</v>
      </c>
      <c r="H1223" s="5">
        <v>49</v>
      </c>
      <c r="I1223" s="7">
        <v>912.26</v>
      </c>
      <c r="J1223" s="6">
        <v>45854</v>
      </c>
      <c r="K1223">
        <f t="shared" si="19"/>
        <v>44700.74</v>
      </c>
      <c r="L1223" t="str">
        <f>INDEX(Raw_Shipments!L1223:L3651,MATCH(A1223,Raw_Shipments!B1223:B3651))</f>
        <v>No</v>
      </c>
    </row>
    <row r="1224" spans="1:12" x14ac:dyDescent="0.3">
      <c r="A1224" s="2" t="s">
        <v>1373</v>
      </c>
      <c r="B1224" s="3">
        <v>45849</v>
      </c>
      <c r="C1224" s="2" t="s">
        <v>131</v>
      </c>
      <c r="D1224" s="2" t="s">
        <v>45</v>
      </c>
      <c r="E1224" s="2" t="s">
        <v>26</v>
      </c>
      <c r="F1224" s="2" t="s">
        <v>27</v>
      </c>
      <c r="G1224" s="2" t="s">
        <v>22</v>
      </c>
      <c r="H1224" s="2">
        <v>23</v>
      </c>
      <c r="I1224" s="4">
        <v>1646.8</v>
      </c>
      <c r="J1224" s="3">
        <v>45859</v>
      </c>
      <c r="K1224">
        <f t="shared" si="19"/>
        <v>37876.400000000001</v>
      </c>
      <c r="L1224" t="str">
        <f>INDEX(Raw_Shipments!L1224:L3652,MATCH(A1224,Raw_Shipments!B1224:B3652))</f>
        <v>Yes</v>
      </c>
    </row>
    <row r="1225" spans="1:12" x14ac:dyDescent="0.3">
      <c r="A1225" s="5" t="s">
        <v>1374</v>
      </c>
      <c r="B1225" s="6">
        <v>45849</v>
      </c>
      <c r="C1225" s="5" t="s">
        <v>61</v>
      </c>
      <c r="D1225" s="5" t="s">
        <v>25</v>
      </c>
      <c r="E1225" s="5" t="s">
        <v>40</v>
      </c>
      <c r="F1225" s="5" t="s">
        <v>41</v>
      </c>
      <c r="G1225" s="5" t="s">
        <v>42</v>
      </c>
      <c r="H1225" s="5">
        <v>8</v>
      </c>
      <c r="I1225" s="7">
        <v>2445.11</v>
      </c>
      <c r="J1225" s="6">
        <v>45858</v>
      </c>
      <c r="K1225">
        <f t="shared" si="19"/>
        <v>19560.88</v>
      </c>
      <c r="L1225" t="str">
        <f>INDEX(Raw_Shipments!L1225:L3653,MATCH(A1225,Raw_Shipments!B1225:B3653))</f>
        <v>No</v>
      </c>
    </row>
    <row r="1226" spans="1:12" x14ac:dyDescent="0.3">
      <c r="A1226" s="2" t="s">
        <v>1375</v>
      </c>
      <c r="B1226" s="3">
        <v>45850</v>
      </c>
      <c r="C1226" s="2" t="s">
        <v>220</v>
      </c>
      <c r="D1226" s="2" t="s">
        <v>25</v>
      </c>
      <c r="E1226" s="2" t="s">
        <v>53</v>
      </c>
      <c r="F1226" s="2" t="s">
        <v>54</v>
      </c>
      <c r="G1226" s="2" t="s">
        <v>55</v>
      </c>
      <c r="H1226" s="2">
        <v>21</v>
      </c>
      <c r="I1226" s="4">
        <v>2055.9</v>
      </c>
      <c r="J1226" s="3">
        <v>45860</v>
      </c>
      <c r="K1226">
        <f t="shared" si="19"/>
        <v>43173.9</v>
      </c>
      <c r="L1226" t="str">
        <f>INDEX(Raw_Shipments!L1226:L3654,MATCH(A1226,Raw_Shipments!B1226:B3654))</f>
        <v>No</v>
      </c>
    </row>
    <row r="1227" spans="1:12" x14ac:dyDescent="0.3">
      <c r="A1227" s="5" t="s">
        <v>1376</v>
      </c>
      <c r="B1227" s="6">
        <v>45850</v>
      </c>
      <c r="C1227" s="5" t="s">
        <v>175</v>
      </c>
      <c r="D1227" s="5" t="s">
        <v>14</v>
      </c>
      <c r="E1227" s="5" t="s">
        <v>15</v>
      </c>
      <c r="F1227" s="5" t="s">
        <v>16</v>
      </c>
      <c r="G1227" s="5" t="s">
        <v>17</v>
      </c>
      <c r="H1227" s="5">
        <v>19</v>
      </c>
      <c r="I1227" s="7">
        <v>183.06</v>
      </c>
      <c r="J1227" s="6">
        <v>45856</v>
      </c>
      <c r="K1227">
        <f t="shared" si="19"/>
        <v>3478.14</v>
      </c>
      <c r="L1227" t="str">
        <f>INDEX(Raw_Shipments!L1227:L3655,MATCH(A1227,Raw_Shipments!B1227:B3655))</f>
        <v>No</v>
      </c>
    </row>
    <row r="1228" spans="1:12" x14ac:dyDescent="0.3">
      <c r="A1228" s="2" t="s">
        <v>1377</v>
      </c>
      <c r="B1228" s="3">
        <v>45850</v>
      </c>
      <c r="C1228" s="2" t="s">
        <v>83</v>
      </c>
      <c r="D1228" s="2" t="s">
        <v>25</v>
      </c>
      <c r="E1228" s="2" t="s">
        <v>20</v>
      </c>
      <c r="F1228" s="2" t="s">
        <v>21</v>
      </c>
      <c r="G1228" s="2" t="s">
        <v>22</v>
      </c>
      <c r="H1228" s="2">
        <v>10</v>
      </c>
      <c r="I1228" s="4">
        <v>2108.56</v>
      </c>
      <c r="J1228" s="3">
        <v>45855</v>
      </c>
      <c r="K1228">
        <f t="shared" si="19"/>
        <v>21085.599999999999</v>
      </c>
      <c r="L1228" t="str">
        <f>INDEX(Raw_Shipments!L1228:L3656,MATCH(A1228,Raw_Shipments!B1228:B3656))</f>
        <v>No</v>
      </c>
    </row>
    <row r="1229" spans="1:12" x14ac:dyDescent="0.3">
      <c r="A1229" s="5" t="s">
        <v>1378</v>
      </c>
      <c r="B1229" s="6">
        <v>45850</v>
      </c>
      <c r="C1229" s="5" t="s">
        <v>238</v>
      </c>
      <c r="D1229" s="5" t="s">
        <v>30</v>
      </c>
      <c r="E1229" s="5" t="s">
        <v>26</v>
      </c>
      <c r="F1229" s="5" t="s">
        <v>27</v>
      </c>
      <c r="G1229" s="5" t="s">
        <v>22</v>
      </c>
      <c r="H1229" s="5">
        <v>32</v>
      </c>
      <c r="I1229" s="7">
        <v>1646.8</v>
      </c>
      <c r="J1229" s="6">
        <v>45854</v>
      </c>
      <c r="K1229">
        <f t="shared" si="19"/>
        <v>52697.599999999999</v>
      </c>
      <c r="L1229" t="str">
        <f>INDEX(Raw_Shipments!L1229:L3657,MATCH(A1229,Raw_Shipments!B1229:B3657))</f>
        <v>No</v>
      </c>
    </row>
    <row r="1230" spans="1:12" x14ac:dyDescent="0.3">
      <c r="A1230" s="2" t="s">
        <v>1379</v>
      </c>
      <c r="B1230" s="3">
        <v>45850</v>
      </c>
      <c r="C1230" s="2" t="s">
        <v>545</v>
      </c>
      <c r="D1230" s="2" t="s">
        <v>30</v>
      </c>
      <c r="E1230" s="2" t="s">
        <v>36</v>
      </c>
      <c r="F1230" s="2" t="s">
        <v>37</v>
      </c>
      <c r="G1230" s="2" t="s">
        <v>33</v>
      </c>
      <c r="H1230" s="2">
        <v>54</v>
      </c>
      <c r="I1230" s="4">
        <v>1064.79</v>
      </c>
      <c r="J1230" s="3">
        <v>45858</v>
      </c>
      <c r="K1230">
        <f t="shared" si="19"/>
        <v>57498.659999999996</v>
      </c>
      <c r="L1230" t="str">
        <f>INDEX(Raw_Shipments!L1230:L3658,MATCH(A1230,Raw_Shipments!B1230:B3658))</f>
        <v>Yes</v>
      </c>
    </row>
    <row r="1231" spans="1:12" x14ac:dyDescent="0.3">
      <c r="A1231" s="5" t="s">
        <v>1380</v>
      </c>
      <c r="B1231" s="6">
        <v>45850</v>
      </c>
      <c r="C1231" s="5" t="s">
        <v>185</v>
      </c>
      <c r="D1231" s="5" t="s">
        <v>25</v>
      </c>
      <c r="E1231" s="5" t="s">
        <v>40</v>
      </c>
      <c r="F1231" s="5" t="s">
        <v>41</v>
      </c>
      <c r="G1231" s="5" t="s">
        <v>42</v>
      </c>
      <c r="H1231" s="5">
        <v>28</v>
      </c>
      <c r="I1231" s="7">
        <v>2445.11</v>
      </c>
      <c r="J1231" s="6">
        <v>45860</v>
      </c>
      <c r="K1231">
        <f t="shared" si="19"/>
        <v>68463.08</v>
      </c>
      <c r="L1231" t="str">
        <f>INDEX(Raw_Shipments!L1231:L3659,MATCH(A1231,Raw_Shipments!B1231:B3659))</f>
        <v>No</v>
      </c>
    </row>
    <row r="1232" spans="1:12" x14ac:dyDescent="0.3">
      <c r="A1232" s="2" t="s">
        <v>1381</v>
      </c>
      <c r="B1232" s="3">
        <v>45850</v>
      </c>
      <c r="C1232" s="2" t="s">
        <v>183</v>
      </c>
      <c r="D1232" s="2" t="s">
        <v>45</v>
      </c>
      <c r="E1232" s="2" t="s">
        <v>46</v>
      </c>
      <c r="F1232" s="2" t="s">
        <v>47</v>
      </c>
      <c r="G1232" s="2" t="s">
        <v>42</v>
      </c>
      <c r="H1232" s="2">
        <v>7</v>
      </c>
      <c r="I1232" s="4">
        <v>1833.14</v>
      </c>
      <c r="J1232" s="3">
        <v>45854</v>
      </c>
      <c r="K1232">
        <f t="shared" si="19"/>
        <v>12831.980000000001</v>
      </c>
      <c r="L1232" t="str">
        <f>INDEX(Raw_Shipments!L1232:L3660,MATCH(A1232,Raw_Shipments!B1232:B3660))</f>
        <v>No</v>
      </c>
    </row>
    <row r="1233" spans="1:12" x14ac:dyDescent="0.3">
      <c r="A1233" s="5" t="s">
        <v>1382</v>
      </c>
      <c r="B1233" s="6">
        <v>45850</v>
      </c>
      <c r="C1233" s="5" t="s">
        <v>29</v>
      </c>
      <c r="D1233" s="5" t="s">
        <v>14</v>
      </c>
      <c r="E1233" s="5" t="s">
        <v>50</v>
      </c>
      <c r="F1233" s="5" t="s">
        <v>51</v>
      </c>
      <c r="G1233" s="5" t="s">
        <v>42</v>
      </c>
      <c r="H1233" s="5">
        <v>11</v>
      </c>
      <c r="I1233" s="7">
        <v>1952.28</v>
      </c>
      <c r="J1233" s="6">
        <v>45854</v>
      </c>
      <c r="K1233">
        <f t="shared" si="19"/>
        <v>21475.079999999998</v>
      </c>
      <c r="L1233" t="str">
        <f>INDEX(Raw_Shipments!L1233:L3661,MATCH(A1233,Raw_Shipments!B1233:B3661))</f>
        <v>No</v>
      </c>
    </row>
    <row r="1234" spans="1:12" x14ac:dyDescent="0.3">
      <c r="A1234" s="2" t="s">
        <v>1383</v>
      </c>
      <c r="B1234" s="3">
        <v>45851</v>
      </c>
      <c r="C1234" s="2" t="s">
        <v>146</v>
      </c>
      <c r="D1234" s="2" t="s">
        <v>14</v>
      </c>
      <c r="E1234" s="2" t="s">
        <v>53</v>
      </c>
      <c r="F1234" s="2" t="s">
        <v>54</v>
      </c>
      <c r="G1234" s="2" t="s">
        <v>55</v>
      </c>
      <c r="H1234" s="2">
        <v>36</v>
      </c>
      <c r="I1234" s="4">
        <v>2055.9</v>
      </c>
      <c r="J1234" s="3">
        <v>45857</v>
      </c>
      <c r="K1234">
        <f t="shared" si="19"/>
        <v>74012.400000000009</v>
      </c>
      <c r="L1234" t="str">
        <f>INDEX(Raw_Shipments!L1234:L3662,MATCH(A1234,Raw_Shipments!B1234:B3662))</f>
        <v>No</v>
      </c>
    </row>
    <row r="1235" spans="1:12" x14ac:dyDescent="0.3">
      <c r="A1235" s="5" t="s">
        <v>1384</v>
      </c>
      <c r="B1235" s="6">
        <v>45851</v>
      </c>
      <c r="C1235" s="5" t="s">
        <v>213</v>
      </c>
      <c r="D1235" s="5" t="s">
        <v>14</v>
      </c>
      <c r="E1235" s="5" t="s">
        <v>62</v>
      </c>
      <c r="F1235" s="5" t="s">
        <v>63</v>
      </c>
      <c r="G1235" s="5" t="s">
        <v>55</v>
      </c>
      <c r="H1235" s="5">
        <v>37</v>
      </c>
      <c r="I1235" s="7">
        <v>2555.2199999999998</v>
      </c>
      <c r="J1235" s="6">
        <v>45858</v>
      </c>
      <c r="K1235">
        <f t="shared" si="19"/>
        <v>94543.14</v>
      </c>
      <c r="L1235" t="str">
        <f>INDEX(Raw_Shipments!L1235:L3663,MATCH(A1235,Raw_Shipments!B1235:B3663))</f>
        <v>No</v>
      </c>
    </row>
    <row r="1236" spans="1:12" x14ac:dyDescent="0.3">
      <c r="A1236" s="2" t="s">
        <v>1385</v>
      </c>
      <c r="B1236" s="3">
        <v>45851</v>
      </c>
      <c r="C1236" s="2" t="s">
        <v>115</v>
      </c>
      <c r="D1236" s="2" t="s">
        <v>45</v>
      </c>
      <c r="E1236" s="2" t="s">
        <v>119</v>
      </c>
      <c r="F1236" s="2" t="s">
        <v>120</v>
      </c>
      <c r="G1236" s="2" t="s">
        <v>22</v>
      </c>
      <c r="H1236" s="2">
        <v>32</v>
      </c>
      <c r="I1236" s="4">
        <v>912.26</v>
      </c>
      <c r="J1236" s="3">
        <v>45860</v>
      </c>
      <c r="K1236">
        <f t="shared" si="19"/>
        <v>29192.32</v>
      </c>
      <c r="L1236" t="str">
        <f>INDEX(Raw_Shipments!L1236:L3664,MATCH(A1236,Raw_Shipments!B1236:B3664))</f>
        <v>No</v>
      </c>
    </row>
    <row r="1237" spans="1:12" x14ac:dyDescent="0.3">
      <c r="A1237" s="5" t="s">
        <v>1386</v>
      </c>
      <c r="B1237" s="6">
        <v>45851</v>
      </c>
      <c r="C1237" s="5" t="s">
        <v>113</v>
      </c>
      <c r="D1237" s="5" t="s">
        <v>14</v>
      </c>
      <c r="E1237" s="5" t="s">
        <v>86</v>
      </c>
      <c r="F1237" s="5" t="s">
        <v>87</v>
      </c>
      <c r="G1237" s="5" t="s">
        <v>33</v>
      </c>
      <c r="H1237" s="5">
        <v>42</v>
      </c>
      <c r="I1237" s="7">
        <v>815.88</v>
      </c>
      <c r="J1237" s="6">
        <v>45860</v>
      </c>
      <c r="K1237">
        <f t="shared" si="19"/>
        <v>34266.959999999999</v>
      </c>
      <c r="L1237" t="str">
        <f>INDEX(Raw_Shipments!L1237:L3665,MATCH(A1237,Raw_Shipments!B1237:B3665))</f>
        <v>Yes</v>
      </c>
    </row>
    <row r="1238" spans="1:12" x14ac:dyDescent="0.3">
      <c r="A1238" s="2" t="s">
        <v>1387</v>
      </c>
      <c r="B1238" s="3">
        <v>45851</v>
      </c>
      <c r="C1238" s="2" t="s">
        <v>180</v>
      </c>
      <c r="D1238" s="2" t="s">
        <v>30</v>
      </c>
      <c r="E1238" s="2" t="s">
        <v>46</v>
      </c>
      <c r="F1238" s="2" t="s">
        <v>47</v>
      </c>
      <c r="G1238" s="2" t="s">
        <v>42</v>
      </c>
      <c r="H1238" s="2">
        <v>6</v>
      </c>
      <c r="I1238" s="4">
        <v>1833.14</v>
      </c>
      <c r="J1238" s="3">
        <v>45861</v>
      </c>
      <c r="K1238">
        <f t="shared" si="19"/>
        <v>10998.84</v>
      </c>
      <c r="L1238" t="str">
        <f>INDEX(Raw_Shipments!L1238:L3666,MATCH(A1238,Raw_Shipments!B1238:B3666))</f>
        <v>No</v>
      </c>
    </row>
    <row r="1239" spans="1:12" x14ac:dyDescent="0.3">
      <c r="A1239" s="5" t="s">
        <v>1388</v>
      </c>
      <c r="B1239" s="6">
        <v>45851</v>
      </c>
      <c r="C1239" s="5" t="s">
        <v>185</v>
      </c>
      <c r="D1239" s="5" t="s">
        <v>14</v>
      </c>
      <c r="E1239" s="5" t="s">
        <v>50</v>
      </c>
      <c r="F1239" s="5" t="s">
        <v>51</v>
      </c>
      <c r="G1239" s="5" t="s">
        <v>42</v>
      </c>
      <c r="H1239" s="5">
        <v>13</v>
      </c>
      <c r="I1239" s="7">
        <v>1952.28</v>
      </c>
      <c r="J1239" s="6">
        <v>45855</v>
      </c>
      <c r="K1239">
        <f t="shared" si="19"/>
        <v>25379.64</v>
      </c>
      <c r="L1239" t="str">
        <f>INDEX(Raw_Shipments!L1239:L3667,MATCH(A1239,Raw_Shipments!B1239:B3667))</f>
        <v>No</v>
      </c>
    </row>
    <row r="1240" spans="1:12" x14ac:dyDescent="0.3">
      <c r="A1240" s="2" t="s">
        <v>1389</v>
      </c>
      <c r="B1240" s="3">
        <v>45852</v>
      </c>
      <c r="C1240" s="2" t="s">
        <v>175</v>
      </c>
      <c r="D1240" s="2" t="s">
        <v>45</v>
      </c>
      <c r="E1240" s="2" t="s">
        <v>53</v>
      </c>
      <c r="F1240" s="2" t="s">
        <v>54</v>
      </c>
      <c r="G1240" s="2" t="s">
        <v>55</v>
      </c>
      <c r="H1240" s="2">
        <v>44</v>
      </c>
      <c r="I1240" s="4">
        <v>2055.9</v>
      </c>
      <c r="J1240" s="3">
        <v>45862</v>
      </c>
      <c r="K1240">
        <f t="shared" si="19"/>
        <v>90459.6</v>
      </c>
      <c r="L1240" t="str">
        <f>INDEX(Raw_Shipments!L1240:L3668,MATCH(A1240,Raw_Shipments!B1240:B3668))</f>
        <v>No</v>
      </c>
    </row>
    <row r="1241" spans="1:12" x14ac:dyDescent="0.3">
      <c r="A1241" s="5" t="s">
        <v>1390</v>
      </c>
      <c r="B1241" s="6">
        <v>45852</v>
      </c>
      <c r="C1241" s="5" t="s">
        <v>318</v>
      </c>
      <c r="D1241" s="5" t="s">
        <v>45</v>
      </c>
      <c r="E1241" s="5" t="s">
        <v>58</v>
      </c>
      <c r="F1241" s="5" t="s">
        <v>59</v>
      </c>
      <c r="G1241" s="5" t="s">
        <v>55</v>
      </c>
      <c r="H1241" s="5">
        <v>15</v>
      </c>
      <c r="I1241" s="7">
        <v>1695.1</v>
      </c>
      <c r="J1241" s="6">
        <v>45857</v>
      </c>
      <c r="K1241">
        <f t="shared" si="19"/>
        <v>25426.5</v>
      </c>
      <c r="L1241" t="str">
        <f>INDEX(Raw_Shipments!L1241:L3669,MATCH(A1241,Raw_Shipments!B1241:B3669))</f>
        <v>No</v>
      </c>
    </row>
    <row r="1242" spans="1:12" x14ac:dyDescent="0.3">
      <c r="A1242" s="2" t="s">
        <v>1391</v>
      </c>
      <c r="B1242" s="3">
        <v>45852</v>
      </c>
      <c r="C1242" s="2" t="s">
        <v>150</v>
      </c>
      <c r="D1242" s="2" t="s">
        <v>25</v>
      </c>
      <c r="E1242" s="2" t="s">
        <v>97</v>
      </c>
      <c r="F1242" s="2" t="s">
        <v>98</v>
      </c>
      <c r="G1242" s="2" t="s">
        <v>17</v>
      </c>
      <c r="H1242" s="2">
        <v>29</v>
      </c>
      <c r="I1242" s="4">
        <v>1110.6500000000001</v>
      </c>
      <c r="J1242" s="3">
        <v>45861</v>
      </c>
      <c r="K1242">
        <f t="shared" si="19"/>
        <v>32208.850000000002</v>
      </c>
      <c r="L1242" t="str">
        <f>INDEX(Raw_Shipments!L1242:L3670,MATCH(A1242,Raw_Shipments!B1242:B3670))</f>
        <v>No</v>
      </c>
    </row>
    <row r="1243" spans="1:12" x14ac:dyDescent="0.3">
      <c r="A1243" s="5" t="s">
        <v>1392</v>
      </c>
      <c r="B1243" s="6">
        <v>45852</v>
      </c>
      <c r="C1243" s="5" t="s">
        <v>195</v>
      </c>
      <c r="D1243" s="5" t="s">
        <v>45</v>
      </c>
      <c r="E1243" s="5" t="s">
        <v>15</v>
      </c>
      <c r="F1243" s="5" t="s">
        <v>16</v>
      </c>
      <c r="G1243" s="5" t="s">
        <v>17</v>
      </c>
      <c r="H1243" s="5">
        <v>19</v>
      </c>
      <c r="I1243" s="7">
        <v>183.06</v>
      </c>
      <c r="J1243" s="6">
        <v>45855</v>
      </c>
      <c r="K1243">
        <f t="shared" si="19"/>
        <v>3478.14</v>
      </c>
      <c r="L1243" t="str">
        <f>INDEX(Raw_Shipments!L1243:L3671,MATCH(A1243,Raw_Shipments!B1243:B3671))</f>
        <v>No</v>
      </c>
    </row>
    <row r="1244" spans="1:12" x14ac:dyDescent="0.3">
      <c r="A1244" s="2" t="s">
        <v>1393</v>
      </c>
      <c r="B1244" s="3">
        <v>45852</v>
      </c>
      <c r="C1244" s="2" t="s">
        <v>111</v>
      </c>
      <c r="D1244" s="2" t="s">
        <v>14</v>
      </c>
      <c r="E1244" s="2" t="s">
        <v>119</v>
      </c>
      <c r="F1244" s="2" t="s">
        <v>120</v>
      </c>
      <c r="G1244" s="2" t="s">
        <v>22</v>
      </c>
      <c r="H1244" s="2">
        <v>52</v>
      </c>
      <c r="I1244" s="4">
        <v>912.26</v>
      </c>
      <c r="J1244" s="3">
        <v>45861</v>
      </c>
      <c r="K1244">
        <f t="shared" si="19"/>
        <v>47437.52</v>
      </c>
      <c r="L1244" t="str">
        <f>INDEX(Raw_Shipments!L1244:L3672,MATCH(A1244,Raw_Shipments!B1244:B3672))</f>
        <v>No</v>
      </c>
    </row>
    <row r="1245" spans="1:12" x14ac:dyDescent="0.3">
      <c r="A1245" s="5" t="s">
        <v>1394</v>
      </c>
      <c r="B1245" s="6">
        <v>45852</v>
      </c>
      <c r="C1245" s="5" t="s">
        <v>213</v>
      </c>
      <c r="D1245" s="5" t="s">
        <v>30</v>
      </c>
      <c r="E1245" s="5" t="s">
        <v>31</v>
      </c>
      <c r="F1245" s="5" t="s">
        <v>32</v>
      </c>
      <c r="G1245" s="5" t="s">
        <v>33</v>
      </c>
      <c r="H1245" s="5">
        <v>34</v>
      </c>
      <c r="I1245" s="7">
        <v>689</v>
      </c>
      <c r="J1245" s="6">
        <v>45861</v>
      </c>
      <c r="K1245">
        <f t="shared" si="19"/>
        <v>23426</v>
      </c>
      <c r="L1245" t="str">
        <f>INDEX(Raw_Shipments!L1245:L3673,MATCH(A1245,Raw_Shipments!B1245:B3673))</f>
        <v>Yes</v>
      </c>
    </row>
    <row r="1246" spans="1:12" x14ac:dyDescent="0.3">
      <c r="A1246" s="2" t="s">
        <v>1395</v>
      </c>
      <c r="B1246" s="3">
        <v>45852</v>
      </c>
      <c r="C1246" s="2" t="s">
        <v>250</v>
      </c>
      <c r="D1246" s="2" t="s">
        <v>14</v>
      </c>
      <c r="E1246" s="2" t="s">
        <v>36</v>
      </c>
      <c r="F1246" s="2" t="s">
        <v>37</v>
      </c>
      <c r="G1246" s="2" t="s">
        <v>33</v>
      </c>
      <c r="H1246" s="2">
        <v>25</v>
      </c>
      <c r="I1246" s="4">
        <v>1064.79</v>
      </c>
      <c r="J1246" s="3">
        <v>45859</v>
      </c>
      <c r="K1246">
        <f t="shared" si="19"/>
        <v>26619.75</v>
      </c>
      <c r="L1246" t="str">
        <f>INDEX(Raw_Shipments!L1246:L3674,MATCH(A1246,Raw_Shipments!B1246:B3674))</f>
        <v>Yes</v>
      </c>
    </row>
    <row r="1247" spans="1:12" x14ac:dyDescent="0.3">
      <c r="A1247" s="5" t="s">
        <v>1396</v>
      </c>
      <c r="B1247" s="6">
        <v>45852</v>
      </c>
      <c r="C1247" s="5" t="s">
        <v>24</v>
      </c>
      <c r="D1247" s="5" t="s">
        <v>30</v>
      </c>
      <c r="E1247" s="5" t="s">
        <v>86</v>
      </c>
      <c r="F1247" s="5" t="s">
        <v>87</v>
      </c>
      <c r="G1247" s="5" t="s">
        <v>33</v>
      </c>
      <c r="H1247" s="5">
        <v>22</v>
      </c>
      <c r="I1247" s="7">
        <v>815.88</v>
      </c>
      <c r="J1247" s="6">
        <v>45857</v>
      </c>
      <c r="K1247">
        <f t="shared" si="19"/>
        <v>17949.36</v>
      </c>
      <c r="L1247" t="str">
        <f>INDEX(Raw_Shipments!L1247:L3675,MATCH(A1247,Raw_Shipments!B1247:B3675))</f>
        <v>No</v>
      </c>
    </row>
    <row r="1248" spans="1:12" x14ac:dyDescent="0.3">
      <c r="A1248" s="2" t="s">
        <v>1397</v>
      </c>
      <c r="B1248" s="3">
        <v>45852</v>
      </c>
      <c r="C1248" s="2" t="s">
        <v>69</v>
      </c>
      <c r="D1248" s="2" t="s">
        <v>14</v>
      </c>
      <c r="E1248" s="2" t="s">
        <v>40</v>
      </c>
      <c r="F1248" s="2" t="s">
        <v>41</v>
      </c>
      <c r="G1248" s="2" t="s">
        <v>42</v>
      </c>
      <c r="H1248" s="2">
        <v>32</v>
      </c>
      <c r="I1248" s="4">
        <v>2445.11</v>
      </c>
      <c r="J1248" s="3">
        <v>45861</v>
      </c>
      <c r="K1248">
        <f t="shared" si="19"/>
        <v>78243.520000000004</v>
      </c>
      <c r="L1248" t="str">
        <f>INDEX(Raw_Shipments!L1248:L3676,MATCH(A1248,Raw_Shipments!B1248:B3676))</f>
        <v>No</v>
      </c>
    </row>
    <row r="1249" spans="1:12" x14ac:dyDescent="0.3">
      <c r="A1249" s="5" t="s">
        <v>1398</v>
      </c>
      <c r="B1249" s="6">
        <v>45852</v>
      </c>
      <c r="C1249" s="5" t="s">
        <v>79</v>
      </c>
      <c r="D1249" s="5" t="s">
        <v>45</v>
      </c>
      <c r="E1249" s="5" t="s">
        <v>46</v>
      </c>
      <c r="F1249" s="5" t="s">
        <v>47</v>
      </c>
      <c r="G1249" s="5" t="s">
        <v>42</v>
      </c>
      <c r="H1249" s="5">
        <v>11</v>
      </c>
      <c r="I1249" s="7">
        <v>1833.14</v>
      </c>
      <c r="J1249" s="6">
        <v>45856</v>
      </c>
      <c r="K1249">
        <f t="shared" si="19"/>
        <v>20164.54</v>
      </c>
      <c r="L1249" t="str">
        <f>INDEX(Raw_Shipments!L1249:L3677,MATCH(A1249,Raw_Shipments!B1249:B3677))</f>
        <v>No</v>
      </c>
    </row>
    <row r="1250" spans="1:12" x14ac:dyDescent="0.3">
      <c r="A1250" s="2" t="s">
        <v>1399</v>
      </c>
      <c r="B1250" s="3">
        <v>45852</v>
      </c>
      <c r="C1250" s="2" t="s">
        <v>166</v>
      </c>
      <c r="D1250" s="2" t="s">
        <v>14</v>
      </c>
      <c r="E1250" s="2" t="s">
        <v>50</v>
      </c>
      <c r="F1250" s="2" t="s">
        <v>51</v>
      </c>
      <c r="G1250" s="2" t="s">
        <v>42</v>
      </c>
      <c r="H1250" s="2">
        <v>11</v>
      </c>
      <c r="I1250" s="4">
        <v>1952.28</v>
      </c>
      <c r="J1250" s="3">
        <v>45861</v>
      </c>
      <c r="K1250">
        <f t="shared" si="19"/>
        <v>21475.079999999998</v>
      </c>
      <c r="L1250" t="str">
        <f>INDEX(Raw_Shipments!L1250:L3678,MATCH(A1250,Raw_Shipments!B1250:B3678))</f>
        <v>No</v>
      </c>
    </row>
    <row r="1251" spans="1:12" x14ac:dyDescent="0.3">
      <c r="A1251" s="5" t="s">
        <v>1400</v>
      </c>
      <c r="B1251" s="6">
        <v>45853</v>
      </c>
      <c r="C1251" s="5" t="s">
        <v>65</v>
      </c>
      <c r="D1251" s="5" t="s">
        <v>45</v>
      </c>
      <c r="E1251" s="5" t="s">
        <v>58</v>
      </c>
      <c r="F1251" s="5" t="s">
        <v>59</v>
      </c>
      <c r="G1251" s="5" t="s">
        <v>55</v>
      </c>
      <c r="H1251" s="5">
        <v>17</v>
      </c>
      <c r="I1251" s="7">
        <v>1695.1</v>
      </c>
      <c r="J1251" s="6">
        <v>45862</v>
      </c>
      <c r="K1251">
        <f t="shared" si="19"/>
        <v>28816.699999999997</v>
      </c>
      <c r="L1251" t="str">
        <f>INDEX(Raw_Shipments!L1251:L3679,MATCH(A1251,Raw_Shipments!B1251:B3679))</f>
        <v>No</v>
      </c>
    </row>
    <row r="1252" spans="1:12" x14ac:dyDescent="0.3">
      <c r="A1252" s="2" t="s">
        <v>1401</v>
      </c>
      <c r="B1252" s="3">
        <v>45853</v>
      </c>
      <c r="C1252" s="2" t="s">
        <v>318</v>
      </c>
      <c r="D1252" s="2" t="s">
        <v>30</v>
      </c>
      <c r="E1252" s="2" t="s">
        <v>62</v>
      </c>
      <c r="F1252" s="2" t="s">
        <v>63</v>
      </c>
      <c r="G1252" s="2" t="s">
        <v>55</v>
      </c>
      <c r="H1252" s="2">
        <v>42</v>
      </c>
      <c r="I1252" s="4">
        <v>2555.2199999999998</v>
      </c>
      <c r="J1252" s="3">
        <v>45859</v>
      </c>
      <c r="K1252">
        <f t="shared" si="19"/>
        <v>107319.23999999999</v>
      </c>
      <c r="L1252" t="str">
        <f>INDEX(Raw_Shipments!L1252:L3680,MATCH(A1252,Raw_Shipments!B1252:B3680))</f>
        <v>No</v>
      </c>
    </row>
    <row r="1253" spans="1:12" x14ac:dyDescent="0.3">
      <c r="A1253" s="5" t="s">
        <v>1402</v>
      </c>
      <c r="B1253" s="6">
        <v>45853</v>
      </c>
      <c r="C1253" s="5" t="s">
        <v>282</v>
      </c>
      <c r="D1253" s="5" t="s">
        <v>14</v>
      </c>
      <c r="E1253" s="5" t="s">
        <v>15</v>
      </c>
      <c r="F1253" s="5" t="s">
        <v>16</v>
      </c>
      <c r="G1253" s="5" t="s">
        <v>17</v>
      </c>
      <c r="H1253" s="5">
        <v>12</v>
      </c>
      <c r="I1253" s="7">
        <v>183.06</v>
      </c>
      <c r="J1253" s="6">
        <v>45860</v>
      </c>
      <c r="K1253">
        <f t="shared" si="19"/>
        <v>2196.7200000000003</v>
      </c>
      <c r="L1253" t="str">
        <f>INDEX(Raw_Shipments!L1253:L3681,MATCH(A1253,Raw_Shipments!B1253:B3681))</f>
        <v>No</v>
      </c>
    </row>
    <row r="1254" spans="1:12" x14ac:dyDescent="0.3">
      <c r="A1254" s="2" t="s">
        <v>1403</v>
      </c>
      <c r="B1254" s="3">
        <v>45853</v>
      </c>
      <c r="C1254" s="2" t="s">
        <v>115</v>
      </c>
      <c r="D1254" s="2" t="s">
        <v>14</v>
      </c>
      <c r="E1254" s="2" t="s">
        <v>26</v>
      </c>
      <c r="F1254" s="2" t="s">
        <v>27</v>
      </c>
      <c r="G1254" s="2" t="s">
        <v>22</v>
      </c>
      <c r="H1254" s="2">
        <v>23</v>
      </c>
      <c r="I1254" s="4">
        <v>1646.8</v>
      </c>
      <c r="J1254" s="3">
        <v>45857</v>
      </c>
      <c r="K1254">
        <f t="shared" si="19"/>
        <v>37876.400000000001</v>
      </c>
      <c r="L1254" t="str">
        <f>INDEX(Raw_Shipments!L1254:L3682,MATCH(A1254,Raw_Shipments!B1254:B3682))</f>
        <v>No</v>
      </c>
    </row>
    <row r="1255" spans="1:12" x14ac:dyDescent="0.3">
      <c r="A1255" s="5" t="s">
        <v>1404</v>
      </c>
      <c r="B1255" s="6">
        <v>45854</v>
      </c>
      <c r="C1255" s="5" t="s">
        <v>208</v>
      </c>
      <c r="D1255" s="5" t="s">
        <v>25</v>
      </c>
      <c r="E1255" s="5" t="s">
        <v>53</v>
      </c>
      <c r="F1255" s="5" t="s">
        <v>54</v>
      </c>
      <c r="G1255" s="5" t="s">
        <v>55</v>
      </c>
      <c r="H1255" s="5">
        <v>33</v>
      </c>
      <c r="I1255" s="7">
        <v>2055.9</v>
      </c>
      <c r="J1255" s="6">
        <v>45864</v>
      </c>
      <c r="K1255">
        <f t="shared" si="19"/>
        <v>67844.7</v>
      </c>
      <c r="L1255" t="str">
        <f>INDEX(Raw_Shipments!L1255:L3683,MATCH(A1255,Raw_Shipments!B1255:B3683))</f>
        <v>No</v>
      </c>
    </row>
    <row r="1256" spans="1:12" x14ac:dyDescent="0.3">
      <c r="A1256" s="2" t="s">
        <v>1405</v>
      </c>
      <c r="B1256" s="3">
        <v>45854</v>
      </c>
      <c r="C1256" s="2" t="s">
        <v>35</v>
      </c>
      <c r="D1256" s="2" t="s">
        <v>14</v>
      </c>
      <c r="E1256" s="2" t="s">
        <v>58</v>
      </c>
      <c r="F1256" s="2" t="s">
        <v>59</v>
      </c>
      <c r="G1256" s="2" t="s">
        <v>55</v>
      </c>
      <c r="H1256" s="2">
        <v>22</v>
      </c>
      <c r="I1256" s="4">
        <v>1695.1</v>
      </c>
      <c r="J1256" s="3">
        <v>45863</v>
      </c>
      <c r="K1256">
        <f t="shared" si="19"/>
        <v>37292.199999999997</v>
      </c>
      <c r="L1256" t="str">
        <f>INDEX(Raw_Shipments!L1256:L3684,MATCH(A1256,Raw_Shipments!B1256:B3684))</f>
        <v>Yes</v>
      </c>
    </row>
    <row r="1257" spans="1:12" x14ac:dyDescent="0.3">
      <c r="A1257" s="5" t="s">
        <v>1406</v>
      </c>
      <c r="B1257" s="6">
        <v>45854</v>
      </c>
      <c r="C1257" s="5" t="s">
        <v>166</v>
      </c>
      <c r="D1257" s="5" t="s">
        <v>45</v>
      </c>
      <c r="E1257" s="5" t="s">
        <v>20</v>
      </c>
      <c r="F1257" s="5" t="s">
        <v>21</v>
      </c>
      <c r="G1257" s="5" t="s">
        <v>22</v>
      </c>
      <c r="H1257" s="5">
        <v>5</v>
      </c>
      <c r="I1257" s="7">
        <v>2108.56</v>
      </c>
      <c r="J1257" s="6">
        <v>45858</v>
      </c>
      <c r="K1257">
        <f t="shared" si="19"/>
        <v>10542.8</v>
      </c>
      <c r="L1257" t="str">
        <f>INDEX(Raw_Shipments!L1257:L3685,MATCH(A1257,Raw_Shipments!B1257:B3685))</f>
        <v>No</v>
      </c>
    </row>
    <row r="1258" spans="1:12" x14ac:dyDescent="0.3">
      <c r="A1258" s="2" t="s">
        <v>1407</v>
      </c>
      <c r="B1258" s="3">
        <v>45854</v>
      </c>
      <c r="C1258" s="2" t="s">
        <v>109</v>
      </c>
      <c r="D1258" s="2" t="s">
        <v>45</v>
      </c>
      <c r="E1258" s="2" t="s">
        <v>119</v>
      </c>
      <c r="F1258" s="2" t="s">
        <v>120</v>
      </c>
      <c r="G1258" s="2" t="s">
        <v>22</v>
      </c>
      <c r="H1258" s="2">
        <v>48</v>
      </c>
      <c r="I1258" s="4">
        <v>912.26</v>
      </c>
      <c r="J1258" s="3">
        <v>45861</v>
      </c>
      <c r="K1258">
        <f t="shared" si="19"/>
        <v>43788.479999999996</v>
      </c>
      <c r="L1258" t="str">
        <f>INDEX(Raw_Shipments!L1258:L3686,MATCH(A1258,Raw_Shipments!B1258:B3686))</f>
        <v>No</v>
      </c>
    </row>
    <row r="1259" spans="1:12" x14ac:dyDescent="0.3">
      <c r="A1259" s="5" t="s">
        <v>1408</v>
      </c>
      <c r="B1259" s="6">
        <v>45854</v>
      </c>
      <c r="C1259" s="5" t="s">
        <v>198</v>
      </c>
      <c r="D1259" s="5" t="s">
        <v>45</v>
      </c>
      <c r="E1259" s="5" t="s">
        <v>36</v>
      </c>
      <c r="F1259" s="5" t="s">
        <v>37</v>
      </c>
      <c r="G1259" s="5" t="s">
        <v>33</v>
      </c>
      <c r="H1259" s="5">
        <v>31</v>
      </c>
      <c r="I1259" s="7">
        <v>1064.79</v>
      </c>
      <c r="J1259" s="6">
        <v>45864</v>
      </c>
      <c r="K1259">
        <f t="shared" si="19"/>
        <v>33008.49</v>
      </c>
      <c r="L1259" t="str">
        <f>INDEX(Raw_Shipments!L1259:L3687,MATCH(A1259,Raw_Shipments!B1259:B3687))</f>
        <v>Yes</v>
      </c>
    </row>
    <row r="1260" spans="1:12" x14ac:dyDescent="0.3">
      <c r="A1260" s="2" t="s">
        <v>1409</v>
      </c>
      <c r="B1260" s="3">
        <v>45854</v>
      </c>
      <c r="C1260" s="2" t="s">
        <v>198</v>
      </c>
      <c r="D1260" s="2" t="s">
        <v>30</v>
      </c>
      <c r="E1260" s="2" t="s">
        <v>40</v>
      </c>
      <c r="F1260" s="2" t="s">
        <v>41</v>
      </c>
      <c r="G1260" s="2" t="s">
        <v>42</v>
      </c>
      <c r="H1260" s="2">
        <v>38</v>
      </c>
      <c r="I1260" s="4">
        <v>2445.11</v>
      </c>
      <c r="J1260" s="3">
        <v>45862</v>
      </c>
      <c r="K1260">
        <f t="shared" si="19"/>
        <v>92914.180000000008</v>
      </c>
      <c r="L1260" t="str">
        <f>INDEX(Raw_Shipments!L1260:L3688,MATCH(A1260,Raw_Shipments!B1260:B3688))</f>
        <v>No</v>
      </c>
    </row>
    <row r="1261" spans="1:12" x14ac:dyDescent="0.3">
      <c r="A1261" s="5" t="s">
        <v>1410</v>
      </c>
      <c r="B1261" s="6">
        <v>45854</v>
      </c>
      <c r="C1261" s="5" t="s">
        <v>331</v>
      </c>
      <c r="D1261" s="5" t="s">
        <v>45</v>
      </c>
      <c r="E1261" s="5" t="s">
        <v>46</v>
      </c>
      <c r="F1261" s="5" t="s">
        <v>47</v>
      </c>
      <c r="G1261" s="5" t="s">
        <v>42</v>
      </c>
      <c r="H1261" s="5">
        <v>8</v>
      </c>
      <c r="I1261" s="7">
        <v>1833.14</v>
      </c>
      <c r="J1261" s="6">
        <v>45860</v>
      </c>
      <c r="K1261">
        <f t="shared" si="19"/>
        <v>14665.12</v>
      </c>
      <c r="L1261" t="str">
        <f>INDEX(Raw_Shipments!L1261:L3689,MATCH(A1261,Raw_Shipments!B1261:B3689))</f>
        <v>No</v>
      </c>
    </row>
    <row r="1262" spans="1:12" x14ac:dyDescent="0.3">
      <c r="A1262" s="2" t="s">
        <v>1411</v>
      </c>
      <c r="B1262" s="3">
        <v>45855</v>
      </c>
      <c r="C1262" s="2" t="s">
        <v>232</v>
      </c>
      <c r="D1262" s="2" t="s">
        <v>30</v>
      </c>
      <c r="E1262" s="2" t="s">
        <v>53</v>
      </c>
      <c r="F1262" s="2" t="s">
        <v>54</v>
      </c>
      <c r="G1262" s="2" t="s">
        <v>55</v>
      </c>
      <c r="H1262" s="2">
        <v>27</v>
      </c>
      <c r="I1262" s="4">
        <v>2055.9</v>
      </c>
      <c r="J1262" s="3">
        <v>45864</v>
      </c>
      <c r="K1262">
        <f t="shared" si="19"/>
        <v>55509.3</v>
      </c>
      <c r="L1262" t="str">
        <f>INDEX(Raw_Shipments!L1262:L3690,MATCH(A1262,Raw_Shipments!B1262:B3690))</f>
        <v>No</v>
      </c>
    </row>
    <row r="1263" spans="1:12" x14ac:dyDescent="0.3">
      <c r="A1263" s="5" t="s">
        <v>1412</v>
      </c>
      <c r="B1263" s="6">
        <v>45855</v>
      </c>
      <c r="C1263" s="5" t="s">
        <v>93</v>
      </c>
      <c r="D1263" s="5" t="s">
        <v>45</v>
      </c>
      <c r="E1263" s="5" t="s">
        <v>62</v>
      </c>
      <c r="F1263" s="5" t="s">
        <v>63</v>
      </c>
      <c r="G1263" s="5" t="s">
        <v>55</v>
      </c>
      <c r="H1263" s="5">
        <v>16</v>
      </c>
      <c r="I1263" s="7">
        <v>2555.2199999999998</v>
      </c>
      <c r="J1263" s="6">
        <v>45858</v>
      </c>
      <c r="K1263">
        <f t="shared" si="19"/>
        <v>40883.519999999997</v>
      </c>
      <c r="L1263" t="str">
        <f>INDEX(Raw_Shipments!L1263:L3691,MATCH(A1263,Raw_Shipments!B1263:B3691))</f>
        <v>No</v>
      </c>
    </row>
    <row r="1264" spans="1:12" x14ac:dyDescent="0.3">
      <c r="A1264" s="2" t="s">
        <v>1413</v>
      </c>
      <c r="B1264" s="3">
        <v>45855</v>
      </c>
      <c r="C1264" s="2" t="s">
        <v>222</v>
      </c>
      <c r="D1264" s="2" t="s">
        <v>45</v>
      </c>
      <c r="E1264" s="2" t="s">
        <v>97</v>
      </c>
      <c r="F1264" s="2" t="s">
        <v>98</v>
      </c>
      <c r="G1264" s="2" t="s">
        <v>17</v>
      </c>
      <c r="H1264" s="2">
        <v>22</v>
      </c>
      <c r="I1264" s="4">
        <v>1110.6500000000001</v>
      </c>
      <c r="J1264" s="3">
        <v>45865</v>
      </c>
      <c r="K1264">
        <f t="shared" si="19"/>
        <v>24434.300000000003</v>
      </c>
      <c r="L1264" t="str">
        <f>INDEX(Raw_Shipments!L1264:L3692,MATCH(A1264,Raw_Shipments!B1264:B3692))</f>
        <v>Yes</v>
      </c>
    </row>
    <row r="1265" spans="1:12" x14ac:dyDescent="0.3">
      <c r="A1265" s="5" t="s">
        <v>1414</v>
      </c>
      <c r="B1265" s="6">
        <v>45855</v>
      </c>
      <c r="C1265" s="5" t="s">
        <v>158</v>
      </c>
      <c r="D1265" s="5" t="s">
        <v>30</v>
      </c>
      <c r="E1265" s="5" t="s">
        <v>20</v>
      </c>
      <c r="F1265" s="5" t="s">
        <v>21</v>
      </c>
      <c r="G1265" s="5" t="s">
        <v>22</v>
      </c>
      <c r="H1265" s="5">
        <v>9</v>
      </c>
      <c r="I1265" s="7">
        <v>2108.56</v>
      </c>
      <c r="J1265" s="6">
        <v>45865</v>
      </c>
      <c r="K1265">
        <f t="shared" si="19"/>
        <v>18977.04</v>
      </c>
      <c r="L1265" t="str">
        <f>INDEX(Raw_Shipments!L1265:L3693,MATCH(A1265,Raw_Shipments!B1265:B3693))</f>
        <v>Yes</v>
      </c>
    </row>
    <row r="1266" spans="1:12" x14ac:dyDescent="0.3">
      <c r="A1266" s="2" t="s">
        <v>1415</v>
      </c>
      <c r="B1266" s="3">
        <v>45855</v>
      </c>
      <c r="C1266" s="2" t="s">
        <v>13</v>
      </c>
      <c r="D1266" s="2" t="s">
        <v>30</v>
      </c>
      <c r="E1266" s="2" t="s">
        <v>31</v>
      </c>
      <c r="F1266" s="2" t="s">
        <v>32</v>
      </c>
      <c r="G1266" s="2" t="s">
        <v>33</v>
      </c>
      <c r="H1266" s="2">
        <v>44</v>
      </c>
      <c r="I1266" s="4">
        <v>689</v>
      </c>
      <c r="J1266" s="3">
        <v>45862</v>
      </c>
      <c r="K1266">
        <f t="shared" si="19"/>
        <v>30316</v>
      </c>
      <c r="L1266" t="str">
        <f>INDEX(Raw_Shipments!L1266:L3694,MATCH(A1266,Raw_Shipments!B1266:B3694))</f>
        <v>Yes</v>
      </c>
    </row>
    <row r="1267" spans="1:12" x14ac:dyDescent="0.3">
      <c r="A1267" s="5" t="s">
        <v>1416</v>
      </c>
      <c r="B1267" s="6">
        <v>45855</v>
      </c>
      <c r="C1267" s="5" t="s">
        <v>44</v>
      </c>
      <c r="D1267" s="5" t="s">
        <v>25</v>
      </c>
      <c r="E1267" s="5" t="s">
        <v>36</v>
      </c>
      <c r="F1267" s="5" t="s">
        <v>37</v>
      </c>
      <c r="G1267" s="5" t="s">
        <v>33</v>
      </c>
      <c r="H1267" s="5">
        <v>39</v>
      </c>
      <c r="I1267" s="7">
        <v>1064.79</v>
      </c>
      <c r="J1267" s="6">
        <v>45858</v>
      </c>
      <c r="K1267">
        <f t="shared" si="19"/>
        <v>41526.81</v>
      </c>
      <c r="L1267" t="str">
        <f>INDEX(Raw_Shipments!L1267:L3695,MATCH(A1267,Raw_Shipments!B1267:B3695))</f>
        <v>No</v>
      </c>
    </row>
    <row r="1268" spans="1:12" x14ac:dyDescent="0.3">
      <c r="A1268" s="2" t="s">
        <v>1417</v>
      </c>
      <c r="B1268" s="3">
        <v>45855</v>
      </c>
      <c r="C1268" s="2" t="s">
        <v>44</v>
      </c>
      <c r="D1268" s="2" t="s">
        <v>14</v>
      </c>
      <c r="E1268" s="2" t="s">
        <v>86</v>
      </c>
      <c r="F1268" s="2" t="s">
        <v>87</v>
      </c>
      <c r="G1268" s="2" t="s">
        <v>33</v>
      </c>
      <c r="H1268" s="2">
        <v>22</v>
      </c>
      <c r="I1268" s="4">
        <v>815.88</v>
      </c>
      <c r="J1268" s="3">
        <v>45858</v>
      </c>
      <c r="K1268">
        <f t="shared" si="19"/>
        <v>17949.36</v>
      </c>
      <c r="L1268" t="str">
        <f>INDEX(Raw_Shipments!L1268:L3696,MATCH(A1268,Raw_Shipments!B1268:B3696))</f>
        <v>No</v>
      </c>
    </row>
    <row r="1269" spans="1:12" x14ac:dyDescent="0.3">
      <c r="A1269" s="5" t="s">
        <v>1418</v>
      </c>
      <c r="B1269" s="6">
        <v>45855</v>
      </c>
      <c r="C1269" s="5" t="s">
        <v>144</v>
      </c>
      <c r="D1269" s="5" t="s">
        <v>45</v>
      </c>
      <c r="E1269" s="5" t="s">
        <v>40</v>
      </c>
      <c r="F1269" s="5" t="s">
        <v>41</v>
      </c>
      <c r="G1269" s="5" t="s">
        <v>42</v>
      </c>
      <c r="H1269" s="5">
        <v>30</v>
      </c>
      <c r="I1269" s="7">
        <v>2445.11</v>
      </c>
      <c r="J1269" s="6">
        <v>45858</v>
      </c>
      <c r="K1269">
        <f t="shared" si="19"/>
        <v>73353.3</v>
      </c>
      <c r="L1269" t="str">
        <f>INDEX(Raw_Shipments!L1269:L3697,MATCH(A1269,Raw_Shipments!B1269:B3697))</f>
        <v>No</v>
      </c>
    </row>
    <row r="1270" spans="1:12" x14ac:dyDescent="0.3">
      <c r="A1270" s="2" t="s">
        <v>1419</v>
      </c>
      <c r="B1270" s="3">
        <v>45855</v>
      </c>
      <c r="C1270" s="2" t="s">
        <v>141</v>
      </c>
      <c r="D1270" s="2" t="s">
        <v>30</v>
      </c>
      <c r="E1270" s="2" t="s">
        <v>46</v>
      </c>
      <c r="F1270" s="2" t="s">
        <v>47</v>
      </c>
      <c r="G1270" s="2" t="s">
        <v>42</v>
      </c>
      <c r="H1270" s="2">
        <v>6</v>
      </c>
      <c r="I1270" s="4">
        <v>1833.14</v>
      </c>
      <c r="J1270" s="3">
        <v>45858</v>
      </c>
      <c r="K1270">
        <f t="shared" si="19"/>
        <v>10998.84</v>
      </c>
      <c r="L1270" t="str">
        <f>INDEX(Raw_Shipments!L1270:L3698,MATCH(A1270,Raw_Shipments!B1270:B3698))</f>
        <v>No</v>
      </c>
    </row>
    <row r="1271" spans="1:12" x14ac:dyDescent="0.3">
      <c r="A1271" s="5" t="s">
        <v>1420</v>
      </c>
      <c r="B1271" s="6">
        <v>45856</v>
      </c>
      <c r="C1271" s="5" t="s">
        <v>595</v>
      </c>
      <c r="D1271" s="5" t="s">
        <v>45</v>
      </c>
      <c r="E1271" s="5" t="s">
        <v>58</v>
      </c>
      <c r="F1271" s="5" t="s">
        <v>59</v>
      </c>
      <c r="G1271" s="5" t="s">
        <v>55</v>
      </c>
      <c r="H1271" s="5">
        <v>19</v>
      </c>
      <c r="I1271" s="7">
        <v>1695.1</v>
      </c>
      <c r="J1271" s="6">
        <v>45862</v>
      </c>
      <c r="K1271">
        <f t="shared" si="19"/>
        <v>32206.899999999998</v>
      </c>
      <c r="L1271" t="str">
        <f>INDEX(Raw_Shipments!L1271:L3699,MATCH(A1271,Raw_Shipments!B1271:B3699))</f>
        <v>No</v>
      </c>
    </row>
    <row r="1272" spans="1:12" x14ac:dyDescent="0.3">
      <c r="A1272" s="2" t="s">
        <v>1421</v>
      </c>
      <c r="B1272" s="3">
        <v>45856</v>
      </c>
      <c r="C1272" s="2" t="s">
        <v>279</v>
      </c>
      <c r="D1272" s="2" t="s">
        <v>45</v>
      </c>
      <c r="E1272" s="2" t="s">
        <v>62</v>
      </c>
      <c r="F1272" s="2" t="s">
        <v>63</v>
      </c>
      <c r="G1272" s="2" t="s">
        <v>55</v>
      </c>
      <c r="H1272" s="2">
        <v>37</v>
      </c>
      <c r="I1272" s="4">
        <v>2555.2199999999998</v>
      </c>
      <c r="J1272" s="3">
        <v>45862</v>
      </c>
      <c r="K1272">
        <f t="shared" si="19"/>
        <v>94543.14</v>
      </c>
      <c r="L1272" t="str">
        <f>INDEX(Raw_Shipments!L1272:L3700,MATCH(A1272,Raw_Shipments!B1272:B3700))</f>
        <v>No</v>
      </c>
    </row>
    <row r="1273" spans="1:12" x14ac:dyDescent="0.3">
      <c r="A1273" s="5" t="s">
        <v>1422</v>
      </c>
      <c r="B1273" s="6">
        <v>45856</v>
      </c>
      <c r="C1273" s="5" t="s">
        <v>109</v>
      </c>
      <c r="D1273" s="5" t="s">
        <v>14</v>
      </c>
      <c r="E1273" s="5" t="s">
        <v>66</v>
      </c>
      <c r="F1273" s="5" t="s">
        <v>67</v>
      </c>
      <c r="G1273" s="5" t="s">
        <v>17</v>
      </c>
      <c r="H1273" s="5">
        <v>14</v>
      </c>
      <c r="I1273" s="7">
        <v>850.8</v>
      </c>
      <c r="J1273" s="6">
        <v>45860</v>
      </c>
      <c r="K1273">
        <f t="shared" si="19"/>
        <v>11911.199999999999</v>
      </c>
      <c r="L1273" t="str">
        <f>INDEX(Raw_Shipments!L1273:L3701,MATCH(A1273,Raw_Shipments!B1273:B3701))</f>
        <v>No</v>
      </c>
    </row>
    <row r="1274" spans="1:12" x14ac:dyDescent="0.3">
      <c r="A1274" s="2" t="s">
        <v>1423</v>
      </c>
      <c r="B1274" s="3">
        <v>45856</v>
      </c>
      <c r="C1274" s="2" t="s">
        <v>178</v>
      </c>
      <c r="D1274" s="2" t="s">
        <v>14</v>
      </c>
      <c r="E1274" s="2" t="s">
        <v>15</v>
      </c>
      <c r="F1274" s="2" t="s">
        <v>16</v>
      </c>
      <c r="G1274" s="2" t="s">
        <v>17</v>
      </c>
      <c r="H1274" s="2">
        <v>5</v>
      </c>
      <c r="I1274" s="4">
        <v>183.06</v>
      </c>
      <c r="J1274" s="3">
        <v>45864</v>
      </c>
      <c r="K1274">
        <f t="shared" si="19"/>
        <v>915.3</v>
      </c>
      <c r="L1274" t="str">
        <f>INDEX(Raw_Shipments!L1274:L3702,MATCH(A1274,Raw_Shipments!B1274:B3702))</f>
        <v>Yes</v>
      </c>
    </row>
    <row r="1275" spans="1:12" x14ac:dyDescent="0.3">
      <c r="A1275" s="5" t="s">
        <v>1424</v>
      </c>
      <c r="B1275" s="6">
        <v>45856</v>
      </c>
      <c r="C1275" s="5" t="s">
        <v>13</v>
      </c>
      <c r="D1275" s="5" t="s">
        <v>14</v>
      </c>
      <c r="E1275" s="5" t="s">
        <v>26</v>
      </c>
      <c r="F1275" s="5" t="s">
        <v>27</v>
      </c>
      <c r="G1275" s="5" t="s">
        <v>22</v>
      </c>
      <c r="H1275" s="5">
        <v>18</v>
      </c>
      <c r="I1275" s="7">
        <v>1646.8</v>
      </c>
      <c r="J1275" s="6">
        <v>45865</v>
      </c>
      <c r="K1275">
        <f t="shared" si="19"/>
        <v>29642.399999999998</v>
      </c>
      <c r="L1275" t="str">
        <f>INDEX(Raw_Shipments!L1275:L3703,MATCH(A1275,Raw_Shipments!B1275:B3703))</f>
        <v>No</v>
      </c>
    </row>
    <row r="1276" spans="1:12" x14ac:dyDescent="0.3">
      <c r="A1276" s="2" t="s">
        <v>1425</v>
      </c>
      <c r="B1276" s="3">
        <v>45856</v>
      </c>
      <c r="C1276" s="2" t="s">
        <v>473</v>
      </c>
      <c r="D1276" s="2" t="s">
        <v>25</v>
      </c>
      <c r="E1276" s="2" t="s">
        <v>31</v>
      </c>
      <c r="F1276" s="2" t="s">
        <v>32</v>
      </c>
      <c r="G1276" s="2" t="s">
        <v>33</v>
      </c>
      <c r="H1276" s="2">
        <v>33</v>
      </c>
      <c r="I1276" s="4">
        <v>689</v>
      </c>
      <c r="J1276" s="3">
        <v>45865</v>
      </c>
      <c r="K1276">
        <f t="shared" si="19"/>
        <v>22737</v>
      </c>
      <c r="L1276" t="str">
        <f>INDEX(Raw_Shipments!L1276:L3704,MATCH(A1276,Raw_Shipments!B1276:B3704))</f>
        <v>No</v>
      </c>
    </row>
    <row r="1277" spans="1:12" x14ac:dyDescent="0.3">
      <c r="A1277" s="5" t="s">
        <v>1426</v>
      </c>
      <c r="B1277" s="6">
        <v>45856</v>
      </c>
      <c r="C1277" s="5" t="s">
        <v>79</v>
      </c>
      <c r="D1277" s="5" t="s">
        <v>14</v>
      </c>
      <c r="E1277" s="5" t="s">
        <v>36</v>
      </c>
      <c r="F1277" s="5" t="s">
        <v>37</v>
      </c>
      <c r="G1277" s="5" t="s">
        <v>33</v>
      </c>
      <c r="H1277" s="5">
        <v>45</v>
      </c>
      <c r="I1277" s="7">
        <v>1064.79</v>
      </c>
      <c r="J1277" s="6">
        <v>45862</v>
      </c>
      <c r="K1277">
        <f t="shared" si="19"/>
        <v>47915.549999999996</v>
      </c>
      <c r="L1277" t="str">
        <f>INDEX(Raw_Shipments!L1277:L3705,MATCH(A1277,Raw_Shipments!B1277:B3705))</f>
        <v>No</v>
      </c>
    </row>
    <row r="1278" spans="1:12" x14ac:dyDescent="0.3">
      <c r="A1278" s="2" t="s">
        <v>1427</v>
      </c>
      <c r="B1278" s="3">
        <v>45856</v>
      </c>
      <c r="C1278" s="2" t="s">
        <v>104</v>
      </c>
      <c r="D1278" s="2" t="s">
        <v>45</v>
      </c>
      <c r="E1278" s="2" t="s">
        <v>86</v>
      </c>
      <c r="F1278" s="2" t="s">
        <v>87</v>
      </c>
      <c r="G1278" s="2" t="s">
        <v>33</v>
      </c>
      <c r="H1278" s="2">
        <v>31</v>
      </c>
      <c r="I1278" s="4">
        <v>815.88</v>
      </c>
      <c r="J1278" s="3">
        <v>45864</v>
      </c>
      <c r="K1278">
        <f t="shared" si="19"/>
        <v>25292.28</v>
      </c>
      <c r="L1278" t="str">
        <f>INDEX(Raw_Shipments!L1278:L3706,MATCH(A1278,Raw_Shipments!B1278:B3706))</f>
        <v>No</v>
      </c>
    </row>
    <row r="1279" spans="1:12" x14ac:dyDescent="0.3">
      <c r="A1279" s="5" t="s">
        <v>1428</v>
      </c>
      <c r="B1279" s="6">
        <v>45856</v>
      </c>
      <c r="C1279" s="5" t="s">
        <v>49</v>
      </c>
      <c r="D1279" s="5" t="s">
        <v>14</v>
      </c>
      <c r="E1279" s="5" t="s">
        <v>46</v>
      </c>
      <c r="F1279" s="5" t="s">
        <v>47</v>
      </c>
      <c r="G1279" s="5" t="s">
        <v>42</v>
      </c>
      <c r="H1279" s="5">
        <v>3</v>
      </c>
      <c r="I1279" s="7">
        <v>1833.14</v>
      </c>
      <c r="J1279" s="6">
        <v>45866</v>
      </c>
      <c r="K1279">
        <f t="shared" si="19"/>
        <v>5499.42</v>
      </c>
      <c r="L1279" t="str">
        <f>INDEX(Raw_Shipments!L1279:L3707,MATCH(A1279,Raw_Shipments!B1279:B3707))</f>
        <v>No</v>
      </c>
    </row>
    <row r="1280" spans="1:12" x14ac:dyDescent="0.3">
      <c r="A1280" s="2" t="s">
        <v>1429</v>
      </c>
      <c r="B1280" s="3">
        <v>45856</v>
      </c>
      <c r="C1280" s="2" t="s">
        <v>44</v>
      </c>
      <c r="D1280" s="2" t="s">
        <v>14</v>
      </c>
      <c r="E1280" s="2" t="s">
        <v>50</v>
      </c>
      <c r="F1280" s="2" t="s">
        <v>51</v>
      </c>
      <c r="G1280" s="2" t="s">
        <v>42</v>
      </c>
      <c r="H1280" s="2">
        <v>11</v>
      </c>
      <c r="I1280" s="4">
        <v>1952.28</v>
      </c>
      <c r="J1280" s="3">
        <v>45865</v>
      </c>
      <c r="K1280">
        <f t="shared" si="19"/>
        <v>21475.079999999998</v>
      </c>
      <c r="L1280" t="str">
        <f>INDEX(Raw_Shipments!L1280:L3708,MATCH(A1280,Raw_Shipments!B1280:B3708))</f>
        <v>No</v>
      </c>
    </row>
    <row r="1281" spans="1:12" x14ac:dyDescent="0.3">
      <c r="A1281" s="5" t="s">
        <v>1430</v>
      </c>
      <c r="B1281" s="6">
        <v>45857</v>
      </c>
      <c r="C1281" s="5" t="s">
        <v>109</v>
      </c>
      <c r="D1281" s="5" t="s">
        <v>30</v>
      </c>
      <c r="E1281" s="5" t="s">
        <v>53</v>
      </c>
      <c r="F1281" s="5" t="s">
        <v>54</v>
      </c>
      <c r="G1281" s="5" t="s">
        <v>55</v>
      </c>
      <c r="H1281" s="5">
        <v>39</v>
      </c>
      <c r="I1281" s="7">
        <v>2055.9</v>
      </c>
      <c r="J1281" s="6">
        <v>45865</v>
      </c>
      <c r="K1281">
        <f t="shared" si="19"/>
        <v>80180.100000000006</v>
      </c>
      <c r="L1281" t="str">
        <f>INDEX(Raw_Shipments!L1281:L3709,MATCH(A1281,Raw_Shipments!B1281:B3709))</f>
        <v>No</v>
      </c>
    </row>
    <row r="1282" spans="1:12" x14ac:dyDescent="0.3">
      <c r="A1282" s="2" t="s">
        <v>1431</v>
      </c>
      <c r="B1282" s="3">
        <v>45857</v>
      </c>
      <c r="C1282" s="2" t="s">
        <v>111</v>
      </c>
      <c r="D1282" s="2" t="s">
        <v>14</v>
      </c>
      <c r="E1282" s="2" t="s">
        <v>58</v>
      </c>
      <c r="F1282" s="2" t="s">
        <v>59</v>
      </c>
      <c r="G1282" s="2" t="s">
        <v>55</v>
      </c>
      <c r="H1282" s="2">
        <v>30</v>
      </c>
      <c r="I1282" s="4">
        <v>1695.1</v>
      </c>
      <c r="J1282" s="3">
        <v>45867</v>
      </c>
      <c r="K1282">
        <f t="shared" si="19"/>
        <v>50853</v>
      </c>
      <c r="L1282" t="str">
        <f>INDEX(Raw_Shipments!L1282:L3710,MATCH(A1282,Raw_Shipments!B1282:B3710))</f>
        <v>No</v>
      </c>
    </row>
    <row r="1283" spans="1:12" x14ac:dyDescent="0.3">
      <c r="A1283" s="5" t="s">
        <v>1432</v>
      </c>
      <c r="B1283" s="6">
        <v>45857</v>
      </c>
      <c r="C1283" s="5" t="s">
        <v>85</v>
      </c>
      <c r="D1283" s="5" t="s">
        <v>45</v>
      </c>
      <c r="E1283" s="5" t="s">
        <v>97</v>
      </c>
      <c r="F1283" s="5" t="s">
        <v>98</v>
      </c>
      <c r="G1283" s="5" t="s">
        <v>17</v>
      </c>
      <c r="H1283" s="5">
        <v>29</v>
      </c>
      <c r="I1283" s="7">
        <v>1110.6500000000001</v>
      </c>
      <c r="J1283" s="6">
        <v>45860</v>
      </c>
      <c r="K1283">
        <f t="shared" ref="K1283:K1346" si="20">I1283*H1283</f>
        <v>32208.850000000002</v>
      </c>
      <c r="L1283" t="str">
        <f>INDEX(Raw_Shipments!L1283:L3711,MATCH(A1283,Raw_Shipments!B1283:B3711))</f>
        <v>No</v>
      </c>
    </row>
    <row r="1284" spans="1:12" x14ac:dyDescent="0.3">
      <c r="A1284" s="2" t="s">
        <v>1433</v>
      </c>
      <c r="B1284" s="3">
        <v>45857</v>
      </c>
      <c r="C1284" s="2" t="s">
        <v>71</v>
      </c>
      <c r="D1284" s="2" t="s">
        <v>14</v>
      </c>
      <c r="E1284" s="2" t="s">
        <v>15</v>
      </c>
      <c r="F1284" s="2" t="s">
        <v>16</v>
      </c>
      <c r="G1284" s="2" t="s">
        <v>17</v>
      </c>
      <c r="H1284" s="2">
        <v>13</v>
      </c>
      <c r="I1284" s="4">
        <v>183.06</v>
      </c>
      <c r="J1284" s="3">
        <v>45861</v>
      </c>
      <c r="K1284">
        <f t="shared" si="20"/>
        <v>2379.7800000000002</v>
      </c>
      <c r="L1284" t="str">
        <f>INDEX(Raw_Shipments!L1284:L3712,MATCH(A1284,Raw_Shipments!B1284:B3712))</f>
        <v>No</v>
      </c>
    </row>
    <row r="1285" spans="1:12" x14ac:dyDescent="0.3">
      <c r="A1285" s="5" t="s">
        <v>1434</v>
      </c>
      <c r="B1285" s="6">
        <v>45857</v>
      </c>
      <c r="C1285" s="5" t="s">
        <v>595</v>
      </c>
      <c r="D1285" s="5" t="s">
        <v>14</v>
      </c>
      <c r="E1285" s="5" t="s">
        <v>20</v>
      </c>
      <c r="F1285" s="5" t="s">
        <v>21</v>
      </c>
      <c r="G1285" s="5" t="s">
        <v>22</v>
      </c>
      <c r="H1285" s="5">
        <v>6</v>
      </c>
      <c r="I1285" s="7">
        <v>2108.56</v>
      </c>
      <c r="J1285" s="6">
        <v>45864</v>
      </c>
      <c r="K1285">
        <f t="shared" si="20"/>
        <v>12651.36</v>
      </c>
      <c r="L1285" t="str">
        <f>INDEX(Raw_Shipments!L1285:L3713,MATCH(A1285,Raw_Shipments!B1285:B3713))</f>
        <v>No</v>
      </c>
    </row>
    <row r="1286" spans="1:12" x14ac:dyDescent="0.3">
      <c r="A1286" s="2" t="s">
        <v>1435</v>
      </c>
      <c r="B1286" s="3">
        <v>45857</v>
      </c>
      <c r="C1286" s="2" t="s">
        <v>442</v>
      </c>
      <c r="D1286" s="2" t="s">
        <v>25</v>
      </c>
      <c r="E1286" s="2" t="s">
        <v>119</v>
      </c>
      <c r="F1286" s="2" t="s">
        <v>120</v>
      </c>
      <c r="G1286" s="2" t="s">
        <v>22</v>
      </c>
      <c r="H1286" s="2">
        <v>33</v>
      </c>
      <c r="I1286" s="4">
        <v>912.26</v>
      </c>
      <c r="J1286" s="3">
        <v>45867</v>
      </c>
      <c r="K1286">
        <f t="shared" si="20"/>
        <v>30104.579999999998</v>
      </c>
      <c r="L1286" t="str">
        <f>INDEX(Raw_Shipments!L1286:L3714,MATCH(A1286,Raw_Shipments!B1286:B3714))</f>
        <v>No</v>
      </c>
    </row>
    <row r="1287" spans="1:12" x14ac:dyDescent="0.3">
      <c r="A1287" s="5" t="s">
        <v>1436</v>
      </c>
      <c r="B1287" s="6">
        <v>45857</v>
      </c>
      <c r="C1287" s="5" t="s">
        <v>117</v>
      </c>
      <c r="D1287" s="5" t="s">
        <v>45</v>
      </c>
      <c r="E1287" s="5" t="s">
        <v>26</v>
      </c>
      <c r="F1287" s="5" t="s">
        <v>27</v>
      </c>
      <c r="G1287" s="5" t="s">
        <v>22</v>
      </c>
      <c r="H1287" s="5">
        <v>15</v>
      </c>
      <c r="I1287" s="7">
        <v>1646.8</v>
      </c>
      <c r="J1287" s="6">
        <v>45865</v>
      </c>
      <c r="K1287">
        <f t="shared" si="20"/>
        <v>24702</v>
      </c>
      <c r="L1287" t="str">
        <f>INDEX(Raw_Shipments!L1287:L3715,MATCH(A1287,Raw_Shipments!B1287:B3715))</f>
        <v>No</v>
      </c>
    </row>
    <row r="1288" spans="1:12" x14ac:dyDescent="0.3">
      <c r="A1288" s="2" t="s">
        <v>1437</v>
      </c>
      <c r="B1288" s="3">
        <v>45857</v>
      </c>
      <c r="C1288" s="2" t="s">
        <v>232</v>
      </c>
      <c r="D1288" s="2" t="s">
        <v>14</v>
      </c>
      <c r="E1288" s="2" t="s">
        <v>40</v>
      </c>
      <c r="F1288" s="2" t="s">
        <v>41</v>
      </c>
      <c r="G1288" s="2" t="s">
        <v>42</v>
      </c>
      <c r="H1288" s="2">
        <v>43</v>
      </c>
      <c r="I1288" s="4">
        <v>2445.11</v>
      </c>
      <c r="J1288" s="3">
        <v>45865</v>
      </c>
      <c r="K1288">
        <f t="shared" si="20"/>
        <v>105139.73000000001</v>
      </c>
      <c r="L1288" t="str">
        <f>INDEX(Raw_Shipments!L1288:L3716,MATCH(A1288,Raw_Shipments!B1288:B3716))</f>
        <v>No</v>
      </c>
    </row>
    <row r="1289" spans="1:12" x14ac:dyDescent="0.3">
      <c r="A1289" s="5" t="s">
        <v>1438</v>
      </c>
      <c r="B1289" s="6">
        <v>45857</v>
      </c>
      <c r="C1289" s="5" t="s">
        <v>109</v>
      </c>
      <c r="D1289" s="5" t="s">
        <v>14</v>
      </c>
      <c r="E1289" s="5" t="s">
        <v>46</v>
      </c>
      <c r="F1289" s="5" t="s">
        <v>47</v>
      </c>
      <c r="G1289" s="5" t="s">
        <v>42</v>
      </c>
      <c r="H1289" s="5">
        <v>7</v>
      </c>
      <c r="I1289" s="7">
        <v>1833.14</v>
      </c>
      <c r="J1289" s="6">
        <v>45860</v>
      </c>
      <c r="K1289">
        <f t="shared" si="20"/>
        <v>12831.980000000001</v>
      </c>
      <c r="L1289" t="str">
        <f>INDEX(Raw_Shipments!L1289:L3717,MATCH(A1289,Raw_Shipments!B1289:B3717))</f>
        <v>No</v>
      </c>
    </row>
    <row r="1290" spans="1:12" x14ac:dyDescent="0.3">
      <c r="A1290" s="2" t="s">
        <v>1439</v>
      </c>
      <c r="B1290" s="3">
        <v>45858</v>
      </c>
      <c r="C1290" s="2" t="s">
        <v>57</v>
      </c>
      <c r="D1290" s="2" t="s">
        <v>45</v>
      </c>
      <c r="E1290" s="2" t="s">
        <v>58</v>
      </c>
      <c r="F1290" s="2" t="s">
        <v>59</v>
      </c>
      <c r="G1290" s="2" t="s">
        <v>55</v>
      </c>
      <c r="H1290" s="2">
        <v>22</v>
      </c>
      <c r="I1290" s="4">
        <v>1695.1</v>
      </c>
      <c r="J1290" s="3">
        <v>45863</v>
      </c>
      <c r="K1290">
        <f t="shared" si="20"/>
        <v>37292.199999999997</v>
      </c>
      <c r="L1290" t="str">
        <f>INDEX(Raw_Shipments!L1290:L3718,MATCH(A1290,Raw_Shipments!B1290:B3718))</f>
        <v>No</v>
      </c>
    </row>
    <row r="1291" spans="1:12" x14ac:dyDescent="0.3">
      <c r="A1291" s="5" t="s">
        <v>1440</v>
      </c>
      <c r="B1291" s="6">
        <v>45858</v>
      </c>
      <c r="C1291" s="5" t="s">
        <v>222</v>
      </c>
      <c r="D1291" s="5" t="s">
        <v>14</v>
      </c>
      <c r="E1291" s="5" t="s">
        <v>62</v>
      </c>
      <c r="F1291" s="5" t="s">
        <v>63</v>
      </c>
      <c r="G1291" s="5" t="s">
        <v>55</v>
      </c>
      <c r="H1291" s="5">
        <v>24</v>
      </c>
      <c r="I1291" s="7">
        <v>2555.2199999999998</v>
      </c>
      <c r="J1291" s="6">
        <v>45868</v>
      </c>
      <c r="K1291">
        <f t="shared" si="20"/>
        <v>61325.279999999999</v>
      </c>
      <c r="L1291" t="str">
        <f>INDEX(Raw_Shipments!L1291:L3719,MATCH(A1291,Raw_Shipments!B1291:B3719))</f>
        <v>No</v>
      </c>
    </row>
    <row r="1292" spans="1:12" x14ac:dyDescent="0.3">
      <c r="A1292" s="2" t="s">
        <v>1441</v>
      </c>
      <c r="B1292" s="3">
        <v>45858</v>
      </c>
      <c r="C1292" s="2" t="s">
        <v>250</v>
      </c>
      <c r="D1292" s="2" t="s">
        <v>14</v>
      </c>
      <c r="E1292" s="2" t="s">
        <v>66</v>
      </c>
      <c r="F1292" s="2" t="s">
        <v>67</v>
      </c>
      <c r="G1292" s="2" t="s">
        <v>17</v>
      </c>
      <c r="H1292" s="2">
        <v>25</v>
      </c>
      <c r="I1292" s="4">
        <v>850.8</v>
      </c>
      <c r="J1292" s="3">
        <v>45863</v>
      </c>
      <c r="K1292">
        <f t="shared" si="20"/>
        <v>21270</v>
      </c>
      <c r="L1292" t="str">
        <f>INDEX(Raw_Shipments!L1292:L3720,MATCH(A1292,Raw_Shipments!B1292:B3720))</f>
        <v>No</v>
      </c>
    </row>
    <row r="1293" spans="1:12" x14ac:dyDescent="0.3">
      <c r="A1293" s="5" t="s">
        <v>1442</v>
      </c>
      <c r="B1293" s="6">
        <v>45858</v>
      </c>
      <c r="C1293" s="5" t="s">
        <v>545</v>
      </c>
      <c r="D1293" s="5" t="s">
        <v>30</v>
      </c>
      <c r="E1293" s="5" t="s">
        <v>119</v>
      </c>
      <c r="F1293" s="5" t="s">
        <v>120</v>
      </c>
      <c r="G1293" s="5" t="s">
        <v>22</v>
      </c>
      <c r="H1293" s="5">
        <v>38</v>
      </c>
      <c r="I1293" s="7">
        <v>912.26</v>
      </c>
      <c r="J1293" s="6">
        <v>45862</v>
      </c>
      <c r="K1293">
        <f t="shared" si="20"/>
        <v>34665.879999999997</v>
      </c>
      <c r="L1293" t="str">
        <f>INDEX(Raw_Shipments!L1293:L3721,MATCH(A1293,Raw_Shipments!B1293:B3721))</f>
        <v>No</v>
      </c>
    </row>
    <row r="1294" spans="1:12" x14ac:dyDescent="0.3">
      <c r="A1294" s="2" t="s">
        <v>1443</v>
      </c>
      <c r="B1294" s="3">
        <v>45858</v>
      </c>
      <c r="C1294" s="2" t="s">
        <v>312</v>
      </c>
      <c r="D1294" s="2" t="s">
        <v>14</v>
      </c>
      <c r="E1294" s="2" t="s">
        <v>26</v>
      </c>
      <c r="F1294" s="2" t="s">
        <v>27</v>
      </c>
      <c r="G1294" s="2" t="s">
        <v>22</v>
      </c>
      <c r="H1294" s="2">
        <v>18</v>
      </c>
      <c r="I1294" s="4">
        <v>1646.8</v>
      </c>
      <c r="J1294" s="3">
        <v>45863</v>
      </c>
      <c r="K1294">
        <f t="shared" si="20"/>
        <v>29642.399999999998</v>
      </c>
      <c r="L1294" t="str">
        <f>INDEX(Raw_Shipments!L1294:L3722,MATCH(A1294,Raw_Shipments!B1294:B3722))</f>
        <v>No</v>
      </c>
    </row>
    <row r="1295" spans="1:12" x14ac:dyDescent="0.3">
      <c r="A1295" s="5" t="s">
        <v>1444</v>
      </c>
      <c r="B1295" s="6">
        <v>45858</v>
      </c>
      <c r="C1295" s="5" t="s">
        <v>144</v>
      </c>
      <c r="D1295" s="5" t="s">
        <v>14</v>
      </c>
      <c r="E1295" s="5" t="s">
        <v>31</v>
      </c>
      <c r="F1295" s="5" t="s">
        <v>32</v>
      </c>
      <c r="G1295" s="5" t="s">
        <v>33</v>
      </c>
      <c r="H1295" s="5">
        <v>28</v>
      </c>
      <c r="I1295" s="7">
        <v>689</v>
      </c>
      <c r="J1295" s="6">
        <v>45868</v>
      </c>
      <c r="K1295">
        <f t="shared" si="20"/>
        <v>19292</v>
      </c>
      <c r="L1295" t="str">
        <f>INDEX(Raw_Shipments!L1295:L3723,MATCH(A1295,Raw_Shipments!B1295:B3723))</f>
        <v>Yes</v>
      </c>
    </row>
    <row r="1296" spans="1:12" x14ac:dyDescent="0.3">
      <c r="A1296" s="2" t="s">
        <v>1445</v>
      </c>
      <c r="B1296" s="3">
        <v>45858</v>
      </c>
      <c r="C1296" s="2" t="s">
        <v>166</v>
      </c>
      <c r="D1296" s="2" t="s">
        <v>30</v>
      </c>
      <c r="E1296" s="2" t="s">
        <v>36</v>
      </c>
      <c r="F1296" s="2" t="s">
        <v>37</v>
      </c>
      <c r="G1296" s="2" t="s">
        <v>33</v>
      </c>
      <c r="H1296" s="2">
        <v>39</v>
      </c>
      <c r="I1296" s="4">
        <v>1064.79</v>
      </c>
      <c r="J1296" s="3">
        <v>45866</v>
      </c>
      <c r="K1296">
        <f t="shared" si="20"/>
        <v>41526.81</v>
      </c>
      <c r="L1296" t="str">
        <f>INDEX(Raw_Shipments!L1296:L3724,MATCH(A1296,Raw_Shipments!B1296:B3724))</f>
        <v>No</v>
      </c>
    </row>
    <row r="1297" spans="1:12" x14ac:dyDescent="0.3">
      <c r="A1297" s="5" t="s">
        <v>1446</v>
      </c>
      <c r="B1297" s="6">
        <v>45858</v>
      </c>
      <c r="C1297" s="5" t="s">
        <v>545</v>
      </c>
      <c r="D1297" s="5" t="s">
        <v>30</v>
      </c>
      <c r="E1297" s="5" t="s">
        <v>86</v>
      </c>
      <c r="F1297" s="5" t="s">
        <v>87</v>
      </c>
      <c r="G1297" s="5" t="s">
        <v>33</v>
      </c>
      <c r="H1297" s="5">
        <v>22</v>
      </c>
      <c r="I1297" s="7">
        <v>815.88</v>
      </c>
      <c r="J1297" s="6">
        <v>45868</v>
      </c>
      <c r="K1297">
        <f t="shared" si="20"/>
        <v>17949.36</v>
      </c>
      <c r="L1297" t="str">
        <f>INDEX(Raw_Shipments!L1297:L3725,MATCH(A1297,Raw_Shipments!B1297:B3725))</f>
        <v>Yes</v>
      </c>
    </row>
    <row r="1298" spans="1:12" x14ac:dyDescent="0.3">
      <c r="A1298" s="2" t="s">
        <v>1447</v>
      </c>
      <c r="B1298" s="3">
        <v>45859</v>
      </c>
      <c r="C1298" s="2" t="s">
        <v>122</v>
      </c>
      <c r="D1298" s="2" t="s">
        <v>14</v>
      </c>
      <c r="E1298" s="2" t="s">
        <v>53</v>
      </c>
      <c r="F1298" s="2" t="s">
        <v>54</v>
      </c>
      <c r="G1298" s="2" t="s">
        <v>55</v>
      </c>
      <c r="H1298" s="2">
        <v>16</v>
      </c>
      <c r="I1298" s="4">
        <v>2055.9</v>
      </c>
      <c r="J1298" s="3">
        <v>45866</v>
      </c>
      <c r="K1298">
        <f t="shared" si="20"/>
        <v>32894.400000000001</v>
      </c>
      <c r="L1298" t="str">
        <f>INDEX(Raw_Shipments!L1298:L3726,MATCH(A1298,Raw_Shipments!B1298:B3726))</f>
        <v>No</v>
      </c>
    </row>
    <row r="1299" spans="1:12" x14ac:dyDescent="0.3">
      <c r="A1299" s="5" t="s">
        <v>1448</v>
      </c>
      <c r="B1299" s="6">
        <v>45859</v>
      </c>
      <c r="C1299" s="5" t="s">
        <v>156</v>
      </c>
      <c r="D1299" s="5" t="s">
        <v>25</v>
      </c>
      <c r="E1299" s="5" t="s">
        <v>62</v>
      </c>
      <c r="F1299" s="5" t="s">
        <v>63</v>
      </c>
      <c r="G1299" s="5" t="s">
        <v>55</v>
      </c>
      <c r="H1299" s="5">
        <v>52</v>
      </c>
      <c r="I1299" s="7">
        <v>2555.2199999999998</v>
      </c>
      <c r="J1299" s="6">
        <v>45868</v>
      </c>
      <c r="K1299">
        <f t="shared" si="20"/>
        <v>132871.44</v>
      </c>
      <c r="L1299" t="str">
        <f>INDEX(Raw_Shipments!L1299:L3727,MATCH(A1299,Raw_Shipments!B1299:B3727))</f>
        <v>No</v>
      </c>
    </row>
    <row r="1300" spans="1:12" x14ac:dyDescent="0.3">
      <c r="A1300" s="2" t="s">
        <v>1449</v>
      </c>
      <c r="B1300" s="3">
        <v>45859</v>
      </c>
      <c r="C1300" s="2" t="s">
        <v>91</v>
      </c>
      <c r="D1300" s="2" t="s">
        <v>30</v>
      </c>
      <c r="E1300" s="2" t="s">
        <v>97</v>
      </c>
      <c r="F1300" s="2" t="s">
        <v>98</v>
      </c>
      <c r="G1300" s="2" t="s">
        <v>17</v>
      </c>
      <c r="H1300" s="2">
        <v>24</v>
      </c>
      <c r="I1300" s="4">
        <v>1110.6500000000001</v>
      </c>
      <c r="J1300" s="3">
        <v>45864</v>
      </c>
      <c r="K1300">
        <f t="shared" si="20"/>
        <v>26655.600000000002</v>
      </c>
      <c r="L1300" t="str">
        <f>INDEX(Raw_Shipments!L1300:L3728,MATCH(A1300,Raw_Shipments!B1300:B3728))</f>
        <v>No</v>
      </c>
    </row>
    <row r="1301" spans="1:12" x14ac:dyDescent="0.3">
      <c r="A1301" s="5" t="s">
        <v>1450</v>
      </c>
      <c r="B1301" s="6">
        <v>45859</v>
      </c>
      <c r="C1301" s="5" t="s">
        <v>125</v>
      </c>
      <c r="D1301" s="5" t="s">
        <v>45</v>
      </c>
      <c r="E1301" s="5" t="s">
        <v>15</v>
      </c>
      <c r="F1301" s="5" t="s">
        <v>16</v>
      </c>
      <c r="G1301" s="5" t="s">
        <v>17</v>
      </c>
      <c r="H1301" s="5">
        <v>12</v>
      </c>
      <c r="I1301" s="7">
        <v>183.06</v>
      </c>
      <c r="J1301" s="6">
        <v>45865</v>
      </c>
      <c r="K1301">
        <f t="shared" si="20"/>
        <v>2196.7200000000003</v>
      </c>
      <c r="L1301" t="str">
        <f>INDEX(Raw_Shipments!L1301:L3729,MATCH(A1301,Raw_Shipments!B1301:B3729))</f>
        <v>Yes</v>
      </c>
    </row>
    <row r="1302" spans="1:12" x14ac:dyDescent="0.3">
      <c r="A1302" s="2" t="s">
        <v>1451</v>
      </c>
      <c r="B1302" s="3">
        <v>45859</v>
      </c>
      <c r="C1302" s="2" t="s">
        <v>89</v>
      </c>
      <c r="D1302" s="2" t="s">
        <v>25</v>
      </c>
      <c r="E1302" s="2" t="s">
        <v>26</v>
      </c>
      <c r="F1302" s="2" t="s">
        <v>27</v>
      </c>
      <c r="G1302" s="2" t="s">
        <v>22</v>
      </c>
      <c r="H1302" s="2">
        <v>13</v>
      </c>
      <c r="I1302" s="4">
        <v>1646.8</v>
      </c>
      <c r="J1302" s="3">
        <v>45868</v>
      </c>
      <c r="K1302">
        <f t="shared" si="20"/>
        <v>21408.399999999998</v>
      </c>
      <c r="L1302" t="str">
        <f>INDEX(Raw_Shipments!L1302:L3730,MATCH(A1302,Raw_Shipments!B1302:B3730))</f>
        <v>Yes</v>
      </c>
    </row>
    <row r="1303" spans="1:12" x14ac:dyDescent="0.3">
      <c r="A1303" s="5" t="s">
        <v>1452</v>
      </c>
      <c r="B1303" s="6">
        <v>45859</v>
      </c>
      <c r="C1303" s="5" t="s">
        <v>117</v>
      </c>
      <c r="D1303" s="5" t="s">
        <v>45</v>
      </c>
      <c r="E1303" s="5" t="s">
        <v>31</v>
      </c>
      <c r="F1303" s="5" t="s">
        <v>32</v>
      </c>
      <c r="G1303" s="5" t="s">
        <v>33</v>
      </c>
      <c r="H1303" s="5">
        <v>46</v>
      </c>
      <c r="I1303" s="7">
        <v>689</v>
      </c>
      <c r="J1303" s="6">
        <v>45866</v>
      </c>
      <c r="K1303">
        <f t="shared" si="20"/>
        <v>31694</v>
      </c>
      <c r="L1303" t="str">
        <f>INDEX(Raw_Shipments!L1303:L3731,MATCH(A1303,Raw_Shipments!B1303:B3731))</f>
        <v>No</v>
      </c>
    </row>
    <row r="1304" spans="1:12" x14ac:dyDescent="0.3">
      <c r="A1304" s="2" t="s">
        <v>1453</v>
      </c>
      <c r="B1304" s="3">
        <v>45859</v>
      </c>
      <c r="C1304" s="2" t="s">
        <v>195</v>
      </c>
      <c r="D1304" s="2" t="s">
        <v>14</v>
      </c>
      <c r="E1304" s="2" t="s">
        <v>36</v>
      </c>
      <c r="F1304" s="2" t="s">
        <v>37</v>
      </c>
      <c r="G1304" s="2" t="s">
        <v>33</v>
      </c>
      <c r="H1304" s="2">
        <v>68</v>
      </c>
      <c r="I1304" s="4">
        <v>1064.79</v>
      </c>
      <c r="J1304" s="3">
        <v>45868</v>
      </c>
      <c r="K1304">
        <f t="shared" si="20"/>
        <v>72405.72</v>
      </c>
      <c r="L1304" t="str">
        <f>INDEX(Raw_Shipments!L1304:L3732,MATCH(A1304,Raw_Shipments!B1304:B3732))</f>
        <v>Yes</v>
      </c>
    </row>
    <row r="1305" spans="1:12" x14ac:dyDescent="0.3">
      <c r="A1305" s="5" t="s">
        <v>1454</v>
      </c>
      <c r="B1305" s="6">
        <v>45859</v>
      </c>
      <c r="C1305" s="5" t="s">
        <v>93</v>
      </c>
      <c r="D1305" s="5" t="s">
        <v>25</v>
      </c>
      <c r="E1305" s="5" t="s">
        <v>86</v>
      </c>
      <c r="F1305" s="5" t="s">
        <v>87</v>
      </c>
      <c r="G1305" s="5" t="s">
        <v>33</v>
      </c>
      <c r="H1305" s="5">
        <v>31</v>
      </c>
      <c r="I1305" s="7">
        <v>815.88</v>
      </c>
      <c r="J1305" s="6">
        <v>45868</v>
      </c>
      <c r="K1305">
        <f t="shared" si="20"/>
        <v>25292.28</v>
      </c>
      <c r="L1305" t="str">
        <f>INDEX(Raw_Shipments!L1305:L3733,MATCH(A1305,Raw_Shipments!B1305:B3733))</f>
        <v>Yes</v>
      </c>
    </row>
    <row r="1306" spans="1:12" x14ac:dyDescent="0.3">
      <c r="A1306" s="2" t="s">
        <v>1455</v>
      </c>
      <c r="B1306" s="3">
        <v>45860</v>
      </c>
      <c r="C1306" s="2" t="s">
        <v>431</v>
      </c>
      <c r="D1306" s="2" t="s">
        <v>14</v>
      </c>
      <c r="E1306" s="2" t="s">
        <v>97</v>
      </c>
      <c r="F1306" s="2" t="s">
        <v>98</v>
      </c>
      <c r="G1306" s="2" t="s">
        <v>17</v>
      </c>
      <c r="H1306" s="2">
        <v>44</v>
      </c>
      <c r="I1306" s="4">
        <v>1110.6500000000001</v>
      </c>
      <c r="J1306" s="3">
        <v>45863</v>
      </c>
      <c r="K1306">
        <f t="shared" si="20"/>
        <v>48868.600000000006</v>
      </c>
      <c r="L1306" t="str">
        <f>INDEX(Raw_Shipments!L1306:L3734,MATCH(A1306,Raw_Shipments!B1306:B3734))</f>
        <v>No</v>
      </c>
    </row>
    <row r="1307" spans="1:12" x14ac:dyDescent="0.3">
      <c r="A1307" s="5" t="s">
        <v>1456</v>
      </c>
      <c r="B1307" s="6">
        <v>45860</v>
      </c>
      <c r="C1307" s="5" t="s">
        <v>279</v>
      </c>
      <c r="D1307" s="5" t="s">
        <v>14</v>
      </c>
      <c r="E1307" s="5" t="s">
        <v>15</v>
      </c>
      <c r="F1307" s="5" t="s">
        <v>16</v>
      </c>
      <c r="G1307" s="5" t="s">
        <v>17</v>
      </c>
      <c r="H1307" s="5">
        <v>15</v>
      </c>
      <c r="I1307" s="7">
        <v>183.06</v>
      </c>
      <c r="J1307" s="6">
        <v>45870</v>
      </c>
      <c r="K1307">
        <f t="shared" si="20"/>
        <v>2745.9</v>
      </c>
      <c r="L1307" t="str">
        <f>INDEX(Raw_Shipments!L1307:L3735,MATCH(A1307,Raw_Shipments!B1307:B3735))</f>
        <v>No</v>
      </c>
    </row>
    <row r="1308" spans="1:12" x14ac:dyDescent="0.3">
      <c r="A1308" s="2" t="s">
        <v>1457</v>
      </c>
      <c r="B1308" s="3">
        <v>45860</v>
      </c>
      <c r="C1308" s="2" t="s">
        <v>170</v>
      </c>
      <c r="D1308" s="2" t="s">
        <v>45</v>
      </c>
      <c r="E1308" s="2" t="s">
        <v>20</v>
      </c>
      <c r="F1308" s="2" t="s">
        <v>21</v>
      </c>
      <c r="G1308" s="2" t="s">
        <v>22</v>
      </c>
      <c r="H1308" s="2">
        <v>4</v>
      </c>
      <c r="I1308" s="4">
        <v>2108.56</v>
      </c>
      <c r="J1308" s="3">
        <v>45865</v>
      </c>
      <c r="K1308">
        <f t="shared" si="20"/>
        <v>8434.24</v>
      </c>
      <c r="L1308" t="str">
        <f>INDEX(Raw_Shipments!L1308:L3736,MATCH(A1308,Raw_Shipments!B1308:B3736))</f>
        <v>No</v>
      </c>
    </row>
    <row r="1309" spans="1:12" x14ac:dyDescent="0.3">
      <c r="A1309" s="5" t="s">
        <v>1458</v>
      </c>
      <c r="B1309" s="6">
        <v>45860</v>
      </c>
      <c r="C1309" s="5" t="s">
        <v>400</v>
      </c>
      <c r="D1309" s="5" t="s">
        <v>14</v>
      </c>
      <c r="E1309" s="5" t="s">
        <v>36</v>
      </c>
      <c r="F1309" s="5" t="s">
        <v>37</v>
      </c>
      <c r="G1309" s="5" t="s">
        <v>33</v>
      </c>
      <c r="H1309" s="5">
        <v>19</v>
      </c>
      <c r="I1309" s="7">
        <v>1064.79</v>
      </c>
      <c r="J1309" s="6">
        <v>45864</v>
      </c>
      <c r="K1309">
        <f t="shared" si="20"/>
        <v>20231.009999999998</v>
      </c>
      <c r="L1309" t="str">
        <f>INDEX(Raw_Shipments!L1309:L3737,MATCH(A1309,Raw_Shipments!B1309:B3737))</f>
        <v>No</v>
      </c>
    </row>
    <row r="1310" spans="1:12" x14ac:dyDescent="0.3">
      <c r="A1310" s="2" t="s">
        <v>1459</v>
      </c>
      <c r="B1310" s="3">
        <v>45860</v>
      </c>
      <c r="C1310" s="2" t="s">
        <v>282</v>
      </c>
      <c r="D1310" s="2" t="s">
        <v>25</v>
      </c>
      <c r="E1310" s="2" t="s">
        <v>40</v>
      </c>
      <c r="F1310" s="2" t="s">
        <v>41</v>
      </c>
      <c r="G1310" s="2" t="s">
        <v>42</v>
      </c>
      <c r="H1310" s="2">
        <v>13</v>
      </c>
      <c r="I1310" s="4">
        <v>2445.11</v>
      </c>
      <c r="J1310" s="3">
        <v>45869</v>
      </c>
      <c r="K1310">
        <f t="shared" si="20"/>
        <v>31786.43</v>
      </c>
      <c r="L1310" t="str">
        <f>INDEX(Raw_Shipments!L1310:L3738,MATCH(A1310,Raw_Shipments!B1310:B3738))</f>
        <v>No</v>
      </c>
    </row>
    <row r="1311" spans="1:12" x14ac:dyDescent="0.3">
      <c r="A1311" s="5" t="s">
        <v>1460</v>
      </c>
      <c r="B1311" s="6">
        <v>45861</v>
      </c>
      <c r="C1311" s="5" t="s">
        <v>135</v>
      </c>
      <c r="D1311" s="5" t="s">
        <v>25</v>
      </c>
      <c r="E1311" s="5" t="s">
        <v>62</v>
      </c>
      <c r="F1311" s="5" t="s">
        <v>63</v>
      </c>
      <c r="G1311" s="5" t="s">
        <v>55</v>
      </c>
      <c r="H1311" s="5">
        <v>44</v>
      </c>
      <c r="I1311" s="7">
        <v>2555.2199999999998</v>
      </c>
      <c r="J1311" s="6">
        <v>45869</v>
      </c>
      <c r="K1311">
        <f t="shared" si="20"/>
        <v>112429.68</v>
      </c>
      <c r="L1311" t="str">
        <f>INDEX(Raw_Shipments!L1311:L3739,MATCH(A1311,Raw_Shipments!B1311:B3739))</f>
        <v>No</v>
      </c>
    </row>
    <row r="1312" spans="1:12" x14ac:dyDescent="0.3">
      <c r="A1312" s="2" t="s">
        <v>1461</v>
      </c>
      <c r="B1312" s="3">
        <v>45861</v>
      </c>
      <c r="C1312" s="2" t="s">
        <v>125</v>
      </c>
      <c r="D1312" s="2" t="s">
        <v>45</v>
      </c>
      <c r="E1312" s="2" t="s">
        <v>15</v>
      </c>
      <c r="F1312" s="2" t="s">
        <v>16</v>
      </c>
      <c r="G1312" s="2" t="s">
        <v>17</v>
      </c>
      <c r="H1312" s="2">
        <v>9</v>
      </c>
      <c r="I1312" s="4">
        <v>183.06</v>
      </c>
      <c r="J1312" s="3">
        <v>45871</v>
      </c>
      <c r="K1312">
        <f t="shared" si="20"/>
        <v>1647.54</v>
      </c>
      <c r="L1312" t="str">
        <f>INDEX(Raw_Shipments!L1312:L3740,MATCH(A1312,Raw_Shipments!B1312:B3740))</f>
        <v>No</v>
      </c>
    </row>
    <row r="1313" spans="1:12" x14ac:dyDescent="0.3">
      <c r="A1313" s="5" t="s">
        <v>1462</v>
      </c>
      <c r="B1313" s="6">
        <v>45861</v>
      </c>
      <c r="C1313" s="5" t="s">
        <v>304</v>
      </c>
      <c r="D1313" s="5" t="s">
        <v>30</v>
      </c>
      <c r="E1313" s="5" t="s">
        <v>20</v>
      </c>
      <c r="F1313" s="5" t="s">
        <v>21</v>
      </c>
      <c r="G1313" s="5" t="s">
        <v>22</v>
      </c>
      <c r="H1313" s="5">
        <v>27</v>
      </c>
      <c r="I1313" s="7">
        <v>2108.56</v>
      </c>
      <c r="J1313" s="6">
        <v>45870</v>
      </c>
      <c r="K1313">
        <f t="shared" si="20"/>
        <v>56931.119999999995</v>
      </c>
      <c r="L1313" t="str">
        <f>INDEX(Raw_Shipments!L1313:L3741,MATCH(A1313,Raw_Shipments!B1313:B3741))</f>
        <v>No</v>
      </c>
    </row>
    <row r="1314" spans="1:12" x14ac:dyDescent="0.3">
      <c r="A1314" s="2" t="s">
        <v>1463</v>
      </c>
      <c r="B1314" s="3">
        <v>45861</v>
      </c>
      <c r="C1314" s="2" t="s">
        <v>527</v>
      </c>
      <c r="D1314" s="2" t="s">
        <v>14</v>
      </c>
      <c r="E1314" s="2" t="s">
        <v>31</v>
      </c>
      <c r="F1314" s="2" t="s">
        <v>32</v>
      </c>
      <c r="G1314" s="2" t="s">
        <v>33</v>
      </c>
      <c r="H1314" s="2">
        <v>23</v>
      </c>
      <c r="I1314" s="4">
        <v>689</v>
      </c>
      <c r="J1314" s="3">
        <v>45867</v>
      </c>
      <c r="K1314">
        <f t="shared" si="20"/>
        <v>15847</v>
      </c>
      <c r="L1314" t="str">
        <f>INDEX(Raw_Shipments!L1314:L3742,MATCH(A1314,Raw_Shipments!B1314:B3742))</f>
        <v>No</v>
      </c>
    </row>
    <row r="1315" spans="1:12" x14ac:dyDescent="0.3">
      <c r="A1315" s="5" t="s">
        <v>1464</v>
      </c>
      <c r="B1315" s="6">
        <v>45861</v>
      </c>
      <c r="C1315" s="5" t="s">
        <v>420</v>
      </c>
      <c r="D1315" s="5" t="s">
        <v>14</v>
      </c>
      <c r="E1315" s="5" t="s">
        <v>86</v>
      </c>
      <c r="F1315" s="5" t="s">
        <v>87</v>
      </c>
      <c r="G1315" s="5" t="s">
        <v>33</v>
      </c>
      <c r="H1315" s="5">
        <v>36</v>
      </c>
      <c r="I1315" s="7">
        <v>815.88</v>
      </c>
      <c r="J1315" s="6">
        <v>45867</v>
      </c>
      <c r="K1315">
        <f t="shared" si="20"/>
        <v>29371.68</v>
      </c>
      <c r="L1315" t="str">
        <f>INDEX(Raw_Shipments!L1315:L3743,MATCH(A1315,Raw_Shipments!B1315:B3743))</f>
        <v>Yes</v>
      </c>
    </row>
    <row r="1316" spans="1:12" x14ac:dyDescent="0.3">
      <c r="A1316" s="2" t="s">
        <v>1465</v>
      </c>
      <c r="B1316" s="3">
        <v>45861</v>
      </c>
      <c r="C1316" s="2" t="s">
        <v>198</v>
      </c>
      <c r="D1316" s="2" t="s">
        <v>30</v>
      </c>
      <c r="E1316" s="2" t="s">
        <v>40</v>
      </c>
      <c r="F1316" s="2" t="s">
        <v>41</v>
      </c>
      <c r="G1316" s="2" t="s">
        <v>42</v>
      </c>
      <c r="H1316" s="2">
        <v>32</v>
      </c>
      <c r="I1316" s="4">
        <v>2445.11</v>
      </c>
      <c r="J1316" s="3">
        <v>45868</v>
      </c>
      <c r="K1316">
        <f t="shared" si="20"/>
        <v>78243.520000000004</v>
      </c>
      <c r="L1316" t="str">
        <f>INDEX(Raw_Shipments!L1316:L3744,MATCH(A1316,Raw_Shipments!B1316:B3744))</f>
        <v>No</v>
      </c>
    </row>
    <row r="1317" spans="1:12" x14ac:dyDescent="0.3">
      <c r="A1317" s="5" t="s">
        <v>1466</v>
      </c>
      <c r="B1317" s="6">
        <v>45862</v>
      </c>
      <c r="C1317" s="5" t="s">
        <v>510</v>
      </c>
      <c r="D1317" s="5" t="s">
        <v>30</v>
      </c>
      <c r="E1317" s="5" t="s">
        <v>58</v>
      </c>
      <c r="F1317" s="5" t="s">
        <v>59</v>
      </c>
      <c r="G1317" s="5" t="s">
        <v>55</v>
      </c>
      <c r="H1317" s="5">
        <v>26</v>
      </c>
      <c r="I1317" s="7">
        <v>1695.1</v>
      </c>
      <c r="J1317" s="6">
        <v>45869</v>
      </c>
      <c r="K1317">
        <f t="shared" si="20"/>
        <v>44072.6</v>
      </c>
      <c r="L1317" t="str">
        <f>INDEX(Raw_Shipments!L1317:L3745,MATCH(A1317,Raw_Shipments!B1317:B3745))</f>
        <v>Yes</v>
      </c>
    </row>
    <row r="1318" spans="1:12" x14ac:dyDescent="0.3">
      <c r="A1318" s="2" t="s">
        <v>1467</v>
      </c>
      <c r="B1318" s="3">
        <v>45862</v>
      </c>
      <c r="C1318" s="2" t="s">
        <v>65</v>
      </c>
      <c r="D1318" s="2" t="s">
        <v>30</v>
      </c>
      <c r="E1318" s="2" t="s">
        <v>62</v>
      </c>
      <c r="F1318" s="2" t="s">
        <v>63</v>
      </c>
      <c r="G1318" s="2" t="s">
        <v>55</v>
      </c>
      <c r="H1318" s="2">
        <v>38</v>
      </c>
      <c r="I1318" s="4">
        <v>2555.2199999999998</v>
      </c>
      <c r="J1318" s="3">
        <v>45868</v>
      </c>
      <c r="K1318">
        <f t="shared" si="20"/>
        <v>97098.359999999986</v>
      </c>
      <c r="L1318" t="str">
        <f>INDEX(Raw_Shipments!L1318:L3746,MATCH(A1318,Raw_Shipments!B1318:B3746))</f>
        <v>No</v>
      </c>
    </row>
    <row r="1319" spans="1:12" x14ac:dyDescent="0.3">
      <c r="A1319" s="5" t="s">
        <v>1468</v>
      </c>
      <c r="B1319" s="6">
        <v>45862</v>
      </c>
      <c r="C1319" s="5" t="s">
        <v>203</v>
      </c>
      <c r="D1319" s="5" t="s">
        <v>45</v>
      </c>
      <c r="E1319" s="5" t="s">
        <v>97</v>
      </c>
      <c r="F1319" s="5" t="s">
        <v>98</v>
      </c>
      <c r="G1319" s="5" t="s">
        <v>17</v>
      </c>
      <c r="H1319" s="5">
        <v>28</v>
      </c>
      <c r="I1319" s="7">
        <v>1110.6500000000001</v>
      </c>
      <c r="J1319" s="6">
        <v>45865</v>
      </c>
      <c r="K1319">
        <f t="shared" si="20"/>
        <v>31098.200000000004</v>
      </c>
      <c r="L1319" t="str">
        <f>INDEX(Raw_Shipments!L1319:L3747,MATCH(A1319,Raw_Shipments!B1319:B3747))</f>
        <v>No</v>
      </c>
    </row>
    <row r="1320" spans="1:12" x14ac:dyDescent="0.3">
      <c r="A1320" s="2" t="s">
        <v>1469</v>
      </c>
      <c r="B1320" s="3">
        <v>45862</v>
      </c>
      <c r="C1320" s="2" t="s">
        <v>312</v>
      </c>
      <c r="D1320" s="2" t="s">
        <v>25</v>
      </c>
      <c r="E1320" s="2" t="s">
        <v>119</v>
      </c>
      <c r="F1320" s="2" t="s">
        <v>120</v>
      </c>
      <c r="G1320" s="2" t="s">
        <v>22</v>
      </c>
      <c r="H1320" s="2">
        <v>46</v>
      </c>
      <c r="I1320" s="4">
        <v>912.26</v>
      </c>
      <c r="J1320" s="3">
        <v>45871</v>
      </c>
      <c r="K1320">
        <f t="shared" si="20"/>
        <v>41963.96</v>
      </c>
      <c r="L1320" t="str">
        <f>INDEX(Raw_Shipments!L1320:L3748,MATCH(A1320,Raw_Shipments!B1320:B3748))</f>
        <v>No</v>
      </c>
    </row>
    <row r="1321" spans="1:12" x14ac:dyDescent="0.3">
      <c r="A1321" s="5" t="s">
        <v>1470</v>
      </c>
      <c r="B1321" s="6">
        <v>45862</v>
      </c>
      <c r="C1321" s="5" t="s">
        <v>232</v>
      </c>
      <c r="D1321" s="5" t="s">
        <v>25</v>
      </c>
      <c r="E1321" s="5" t="s">
        <v>36</v>
      </c>
      <c r="F1321" s="5" t="s">
        <v>37</v>
      </c>
      <c r="G1321" s="5" t="s">
        <v>33</v>
      </c>
      <c r="H1321" s="5">
        <v>61</v>
      </c>
      <c r="I1321" s="7">
        <v>1064.79</v>
      </c>
      <c r="J1321" s="6">
        <v>45871</v>
      </c>
      <c r="K1321">
        <f t="shared" si="20"/>
        <v>64952.189999999995</v>
      </c>
      <c r="L1321" t="str">
        <f>INDEX(Raw_Shipments!L1321:L3749,MATCH(A1321,Raw_Shipments!B1321:B3749))</f>
        <v>No</v>
      </c>
    </row>
    <row r="1322" spans="1:12" x14ac:dyDescent="0.3">
      <c r="A1322" s="2" t="s">
        <v>1471</v>
      </c>
      <c r="B1322" s="3">
        <v>45862</v>
      </c>
      <c r="C1322" s="2" t="s">
        <v>109</v>
      </c>
      <c r="D1322" s="2" t="s">
        <v>30</v>
      </c>
      <c r="E1322" s="2" t="s">
        <v>40</v>
      </c>
      <c r="F1322" s="2" t="s">
        <v>41</v>
      </c>
      <c r="G1322" s="2" t="s">
        <v>42</v>
      </c>
      <c r="H1322" s="2">
        <v>23</v>
      </c>
      <c r="I1322" s="4">
        <v>2445.11</v>
      </c>
      <c r="J1322" s="3">
        <v>45870</v>
      </c>
      <c r="K1322">
        <f t="shared" si="20"/>
        <v>56237.530000000006</v>
      </c>
      <c r="L1322" t="str">
        <f>INDEX(Raw_Shipments!L1322:L3750,MATCH(A1322,Raw_Shipments!B1322:B3750))</f>
        <v>No</v>
      </c>
    </row>
    <row r="1323" spans="1:12" x14ac:dyDescent="0.3">
      <c r="A1323" s="5" t="s">
        <v>1472</v>
      </c>
      <c r="B1323" s="6">
        <v>45862</v>
      </c>
      <c r="C1323" s="5" t="s">
        <v>183</v>
      </c>
      <c r="D1323" s="5" t="s">
        <v>25</v>
      </c>
      <c r="E1323" s="5" t="s">
        <v>46</v>
      </c>
      <c r="F1323" s="5" t="s">
        <v>47</v>
      </c>
      <c r="G1323" s="5" t="s">
        <v>42</v>
      </c>
      <c r="H1323" s="5">
        <v>8</v>
      </c>
      <c r="I1323" s="7">
        <v>1833.14</v>
      </c>
      <c r="J1323" s="6">
        <v>45865</v>
      </c>
      <c r="K1323">
        <f t="shared" si="20"/>
        <v>14665.12</v>
      </c>
      <c r="L1323" t="str">
        <f>INDEX(Raw_Shipments!L1323:L3751,MATCH(A1323,Raw_Shipments!B1323:B3751))</f>
        <v>No</v>
      </c>
    </row>
    <row r="1324" spans="1:12" x14ac:dyDescent="0.3">
      <c r="A1324" s="2" t="s">
        <v>1473</v>
      </c>
      <c r="B1324" s="3">
        <v>45863</v>
      </c>
      <c r="C1324" s="2" t="s">
        <v>154</v>
      </c>
      <c r="D1324" s="2" t="s">
        <v>45</v>
      </c>
      <c r="E1324" s="2" t="s">
        <v>53</v>
      </c>
      <c r="F1324" s="2" t="s">
        <v>54</v>
      </c>
      <c r="G1324" s="2" t="s">
        <v>55</v>
      </c>
      <c r="H1324" s="2">
        <v>41</v>
      </c>
      <c r="I1324" s="4">
        <v>2055.9</v>
      </c>
      <c r="J1324" s="3">
        <v>45868</v>
      </c>
      <c r="K1324">
        <f t="shared" si="20"/>
        <v>84291.900000000009</v>
      </c>
      <c r="L1324" t="str">
        <f>INDEX(Raw_Shipments!L1324:L3752,MATCH(A1324,Raw_Shipments!B1324:B3752))</f>
        <v>No</v>
      </c>
    </row>
    <row r="1325" spans="1:12" x14ac:dyDescent="0.3">
      <c r="A1325" s="5" t="s">
        <v>1474</v>
      </c>
      <c r="B1325" s="6">
        <v>45863</v>
      </c>
      <c r="C1325" s="5" t="s">
        <v>83</v>
      </c>
      <c r="D1325" s="5" t="s">
        <v>30</v>
      </c>
      <c r="E1325" s="5" t="s">
        <v>62</v>
      </c>
      <c r="F1325" s="5" t="s">
        <v>63</v>
      </c>
      <c r="G1325" s="5" t="s">
        <v>55</v>
      </c>
      <c r="H1325" s="5">
        <v>26</v>
      </c>
      <c r="I1325" s="7">
        <v>2555.2199999999998</v>
      </c>
      <c r="J1325" s="6">
        <v>45869</v>
      </c>
      <c r="K1325">
        <f t="shared" si="20"/>
        <v>66435.72</v>
      </c>
      <c r="L1325" t="str">
        <f>INDEX(Raw_Shipments!L1325:L3753,MATCH(A1325,Raw_Shipments!B1325:B3753))</f>
        <v>Yes</v>
      </c>
    </row>
    <row r="1326" spans="1:12" x14ac:dyDescent="0.3">
      <c r="A1326" s="2" t="s">
        <v>1475</v>
      </c>
      <c r="B1326" s="3">
        <v>45863</v>
      </c>
      <c r="C1326" s="2" t="s">
        <v>19</v>
      </c>
      <c r="D1326" s="2" t="s">
        <v>25</v>
      </c>
      <c r="E1326" s="2" t="s">
        <v>20</v>
      </c>
      <c r="F1326" s="2" t="s">
        <v>21</v>
      </c>
      <c r="G1326" s="2" t="s">
        <v>22</v>
      </c>
      <c r="H1326" s="2">
        <v>19</v>
      </c>
      <c r="I1326" s="4">
        <v>2108.56</v>
      </c>
      <c r="J1326" s="3">
        <v>45871</v>
      </c>
      <c r="K1326">
        <f t="shared" si="20"/>
        <v>40062.639999999999</v>
      </c>
      <c r="L1326" t="str">
        <f>INDEX(Raw_Shipments!L1326:L3754,MATCH(A1326,Raw_Shipments!B1326:B3754))</f>
        <v>No</v>
      </c>
    </row>
    <row r="1327" spans="1:12" x14ac:dyDescent="0.3">
      <c r="A1327" s="5" t="s">
        <v>1476</v>
      </c>
      <c r="B1327" s="6">
        <v>45863</v>
      </c>
      <c r="C1327" s="5" t="s">
        <v>115</v>
      </c>
      <c r="D1327" s="5" t="s">
        <v>45</v>
      </c>
      <c r="E1327" s="5" t="s">
        <v>86</v>
      </c>
      <c r="F1327" s="5" t="s">
        <v>87</v>
      </c>
      <c r="G1327" s="5" t="s">
        <v>33</v>
      </c>
      <c r="H1327" s="5">
        <v>50</v>
      </c>
      <c r="I1327" s="7">
        <v>815.88</v>
      </c>
      <c r="J1327" s="6">
        <v>45873</v>
      </c>
      <c r="K1327">
        <f t="shared" si="20"/>
        <v>40794</v>
      </c>
      <c r="L1327" t="str">
        <f>INDEX(Raw_Shipments!L1327:L3755,MATCH(A1327,Raw_Shipments!B1327:B3755))</f>
        <v>Yes</v>
      </c>
    </row>
    <row r="1328" spans="1:12" x14ac:dyDescent="0.3">
      <c r="A1328" s="2" t="s">
        <v>1477</v>
      </c>
      <c r="B1328" s="3">
        <v>45863</v>
      </c>
      <c r="C1328" s="2" t="s">
        <v>39</v>
      </c>
      <c r="D1328" s="2" t="s">
        <v>45</v>
      </c>
      <c r="E1328" s="2" t="s">
        <v>40</v>
      </c>
      <c r="F1328" s="2" t="s">
        <v>41</v>
      </c>
      <c r="G1328" s="2" t="s">
        <v>42</v>
      </c>
      <c r="H1328" s="2">
        <v>45</v>
      </c>
      <c r="I1328" s="4">
        <v>2445.11</v>
      </c>
      <c r="J1328" s="3">
        <v>45873</v>
      </c>
      <c r="K1328">
        <f t="shared" si="20"/>
        <v>110029.95000000001</v>
      </c>
      <c r="L1328" t="str">
        <f>INDEX(Raw_Shipments!L1328:L3756,MATCH(A1328,Raw_Shipments!B1328:B3756))</f>
        <v>No</v>
      </c>
    </row>
    <row r="1329" spans="1:12" x14ac:dyDescent="0.3">
      <c r="A1329" s="5" t="s">
        <v>1478</v>
      </c>
      <c r="B1329" s="6">
        <v>45863</v>
      </c>
      <c r="C1329" s="5" t="s">
        <v>91</v>
      </c>
      <c r="D1329" s="5" t="s">
        <v>14</v>
      </c>
      <c r="E1329" s="5" t="s">
        <v>50</v>
      </c>
      <c r="F1329" s="5" t="s">
        <v>51</v>
      </c>
      <c r="G1329" s="5" t="s">
        <v>42</v>
      </c>
      <c r="H1329" s="5">
        <v>6</v>
      </c>
      <c r="I1329" s="7">
        <v>1952.28</v>
      </c>
      <c r="J1329" s="6">
        <v>45869</v>
      </c>
      <c r="K1329">
        <f t="shared" si="20"/>
        <v>11713.68</v>
      </c>
      <c r="L1329" t="str">
        <f>INDEX(Raw_Shipments!L1329:L3757,MATCH(A1329,Raw_Shipments!B1329:B3757))</f>
        <v>No</v>
      </c>
    </row>
    <row r="1330" spans="1:12" x14ac:dyDescent="0.3">
      <c r="A1330" s="2" t="s">
        <v>1479</v>
      </c>
      <c r="B1330" s="3">
        <v>45864</v>
      </c>
      <c r="C1330" s="2" t="s">
        <v>240</v>
      </c>
      <c r="D1330" s="2" t="s">
        <v>30</v>
      </c>
      <c r="E1330" s="2" t="s">
        <v>97</v>
      </c>
      <c r="F1330" s="2" t="s">
        <v>98</v>
      </c>
      <c r="G1330" s="2" t="s">
        <v>17</v>
      </c>
      <c r="H1330" s="2">
        <v>23</v>
      </c>
      <c r="I1330" s="4">
        <v>1110.6500000000001</v>
      </c>
      <c r="J1330" s="3">
        <v>45874</v>
      </c>
      <c r="K1330">
        <f t="shared" si="20"/>
        <v>25544.95</v>
      </c>
      <c r="L1330" t="str">
        <f>INDEX(Raw_Shipments!L1330:L3758,MATCH(A1330,Raw_Shipments!B1330:B3758))</f>
        <v>No</v>
      </c>
    </row>
    <row r="1331" spans="1:12" x14ac:dyDescent="0.3">
      <c r="A1331" s="5" t="s">
        <v>1480</v>
      </c>
      <c r="B1331" s="6">
        <v>45864</v>
      </c>
      <c r="C1331" s="5" t="s">
        <v>61</v>
      </c>
      <c r="D1331" s="5" t="s">
        <v>45</v>
      </c>
      <c r="E1331" s="5" t="s">
        <v>26</v>
      </c>
      <c r="F1331" s="5" t="s">
        <v>27</v>
      </c>
      <c r="G1331" s="5" t="s">
        <v>22</v>
      </c>
      <c r="H1331" s="5">
        <v>19</v>
      </c>
      <c r="I1331" s="7">
        <v>1646.8</v>
      </c>
      <c r="J1331" s="6">
        <v>45869</v>
      </c>
      <c r="K1331">
        <f t="shared" si="20"/>
        <v>31289.200000000001</v>
      </c>
      <c r="L1331" t="str">
        <f>INDEX(Raw_Shipments!L1331:L3759,MATCH(A1331,Raw_Shipments!B1331:B3759))</f>
        <v>No</v>
      </c>
    </row>
    <row r="1332" spans="1:12" x14ac:dyDescent="0.3">
      <c r="A1332" s="2" t="s">
        <v>1481</v>
      </c>
      <c r="B1332" s="3">
        <v>45864</v>
      </c>
      <c r="C1332" s="2" t="s">
        <v>227</v>
      </c>
      <c r="D1332" s="2" t="s">
        <v>25</v>
      </c>
      <c r="E1332" s="2" t="s">
        <v>31</v>
      </c>
      <c r="F1332" s="2" t="s">
        <v>32</v>
      </c>
      <c r="G1332" s="2" t="s">
        <v>33</v>
      </c>
      <c r="H1332" s="2">
        <v>41</v>
      </c>
      <c r="I1332" s="4">
        <v>689</v>
      </c>
      <c r="J1332" s="3">
        <v>45872</v>
      </c>
      <c r="K1332">
        <f t="shared" si="20"/>
        <v>28249</v>
      </c>
      <c r="L1332" t="str">
        <f>INDEX(Raw_Shipments!L1332:L3760,MATCH(A1332,Raw_Shipments!B1332:B3760))</f>
        <v>Yes</v>
      </c>
    </row>
    <row r="1333" spans="1:12" x14ac:dyDescent="0.3">
      <c r="A1333" s="5" t="s">
        <v>1482</v>
      </c>
      <c r="B1333" s="6">
        <v>45864</v>
      </c>
      <c r="C1333" s="5" t="s">
        <v>109</v>
      </c>
      <c r="D1333" s="5" t="s">
        <v>30</v>
      </c>
      <c r="E1333" s="5" t="s">
        <v>36</v>
      </c>
      <c r="F1333" s="5" t="s">
        <v>37</v>
      </c>
      <c r="G1333" s="5" t="s">
        <v>33</v>
      </c>
      <c r="H1333" s="5">
        <v>38</v>
      </c>
      <c r="I1333" s="7">
        <v>1064.79</v>
      </c>
      <c r="J1333" s="6">
        <v>45871</v>
      </c>
      <c r="K1333">
        <f t="shared" si="20"/>
        <v>40462.019999999997</v>
      </c>
      <c r="L1333" t="str">
        <f>INDEX(Raw_Shipments!L1333:L3761,MATCH(A1333,Raw_Shipments!B1333:B3761))</f>
        <v>Yes</v>
      </c>
    </row>
    <row r="1334" spans="1:12" x14ac:dyDescent="0.3">
      <c r="A1334" s="2" t="s">
        <v>1483</v>
      </c>
      <c r="B1334" s="3">
        <v>45865</v>
      </c>
      <c r="C1334" s="2" t="s">
        <v>117</v>
      </c>
      <c r="D1334" s="2" t="s">
        <v>25</v>
      </c>
      <c r="E1334" s="2" t="s">
        <v>66</v>
      </c>
      <c r="F1334" s="2" t="s">
        <v>67</v>
      </c>
      <c r="G1334" s="2" t="s">
        <v>17</v>
      </c>
      <c r="H1334" s="2">
        <v>15</v>
      </c>
      <c r="I1334" s="4">
        <v>850.8</v>
      </c>
      <c r="J1334" s="3">
        <v>45869</v>
      </c>
      <c r="K1334">
        <f t="shared" si="20"/>
        <v>12762</v>
      </c>
      <c r="L1334" t="str">
        <f>INDEX(Raw_Shipments!L1334:L3762,MATCH(A1334,Raw_Shipments!B1334:B3762))</f>
        <v>No</v>
      </c>
    </row>
    <row r="1335" spans="1:12" x14ac:dyDescent="0.3">
      <c r="A1335" s="5" t="s">
        <v>1484</v>
      </c>
      <c r="B1335" s="6">
        <v>45865</v>
      </c>
      <c r="C1335" s="5" t="s">
        <v>473</v>
      </c>
      <c r="D1335" s="5" t="s">
        <v>30</v>
      </c>
      <c r="E1335" s="5" t="s">
        <v>97</v>
      </c>
      <c r="F1335" s="5" t="s">
        <v>98</v>
      </c>
      <c r="G1335" s="5" t="s">
        <v>17</v>
      </c>
      <c r="H1335" s="5">
        <v>39</v>
      </c>
      <c r="I1335" s="7">
        <v>1110.6500000000001</v>
      </c>
      <c r="J1335" s="6">
        <v>45874</v>
      </c>
      <c r="K1335">
        <f t="shared" si="20"/>
        <v>43315.350000000006</v>
      </c>
      <c r="L1335" t="str">
        <f>INDEX(Raw_Shipments!L1335:L3763,MATCH(A1335,Raw_Shipments!B1335:B3763))</f>
        <v>No</v>
      </c>
    </row>
    <row r="1336" spans="1:12" x14ac:dyDescent="0.3">
      <c r="A1336" s="2" t="s">
        <v>1485</v>
      </c>
      <c r="B1336" s="3">
        <v>45865</v>
      </c>
      <c r="C1336" s="2" t="s">
        <v>232</v>
      </c>
      <c r="D1336" s="2" t="s">
        <v>14</v>
      </c>
      <c r="E1336" s="2" t="s">
        <v>20</v>
      </c>
      <c r="F1336" s="2" t="s">
        <v>21</v>
      </c>
      <c r="G1336" s="2" t="s">
        <v>22</v>
      </c>
      <c r="H1336" s="2">
        <v>15</v>
      </c>
      <c r="I1336" s="4">
        <v>2108.56</v>
      </c>
      <c r="J1336" s="3">
        <v>45869</v>
      </c>
      <c r="K1336">
        <f t="shared" si="20"/>
        <v>31628.399999999998</v>
      </c>
      <c r="L1336" t="str">
        <f>INDEX(Raw_Shipments!L1336:L3764,MATCH(A1336,Raw_Shipments!B1336:B3764))</f>
        <v>Yes</v>
      </c>
    </row>
    <row r="1337" spans="1:12" x14ac:dyDescent="0.3">
      <c r="A1337" s="5" t="s">
        <v>1486</v>
      </c>
      <c r="B1337" s="6">
        <v>45865</v>
      </c>
      <c r="C1337" s="5" t="s">
        <v>268</v>
      </c>
      <c r="D1337" s="5" t="s">
        <v>25</v>
      </c>
      <c r="E1337" s="5" t="s">
        <v>26</v>
      </c>
      <c r="F1337" s="5" t="s">
        <v>27</v>
      </c>
      <c r="G1337" s="5" t="s">
        <v>22</v>
      </c>
      <c r="H1337" s="5">
        <v>21</v>
      </c>
      <c r="I1337" s="7">
        <v>1646.8</v>
      </c>
      <c r="J1337" s="6">
        <v>45873</v>
      </c>
      <c r="K1337">
        <f t="shared" si="20"/>
        <v>34582.799999999996</v>
      </c>
      <c r="L1337" t="str">
        <f>INDEX(Raw_Shipments!L1337:L3765,MATCH(A1337,Raw_Shipments!B1337:B3765))</f>
        <v>No</v>
      </c>
    </row>
    <row r="1338" spans="1:12" x14ac:dyDescent="0.3">
      <c r="A1338" s="2" t="s">
        <v>1487</v>
      </c>
      <c r="B1338" s="3">
        <v>45865</v>
      </c>
      <c r="C1338" s="2" t="s">
        <v>545</v>
      </c>
      <c r="D1338" s="2" t="s">
        <v>25</v>
      </c>
      <c r="E1338" s="2" t="s">
        <v>86</v>
      </c>
      <c r="F1338" s="2" t="s">
        <v>87</v>
      </c>
      <c r="G1338" s="2" t="s">
        <v>33</v>
      </c>
      <c r="H1338" s="2">
        <v>36</v>
      </c>
      <c r="I1338" s="4">
        <v>815.88</v>
      </c>
      <c r="J1338" s="3">
        <v>45874</v>
      </c>
      <c r="K1338">
        <f t="shared" si="20"/>
        <v>29371.68</v>
      </c>
      <c r="L1338" t="str">
        <f>INDEX(Raw_Shipments!L1338:L3766,MATCH(A1338,Raw_Shipments!B1338:B3766))</f>
        <v>No</v>
      </c>
    </row>
    <row r="1339" spans="1:12" x14ac:dyDescent="0.3">
      <c r="A1339" s="5" t="s">
        <v>1488</v>
      </c>
      <c r="B1339" s="6">
        <v>45866</v>
      </c>
      <c r="C1339" s="5" t="s">
        <v>49</v>
      </c>
      <c r="D1339" s="5" t="s">
        <v>30</v>
      </c>
      <c r="E1339" s="5" t="s">
        <v>53</v>
      </c>
      <c r="F1339" s="5" t="s">
        <v>54</v>
      </c>
      <c r="G1339" s="5" t="s">
        <v>55</v>
      </c>
      <c r="H1339" s="5">
        <v>39</v>
      </c>
      <c r="I1339" s="7">
        <v>2055.9</v>
      </c>
      <c r="J1339" s="6">
        <v>45872</v>
      </c>
      <c r="K1339">
        <f t="shared" si="20"/>
        <v>80180.100000000006</v>
      </c>
      <c r="L1339" t="str">
        <f>INDEX(Raw_Shipments!L1339:L3767,MATCH(A1339,Raw_Shipments!B1339:B3767))</f>
        <v>No</v>
      </c>
    </row>
    <row r="1340" spans="1:12" x14ac:dyDescent="0.3">
      <c r="A1340" s="2" t="s">
        <v>1489</v>
      </c>
      <c r="B1340" s="3">
        <v>45866</v>
      </c>
      <c r="C1340" s="2" t="s">
        <v>248</v>
      </c>
      <c r="D1340" s="2" t="s">
        <v>30</v>
      </c>
      <c r="E1340" s="2" t="s">
        <v>58</v>
      </c>
      <c r="F1340" s="2" t="s">
        <v>59</v>
      </c>
      <c r="G1340" s="2" t="s">
        <v>55</v>
      </c>
      <c r="H1340" s="2">
        <v>20</v>
      </c>
      <c r="I1340" s="4">
        <v>1695.1</v>
      </c>
      <c r="J1340" s="3">
        <v>45873</v>
      </c>
      <c r="K1340">
        <f t="shared" si="20"/>
        <v>33902</v>
      </c>
      <c r="L1340" t="str">
        <f>INDEX(Raw_Shipments!L1340:L3768,MATCH(A1340,Raw_Shipments!B1340:B3768))</f>
        <v>No</v>
      </c>
    </row>
    <row r="1341" spans="1:12" x14ac:dyDescent="0.3">
      <c r="A1341" s="5" t="s">
        <v>1490</v>
      </c>
      <c r="B1341" s="6">
        <v>45866</v>
      </c>
      <c r="C1341" s="5" t="s">
        <v>135</v>
      </c>
      <c r="D1341" s="5" t="s">
        <v>45</v>
      </c>
      <c r="E1341" s="5" t="s">
        <v>66</v>
      </c>
      <c r="F1341" s="5" t="s">
        <v>67</v>
      </c>
      <c r="G1341" s="5" t="s">
        <v>17</v>
      </c>
      <c r="H1341" s="5">
        <v>10</v>
      </c>
      <c r="I1341" s="7">
        <v>850.8</v>
      </c>
      <c r="J1341" s="6">
        <v>45873</v>
      </c>
      <c r="K1341">
        <f t="shared" si="20"/>
        <v>8508</v>
      </c>
      <c r="L1341" t="str">
        <f>INDEX(Raw_Shipments!L1341:L3769,MATCH(A1341,Raw_Shipments!B1341:B3769))</f>
        <v>Yes</v>
      </c>
    </row>
    <row r="1342" spans="1:12" x14ac:dyDescent="0.3">
      <c r="A1342" s="2" t="s">
        <v>1491</v>
      </c>
      <c r="B1342" s="3">
        <v>45866</v>
      </c>
      <c r="C1342" s="2" t="s">
        <v>447</v>
      </c>
      <c r="D1342" s="2" t="s">
        <v>14</v>
      </c>
      <c r="E1342" s="2" t="s">
        <v>15</v>
      </c>
      <c r="F1342" s="2" t="s">
        <v>16</v>
      </c>
      <c r="G1342" s="2" t="s">
        <v>17</v>
      </c>
      <c r="H1342" s="2">
        <v>16</v>
      </c>
      <c r="I1342" s="4">
        <v>183.06</v>
      </c>
      <c r="J1342" s="3">
        <v>45876</v>
      </c>
      <c r="K1342">
        <f t="shared" si="20"/>
        <v>2928.96</v>
      </c>
      <c r="L1342" t="str">
        <f>INDEX(Raw_Shipments!L1342:L3770,MATCH(A1342,Raw_Shipments!B1342:B3770))</f>
        <v>Yes</v>
      </c>
    </row>
    <row r="1343" spans="1:12" x14ac:dyDescent="0.3">
      <c r="A1343" s="5" t="s">
        <v>1492</v>
      </c>
      <c r="B1343" s="6">
        <v>45866</v>
      </c>
      <c r="C1343" s="5" t="s">
        <v>438</v>
      </c>
      <c r="D1343" s="5" t="s">
        <v>14</v>
      </c>
      <c r="E1343" s="5" t="s">
        <v>26</v>
      </c>
      <c r="F1343" s="5" t="s">
        <v>27</v>
      </c>
      <c r="G1343" s="5" t="s">
        <v>22</v>
      </c>
      <c r="H1343" s="5">
        <v>19</v>
      </c>
      <c r="I1343" s="7">
        <v>1646.8</v>
      </c>
      <c r="J1343" s="6">
        <v>45874</v>
      </c>
      <c r="K1343">
        <f t="shared" si="20"/>
        <v>31289.200000000001</v>
      </c>
      <c r="L1343" t="str">
        <f>INDEX(Raw_Shipments!L1343:L3771,MATCH(A1343,Raw_Shipments!B1343:B3771))</f>
        <v>No</v>
      </c>
    </row>
    <row r="1344" spans="1:12" x14ac:dyDescent="0.3">
      <c r="A1344" s="2" t="s">
        <v>1493</v>
      </c>
      <c r="B1344" s="3">
        <v>45866</v>
      </c>
      <c r="C1344" s="2" t="s">
        <v>527</v>
      </c>
      <c r="D1344" s="2" t="s">
        <v>30</v>
      </c>
      <c r="E1344" s="2" t="s">
        <v>86</v>
      </c>
      <c r="F1344" s="2" t="s">
        <v>87</v>
      </c>
      <c r="G1344" s="2" t="s">
        <v>33</v>
      </c>
      <c r="H1344" s="2">
        <v>24</v>
      </c>
      <c r="I1344" s="4">
        <v>815.88</v>
      </c>
      <c r="J1344" s="3">
        <v>45871</v>
      </c>
      <c r="K1344">
        <f t="shared" si="20"/>
        <v>19581.12</v>
      </c>
      <c r="L1344" t="str">
        <f>INDEX(Raw_Shipments!L1344:L3772,MATCH(A1344,Raw_Shipments!B1344:B3772))</f>
        <v>No</v>
      </c>
    </row>
    <row r="1345" spans="1:12" x14ac:dyDescent="0.3">
      <c r="A1345" s="5" t="s">
        <v>1494</v>
      </c>
      <c r="B1345" s="6">
        <v>45866</v>
      </c>
      <c r="C1345" s="5" t="s">
        <v>19</v>
      </c>
      <c r="D1345" s="5" t="s">
        <v>30</v>
      </c>
      <c r="E1345" s="5" t="s">
        <v>40</v>
      </c>
      <c r="F1345" s="5" t="s">
        <v>41</v>
      </c>
      <c r="G1345" s="5" t="s">
        <v>42</v>
      </c>
      <c r="H1345" s="5">
        <v>5</v>
      </c>
      <c r="I1345" s="7">
        <v>2445.11</v>
      </c>
      <c r="J1345" s="6">
        <v>45871</v>
      </c>
      <c r="K1345">
        <f t="shared" si="20"/>
        <v>12225.550000000001</v>
      </c>
      <c r="L1345" t="str">
        <f>INDEX(Raw_Shipments!L1345:L3773,MATCH(A1345,Raw_Shipments!B1345:B3773))</f>
        <v>No</v>
      </c>
    </row>
    <row r="1346" spans="1:12" x14ac:dyDescent="0.3">
      <c r="A1346" s="2" t="s">
        <v>1495</v>
      </c>
      <c r="B1346" s="3">
        <v>45866</v>
      </c>
      <c r="C1346" s="2" t="s">
        <v>166</v>
      </c>
      <c r="D1346" s="2" t="s">
        <v>45</v>
      </c>
      <c r="E1346" s="2" t="s">
        <v>46</v>
      </c>
      <c r="F1346" s="2" t="s">
        <v>47</v>
      </c>
      <c r="G1346" s="2" t="s">
        <v>42</v>
      </c>
      <c r="H1346" s="2">
        <v>3</v>
      </c>
      <c r="I1346" s="4">
        <v>1833.14</v>
      </c>
      <c r="J1346" s="3">
        <v>45875</v>
      </c>
      <c r="K1346">
        <f t="shared" si="20"/>
        <v>5499.42</v>
      </c>
      <c r="L1346" t="str">
        <f>INDEX(Raw_Shipments!L1346:L3774,MATCH(A1346,Raw_Shipments!B1346:B3774))</f>
        <v>No</v>
      </c>
    </row>
    <row r="1347" spans="1:12" x14ac:dyDescent="0.3">
      <c r="A1347" s="5" t="s">
        <v>1496</v>
      </c>
      <c r="B1347" s="6">
        <v>45867</v>
      </c>
      <c r="C1347" s="5" t="s">
        <v>431</v>
      </c>
      <c r="D1347" s="5" t="s">
        <v>30</v>
      </c>
      <c r="E1347" s="5" t="s">
        <v>53</v>
      </c>
      <c r="F1347" s="5" t="s">
        <v>54</v>
      </c>
      <c r="G1347" s="5" t="s">
        <v>55</v>
      </c>
      <c r="H1347" s="5">
        <v>1</v>
      </c>
      <c r="I1347" s="7">
        <v>2055.9</v>
      </c>
      <c r="J1347" s="6">
        <v>45873</v>
      </c>
      <c r="K1347">
        <f t="shared" ref="K1347:K1410" si="21">I1347*H1347</f>
        <v>2055.9</v>
      </c>
      <c r="L1347" t="str">
        <f>INDEX(Raw_Shipments!L1347:L3775,MATCH(A1347,Raw_Shipments!B1347:B3775))</f>
        <v>No</v>
      </c>
    </row>
    <row r="1348" spans="1:12" x14ac:dyDescent="0.3">
      <c r="A1348" s="2" t="s">
        <v>1497</v>
      </c>
      <c r="B1348" s="3">
        <v>45867</v>
      </c>
      <c r="C1348" s="2" t="s">
        <v>172</v>
      </c>
      <c r="D1348" s="2" t="s">
        <v>25</v>
      </c>
      <c r="E1348" s="2" t="s">
        <v>58</v>
      </c>
      <c r="F1348" s="2" t="s">
        <v>59</v>
      </c>
      <c r="G1348" s="2" t="s">
        <v>55</v>
      </c>
      <c r="H1348" s="2">
        <v>12</v>
      </c>
      <c r="I1348" s="4">
        <v>1695.1</v>
      </c>
      <c r="J1348" s="3">
        <v>45870</v>
      </c>
      <c r="K1348">
        <f t="shared" si="21"/>
        <v>20341.199999999997</v>
      </c>
      <c r="L1348" t="str">
        <f>INDEX(Raw_Shipments!L1348:L3776,MATCH(A1348,Raw_Shipments!B1348:B3776))</f>
        <v>No</v>
      </c>
    </row>
    <row r="1349" spans="1:12" x14ac:dyDescent="0.3">
      <c r="A1349" s="5" t="s">
        <v>1498</v>
      </c>
      <c r="B1349" s="6">
        <v>45867</v>
      </c>
      <c r="C1349" s="5" t="s">
        <v>57</v>
      </c>
      <c r="D1349" s="5" t="s">
        <v>30</v>
      </c>
      <c r="E1349" s="5" t="s">
        <v>66</v>
      </c>
      <c r="F1349" s="5" t="s">
        <v>67</v>
      </c>
      <c r="G1349" s="5" t="s">
        <v>17</v>
      </c>
      <c r="H1349" s="5">
        <v>21</v>
      </c>
      <c r="I1349" s="7">
        <v>850.8</v>
      </c>
      <c r="J1349" s="6">
        <v>45872</v>
      </c>
      <c r="K1349">
        <f t="shared" si="21"/>
        <v>17866.8</v>
      </c>
      <c r="L1349" t="str">
        <f>INDEX(Raw_Shipments!L1349:L3777,MATCH(A1349,Raw_Shipments!B1349:B3777))</f>
        <v>No</v>
      </c>
    </row>
    <row r="1350" spans="1:12" x14ac:dyDescent="0.3">
      <c r="A1350" s="2" t="s">
        <v>1499</v>
      </c>
      <c r="B1350" s="3">
        <v>45867</v>
      </c>
      <c r="C1350" s="2" t="s">
        <v>442</v>
      </c>
      <c r="D1350" s="2" t="s">
        <v>45</v>
      </c>
      <c r="E1350" s="2" t="s">
        <v>97</v>
      </c>
      <c r="F1350" s="2" t="s">
        <v>98</v>
      </c>
      <c r="G1350" s="2" t="s">
        <v>17</v>
      </c>
      <c r="H1350" s="2">
        <v>31</v>
      </c>
      <c r="I1350" s="4">
        <v>1110.6500000000001</v>
      </c>
      <c r="J1350" s="3">
        <v>45873</v>
      </c>
      <c r="K1350">
        <f t="shared" si="21"/>
        <v>34430.15</v>
      </c>
      <c r="L1350" t="str">
        <f>INDEX(Raw_Shipments!L1350:L3778,MATCH(A1350,Raw_Shipments!B1350:B3778))</f>
        <v>No</v>
      </c>
    </row>
    <row r="1351" spans="1:12" x14ac:dyDescent="0.3">
      <c r="A1351" s="5" t="s">
        <v>1500</v>
      </c>
      <c r="B1351" s="6">
        <v>45867</v>
      </c>
      <c r="C1351" s="5" t="s">
        <v>44</v>
      </c>
      <c r="D1351" s="5" t="s">
        <v>14</v>
      </c>
      <c r="E1351" s="5" t="s">
        <v>15</v>
      </c>
      <c r="F1351" s="5" t="s">
        <v>16</v>
      </c>
      <c r="G1351" s="5" t="s">
        <v>17</v>
      </c>
      <c r="H1351" s="5">
        <v>16</v>
      </c>
      <c r="I1351" s="7">
        <v>183.06</v>
      </c>
      <c r="J1351" s="6">
        <v>45871</v>
      </c>
      <c r="K1351">
        <f t="shared" si="21"/>
        <v>2928.96</v>
      </c>
      <c r="L1351" t="str">
        <f>INDEX(Raw_Shipments!L1351:L3779,MATCH(A1351,Raw_Shipments!B1351:B3779))</f>
        <v>No</v>
      </c>
    </row>
    <row r="1352" spans="1:12" x14ac:dyDescent="0.3">
      <c r="A1352" s="2" t="s">
        <v>1501</v>
      </c>
      <c r="B1352" s="3">
        <v>45867</v>
      </c>
      <c r="C1352" s="2" t="s">
        <v>71</v>
      </c>
      <c r="D1352" s="2" t="s">
        <v>45</v>
      </c>
      <c r="E1352" s="2" t="s">
        <v>20</v>
      </c>
      <c r="F1352" s="2" t="s">
        <v>21</v>
      </c>
      <c r="G1352" s="2" t="s">
        <v>22</v>
      </c>
      <c r="H1352" s="2">
        <v>21</v>
      </c>
      <c r="I1352" s="4">
        <v>2108.56</v>
      </c>
      <c r="J1352" s="3">
        <v>45872</v>
      </c>
      <c r="K1352">
        <f t="shared" si="21"/>
        <v>44279.76</v>
      </c>
      <c r="L1352" t="str">
        <f>INDEX(Raw_Shipments!L1352:L3780,MATCH(A1352,Raw_Shipments!B1352:B3780))</f>
        <v>No</v>
      </c>
    </row>
    <row r="1353" spans="1:12" x14ac:dyDescent="0.3">
      <c r="A1353" s="5" t="s">
        <v>1502</v>
      </c>
      <c r="B1353" s="6">
        <v>45867</v>
      </c>
      <c r="C1353" s="5" t="s">
        <v>107</v>
      </c>
      <c r="D1353" s="5" t="s">
        <v>45</v>
      </c>
      <c r="E1353" s="5" t="s">
        <v>119</v>
      </c>
      <c r="F1353" s="5" t="s">
        <v>120</v>
      </c>
      <c r="G1353" s="5" t="s">
        <v>22</v>
      </c>
      <c r="H1353" s="5">
        <v>38</v>
      </c>
      <c r="I1353" s="7">
        <v>912.26</v>
      </c>
      <c r="J1353" s="6">
        <v>45877</v>
      </c>
      <c r="K1353">
        <f t="shared" si="21"/>
        <v>34665.879999999997</v>
      </c>
      <c r="L1353" t="str">
        <f>INDEX(Raw_Shipments!L1353:L3781,MATCH(A1353,Raw_Shipments!B1353:B3781))</f>
        <v>No</v>
      </c>
    </row>
    <row r="1354" spans="1:12" x14ac:dyDescent="0.3">
      <c r="A1354" s="2" t="s">
        <v>1503</v>
      </c>
      <c r="B1354" s="3">
        <v>45867</v>
      </c>
      <c r="C1354" s="2" t="s">
        <v>438</v>
      </c>
      <c r="D1354" s="2" t="s">
        <v>30</v>
      </c>
      <c r="E1354" s="2" t="s">
        <v>26</v>
      </c>
      <c r="F1354" s="2" t="s">
        <v>27</v>
      </c>
      <c r="G1354" s="2" t="s">
        <v>22</v>
      </c>
      <c r="H1354" s="2">
        <v>13</v>
      </c>
      <c r="I1354" s="4">
        <v>1646.8</v>
      </c>
      <c r="J1354" s="3">
        <v>45876</v>
      </c>
      <c r="K1354">
        <f t="shared" si="21"/>
        <v>21408.399999999998</v>
      </c>
      <c r="L1354" t="str">
        <f>INDEX(Raw_Shipments!L1354:L3782,MATCH(A1354,Raw_Shipments!B1354:B3782))</f>
        <v>No</v>
      </c>
    </row>
    <row r="1355" spans="1:12" x14ac:dyDescent="0.3">
      <c r="A1355" s="5" t="s">
        <v>1504</v>
      </c>
      <c r="B1355" s="6">
        <v>45867</v>
      </c>
      <c r="C1355" s="5" t="s">
        <v>262</v>
      </c>
      <c r="D1355" s="5" t="s">
        <v>30</v>
      </c>
      <c r="E1355" s="5" t="s">
        <v>31</v>
      </c>
      <c r="F1355" s="5" t="s">
        <v>32</v>
      </c>
      <c r="G1355" s="5" t="s">
        <v>33</v>
      </c>
      <c r="H1355" s="5">
        <v>37</v>
      </c>
      <c r="I1355" s="7">
        <v>689</v>
      </c>
      <c r="J1355" s="6">
        <v>45871</v>
      </c>
      <c r="K1355">
        <f t="shared" si="21"/>
        <v>25493</v>
      </c>
      <c r="L1355" t="str">
        <f>INDEX(Raw_Shipments!L1355:L3783,MATCH(A1355,Raw_Shipments!B1355:B3783))</f>
        <v>No</v>
      </c>
    </row>
    <row r="1356" spans="1:12" x14ac:dyDescent="0.3">
      <c r="A1356" s="2" t="s">
        <v>1505</v>
      </c>
      <c r="B1356" s="3">
        <v>45867</v>
      </c>
      <c r="C1356" s="2" t="s">
        <v>139</v>
      </c>
      <c r="D1356" s="2" t="s">
        <v>30</v>
      </c>
      <c r="E1356" s="2" t="s">
        <v>50</v>
      </c>
      <c r="F1356" s="2" t="s">
        <v>51</v>
      </c>
      <c r="G1356" s="2" t="s">
        <v>42</v>
      </c>
      <c r="H1356" s="2">
        <v>7</v>
      </c>
      <c r="I1356" s="4">
        <v>1952.28</v>
      </c>
      <c r="J1356" s="3">
        <v>45871</v>
      </c>
      <c r="K1356">
        <f t="shared" si="21"/>
        <v>13665.96</v>
      </c>
      <c r="L1356" t="str">
        <f>INDEX(Raw_Shipments!L1356:L3784,MATCH(A1356,Raw_Shipments!B1356:B3784))</f>
        <v>No</v>
      </c>
    </row>
    <row r="1357" spans="1:12" x14ac:dyDescent="0.3">
      <c r="A1357" s="5" t="s">
        <v>1506</v>
      </c>
      <c r="B1357" s="6">
        <v>45868</v>
      </c>
      <c r="C1357" s="5" t="s">
        <v>83</v>
      </c>
      <c r="D1357" s="5" t="s">
        <v>45</v>
      </c>
      <c r="E1357" s="5" t="s">
        <v>62</v>
      </c>
      <c r="F1357" s="5" t="s">
        <v>63</v>
      </c>
      <c r="G1357" s="5" t="s">
        <v>55</v>
      </c>
      <c r="H1357" s="5">
        <v>15</v>
      </c>
      <c r="I1357" s="7">
        <v>2555.2199999999998</v>
      </c>
      <c r="J1357" s="6">
        <v>45878</v>
      </c>
      <c r="K1357">
        <f t="shared" si="21"/>
        <v>38328.299999999996</v>
      </c>
      <c r="L1357" t="str">
        <f>INDEX(Raw_Shipments!L1357:L3785,MATCH(A1357,Raw_Shipments!B1357:B3785))</f>
        <v>Yes</v>
      </c>
    </row>
    <row r="1358" spans="1:12" x14ac:dyDescent="0.3">
      <c r="A1358" s="2" t="s">
        <v>1507</v>
      </c>
      <c r="B1358" s="3">
        <v>45868</v>
      </c>
      <c r="C1358" s="2" t="s">
        <v>19</v>
      </c>
      <c r="D1358" s="2" t="s">
        <v>30</v>
      </c>
      <c r="E1358" s="2" t="s">
        <v>66</v>
      </c>
      <c r="F1358" s="2" t="s">
        <v>67</v>
      </c>
      <c r="G1358" s="2" t="s">
        <v>17</v>
      </c>
      <c r="H1358" s="2">
        <v>18</v>
      </c>
      <c r="I1358" s="4">
        <v>850.8</v>
      </c>
      <c r="J1358" s="3">
        <v>45874</v>
      </c>
      <c r="K1358">
        <f t="shared" si="21"/>
        <v>15314.4</v>
      </c>
      <c r="L1358" t="str">
        <f>INDEX(Raw_Shipments!L1358:L3786,MATCH(A1358,Raw_Shipments!B1358:B3786))</f>
        <v>No</v>
      </c>
    </row>
    <row r="1359" spans="1:12" x14ac:dyDescent="0.3">
      <c r="A1359" s="5" t="s">
        <v>1508</v>
      </c>
      <c r="B1359" s="6">
        <v>45868</v>
      </c>
      <c r="C1359" s="5" t="s">
        <v>282</v>
      </c>
      <c r="D1359" s="5" t="s">
        <v>14</v>
      </c>
      <c r="E1359" s="5" t="s">
        <v>97</v>
      </c>
      <c r="F1359" s="5" t="s">
        <v>98</v>
      </c>
      <c r="G1359" s="5" t="s">
        <v>17</v>
      </c>
      <c r="H1359" s="5">
        <v>32</v>
      </c>
      <c r="I1359" s="7">
        <v>1110.6500000000001</v>
      </c>
      <c r="J1359" s="6">
        <v>45872</v>
      </c>
      <c r="K1359">
        <f t="shared" si="21"/>
        <v>35540.800000000003</v>
      </c>
      <c r="L1359" t="str">
        <f>INDEX(Raw_Shipments!L1359:L3787,MATCH(A1359,Raw_Shipments!B1359:B3787))</f>
        <v>No</v>
      </c>
    </row>
    <row r="1360" spans="1:12" x14ac:dyDescent="0.3">
      <c r="A1360" s="2" t="s">
        <v>1509</v>
      </c>
      <c r="B1360" s="3">
        <v>45868</v>
      </c>
      <c r="C1360" s="2" t="s">
        <v>191</v>
      </c>
      <c r="D1360" s="2" t="s">
        <v>14</v>
      </c>
      <c r="E1360" s="2" t="s">
        <v>15</v>
      </c>
      <c r="F1360" s="2" t="s">
        <v>16</v>
      </c>
      <c r="G1360" s="2" t="s">
        <v>17</v>
      </c>
      <c r="H1360" s="2">
        <v>21</v>
      </c>
      <c r="I1360" s="4">
        <v>183.06</v>
      </c>
      <c r="J1360" s="3">
        <v>45875</v>
      </c>
      <c r="K1360">
        <f t="shared" si="21"/>
        <v>3844.26</v>
      </c>
      <c r="L1360" t="str">
        <f>INDEX(Raw_Shipments!L1360:L3788,MATCH(A1360,Raw_Shipments!B1360:B3788))</f>
        <v>Yes</v>
      </c>
    </row>
    <row r="1361" spans="1:12" x14ac:dyDescent="0.3">
      <c r="A1361" s="5" t="s">
        <v>1510</v>
      </c>
      <c r="B1361" s="6">
        <v>45868</v>
      </c>
      <c r="C1361" s="5" t="s">
        <v>91</v>
      </c>
      <c r="D1361" s="5" t="s">
        <v>14</v>
      </c>
      <c r="E1361" s="5" t="s">
        <v>20</v>
      </c>
      <c r="F1361" s="5" t="s">
        <v>21</v>
      </c>
      <c r="G1361" s="5" t="s">
        <v>22</v>
      </c>
      <c r="H1361" s="5">
        <v>13</v>
      </c>
      <c r="I1361" s="7">
        <v>2108.56</v>
      </c>
      <c r="J1361" s="6">
        <v>45872</v>
      </c>
      <c r="K1361">
        <f t="shared" si="21"/>
        <v>27411.279999999999</v>
      </c>
      <c r="L1361" t="str">
        <f>INDEX(Raw_Shipments!L1361:L3789,MATCH(A1361,Raw_Shipments!B1361:B3789))</f>
        <v>No</v>
      </c>
    </row>
    <row r="1362" spans="1:12" x14ac:dyDescent="0.3">
      <c r="A1362" s="2" t="s">
        <v>1511</v>
      </c>
      <c r="B1362" s="3">
        <v>45868</v>
      </c>
      <c r="C1362" s="2" t="s">
        <v>222</v>
      </c>
      <c r="D1362" s="2" t="s">
        <v>45</v>
      </c>
      <c r="E1362" s="2" t="s">
        <v>119</v>
      </c>
      <c r="F1362" s="2" t="s">
        <v>120</v>
      </c>
      <c r="G1362" s="2" t="s">
        <v>22</v>
      </c>
      <c r="H1362" s="2">
        <v>36</v>
      </c>
      <c r="I1362" s="4">
        <v>912.26</v>
      </c>
      <c r="J1362" s="3">
        <v>45878</v>
      </c>
      <c r="K1362">
        <f t="shared" si="21"/>
        <v>32841.360000000001</v>
      </c>
      <c r="L1362" t="str">
        <f>INDEX(Raw_Shipments!L1362:L3790,MATCH(A1362,Raw_Shipments!B1362:B3790))</f>
        <v>No</v>
      </c>
    </row>
    <row r="1363" spans="1:12" x14ac:dyDescent="0.3">
      <c r="A1363" s="5" t="s">
        <v>1512</v>
      </c>
      <c r="B1363" s="6">
        <v>45868</v>
      </c>
      <c r="C1363" s="5" t="s">
        <v>420</v>
      </c>
      <c r="D1363" s="5" t="s">
        <v>14</v>
      </c>
      <c r="E1363" s="5" t="s">
        <v>31</v>
      </c>
      <c r="F1363" s="5" t="s">
        <v>32</v>
      </c>
      <c r="G1363" s="5" t="s">
        <v>33</v>
      </c>
      <c r="H1363" s="5">
        <v>25</v>
      </c>
      <c r="I1363" s="7">
        <v>689</v>
      </c>
      <c r="J1363" s="6">
        <v>45872</v>
      </c>
      <c r="K1363">
        <f t="shared" si="21"/>
        <v>17225</v>
      </c>
      <c r="L1363" t="str">
        <f>INDEX(Raw_Shipments!L1363:L3791,MATCH(A1363,Raw_Shipments!B1363:B3791))</f>
        <v>No</v>
      </c>
    </row>
    <row r="1364" spans="1:12" x14ac:dyDescent="0.3">
      <c r="A1364" s="2" t="s">
        <v>1513</v>
      </c>
      <c r="B1364" s="3">
        <v>45868</v>
      </c>
      <c r="C1364" s="2" t="s">
        <v>268</v>
      </c>
      <c r="D1364" s="2" t="s">
        <v>14</v>
      </c>
      <c r="E1364" s="2" t="s">
        <v>36</v>
      </c>
      <c r="F1364" s="2" t="s">
        <v>37</v>
      </c>
      <c r="G1364" s="2" t="s">
        <v>33</v>
      </c>
      <c r="H1364" s="2">
        <v>27</v>
      </c>
      <c r="I1364" s="4">
        <v>1064.79</v>
      </c>
      <c r="J1364" s="3">
        <v>45871</v>
      </c>
      <c r="K1364">
        <f t="shared" si="21"/>
        <v>28749.329999999998</v>
      </c>
      <c r="L1364" t="str">
        <f>INDEX(Raw_Shipments!L1364:L3792,MATCH(A1364,Raw_Shipments!B1364:B3792))</f>
        <v>No</v>
      </c>
    </row>
    <row r="1365" spans="1:12" x14ac:dyDescent="0.3">
      <c r="A1365" s="5" t="s">
        <v>1514</v>
      </c>
      <c r="B1365" s="6">
        <v>45868</v>
      </c>
      <c r="C1365" s="5" t="s">
        <v>61</v>
      </c>
      <c r="D1365" s="5" t="s">
        <v>45</v>
      </c>
      <c r="E1365" s="5" t="s">
        <v>40</v>
      </c>
      <c r="F1365" s="5" t="s">
        <v>41</v>
      </c>
      <c r="G1365" s="5" t="s">
        <v>42</v>
      </c>
      <c r="H1365" s="5">
        <v>28</v>
      </c>
      <c r="I1365" s="7">
        <v>2445.11</v>
      </c>
      <c r="J1365" s="6">
        <v>45875</v>
      </c>
      <c r="K1365">
        <f t="shared" si="21"/>
        <v>68463.08</v>
      </c>
      <c r="L1365" t="str">
        <f>INDEX(Raw_Shipments!L1365:L3793,MATCH(A1365,Raw_Shipments!B1365:B3793))</f>
        <v>No</v>
      </c>
    </row>
    <row r="1366" spans="1:12" x14ac:dyDescent="0.3">
      <c r="A1366" s="2" t="s">
        <v>1515</v>
      </c>
      <c r="B1366" s="3">
        <v>45868</v>
      </c>
      <c r="C1366" s="2" t="s">
        <v>545</v>
      </c>
      <c r="D1366" s="2" t="s">
        <v>45</v>
      </c>
      <c r="E1366" s="2" t="s">
        <v>46</v>
      </c>
      <c r="F1366" s="2" t="s">
        <v>47</v>
      </c>
      <c r="G1366" s="2" t="s">
        <v>42</v>
      </c>
      <c r="H1366" s="2">
        <v>7</v>
      </c>
      <c r="I1366" s="4">
        <v>1833.14</v>
      </c>
      <c r="J1366" s="3">
        <v>45873</v>
      </c>
      <c r="K1366">
        <f t="shared" si="21"/>
        <v>12831.980000000001</v>
      </c>
      <c r="L1366" t="str">
        <f>INDEX(Raw_Shipments!L1366:L3794,MATCH(A1366,Raw_Shipments!B1366:B3794))</f>
        <v>No</v>
      </c>
    </row>
    <row r="1367" spans="1:12" x14ac:dyDescent="0.3">
      <c r="A1367" s="5" t="s">
        <v>1516</v>
      </c>
      <c r="B1367" s="6">
        <v>45868</v>
      </c>
      <c r="C1367" s="5" t="s">
        <v>400</v>
      </c>
      <c r="D1367" s="5" t="s">
        <v>25</v>
      </c>
      <c r="E1367" s="5" t="s">
        <v>50</v>
      </c>
      <c r="F1367" s="5" t="s">
        <v>51</v>
      </c>
      <c r="G1367" s="5" t="s">
        <v>42</v>
      </c>
      <c r="H1367" s="5">
        <v>10</v>
      </c>
      <c r="I1367" s="7">
        <v>1952.28</v>
      </c>
      <c r="J1367" s="6">
        <v>45871</v>
      </c>
      <c r="K1367">
        <f t="shared" si="21"/>
        <v>19522.8</v>
      </c>
      <c r="L1367" t="str">
        <f>INDEX(Raw_Shipments!L1367:L3795,MATCH(A1367,Raw_Shipments!B1367:B3795))</f>
        <v>No</v>
      </c>
    </row>
    <row r="1368" spans="1:12" x14ac:dyDescent="0.3">
      <c r="A1368" s="2" t="s">
        <v>1517</v>
      </c>
      <c r="B1368" s="3">
        <v>45869</v>
      </c>
      <c r="C1368" s="2" t="s">
        <v>312</v>
      </c>
      <c r="D1368" s="2" t="s">
        <v>14</v>
      </c>
      <c r="E1368" s="2" t="s">
        <v>58</v>
      </c>
      <c r="F1368" s="2" t="s">
        <v>59</v>
      </c>
      <c r="G1368" s="2" t="s">
        <v>55</v>
      </c>
      <c r="H1368" s="2">
        <v>9</v>
      </c>
      <c r="I1368" s="4">
        <v>1695.1</v>
      </c>
      <c r="J1368" s="3">
        <v>45877</v>
      </c>
      <c r="K1368">
        <f t="shared" si="21"/>
        <v>15255.9</v>
      </c>
      <c r="L1368" t="str">
        <f>INDEX(Raw_Shipments!L1368:L3796,MATCH(A1368,Raw_Shipments!B1368:B3796))</f>
        <v>No</v>
      </c>
    </row>
    <row r="1369" spans="1:12" x14ac:dyDescent="0.3">
      <c r="A1369" s="5" t="s">
        <v>1518</v>
      </c>
      <c r="B1369" s="6">
        <v>45869</v>
      </c>
      <c r="C1369" s="5" t="s">
        <v>213</v>
      </c>
      <c r="D1369" s="5" t="s">
        <v>14</v>
      </c>
      <c r="E1369" s="5" t="s">
        <v>97</v>
      </c>
      <c r="F1369" s="5" t="s">
        <v>98</v>
      </c>
      <c r="G1369" s="5" t="s">
        <v>17</v>
      </c>
      <c r="H1369" s="5">
        <v>20</v>
      </c>
      <c r="I1369" s="7">
        <v>1110.6500000000001</v>
      </c>
      <c r="J1369" s="6">
        <v>45872</v>
      </c>
      <c r="K1369">
        <f t="shared" si="21"/>
        <v>22213</v>
      </c>
      <c r="L1369" t="str">
        <f>INDEX(Raw_Shipments!L1369:L3797,MATCH(A1369,Raw_Shipments!B1369:B3797))</f>
        <v>No</v>
      </c>
    </row>
    <row r="1370" spans="1:12" x14ac:dyDescent="0.3">
      <c r="A1370" s="2" t="s">
        <v>1519</v>
      </c>
      <c r="B1370" s="3">
        <v>45869</v>
      </c>
      <c r="C1370" s="2" t="s">
        <v>282</v>
      </c>
      <c r="D1370" s="2" t="s">
        <v>25</v>
      </c>
      <c r="E1370" s="2" t="s">
        <v>15</v>
      </c>
      <c r="F1370" s="2" t="s">
        <v>16</v>
      </c>
      <c r="G1370" s="2" t="s">
        <v>17</v>
      </c>
      <c r="H1370" s="2">
        <v>20</v>
      </c>
      <c r="I1370" s="4">
        <v>183.06</v>
      </c>
      <c r="J1370" s="3">
        <v>45875</v>
      </c>
      <c r="K1370">
        <f t="shared" si="21"/>
        <v>3661.2</v>
      </c>
      <c r="L1370" t="str">
        <f>INDEX(Raw_Shipments!L1370:L3798,MATCH(A1370,Raw_Shipments!B1370:B3798))</f>
        <v>No</v>
      </c>
    </row>
    <row r="1371" spans="1:12" x14ac:dyDescent="0.3">
      <c r="A1371" s="5" t="s">
        <v>1520</v>
      </c>
      <c r="B1371" s="6">
        <v>45869</v>
      </c>
      <c r="C1371" s="5" t="s">
        <v>81</v>
      </c>
      <c r="D1371" s="5" t="s">
        <v>25</v>
      </c>
      <c r="E1371" s="5" t="s">
        <v>20</v>
      </c>
      <c r="F1371" s="5" t="s">
        <v>21</v>
      </c>
      <c r="G1371" s="5" t="s">
        <v>22</v>
      </c>
      <c r="H1371" s="5">
        <v>3</v>
      </c>
      <c r="I1371" s="7">
        <v>2108.56</v>
      </c>
      <c r="J1371" s="6">
        <v>45878</v>
      </c>
      <c r="K1371">
        <f t="shared" si="21"/>
        <v>6325.68</v>
      </c>
      <c r="L1371" t="str">
        <f>INDEX(Raw_Shipments!L1371:L3799,MATCH(A1371,Raw_Shipments!B1371:B3799))</f>
        <v>No</v>
      </c>
    </row>
    <row r="1372" spans="1:12" x14ac:dyDescent="0.3">
      <c r="A1372" s="2" t="s">
        <v>1521</v>
      </c>
      <c r="B1372" s="3">
        <v>45869</v>
      </c>
      <c r="C1372" s="2" t="s">
        <v>510</v>
      </c>
      <c r="D1372" s="2" t="s">
        <v>25</v>
      </c>
      <c r="E1372" s="2" t="s">
        <v>119</v>
      </c>
      <c r="F1372" s="2" t="s">
        <v>120</v>
      </c>
      <c r="G1372" s="2" t="s">
        <v>22</v>
      </c>
      <c r="H1372" s="2">
        <v>35</v>
      </c>
      <c r="I1372" s="4">
        <v>912.26</v>
      </c>
      <c r="J1372" s="3">
        <v>45879</v>
      </c>
      <c r="K1372">
        <f t="shared" si="21"/>
        <v>31929.1</v>
      </c>
      <c r="L1372" t="str">
        <f>INDEX(Raw_Shipments!L1372:L3800,MATCH(A1372,Raw_Shipments!B1372:B3800))</f>
        <v>Yes</v>
      </c>
    </row>
    <row r="1373" spans="1:12" x14ac:dyDescent="0.3">
      <c r="A1373" s="5" t="s">
        <v>1522</v>
      </c>
      <c r="B1373" s="6">
        <v>45869</v>
      </c>
      <c r="C1373" s="5" t="s">
        <v>81</v>
      </c>
      <c r="D1373" s="5" t="s">
        <v>25</v>
      </c>
      <c r="E1373" s="5" t="s">
        <v>36</v>
      </c>
      <c r="F1373" s="5" t="s">
        <v>37</v>
      </c>
      <c r="G1373" s="5" t="s">
        <v>33</v>
      </c>
      <c r="H1373" s="5">
        <v>32</v>
      </c>
      <c r="I1373" s="7">
        <v>1064.79</v>
      </c>
      <c r="J1373" s="6">
        <v>45875</v>
      </c>
      <c r="K1373">
        <f t="shared" si="21"/>
        <v>34073.279999999999</v>
      </c>
      <c r="L1373" t="str">
        <f>INDEX(Raw_Shipments!L1373:L3801,MATCH(A1373,Raw_Shipments!B1373:B3801))</f>
        <v>No</v>
      </c>
    </row>
    <row r="1374" spans="1:12" x14ac:dyDescent="0.3">
      <c r="A1374" s="2" t="s">
        <v>1523</v>
      </c>
      <c r="B1374" s="3">
        <v>45869</v>
      </c>
      <c r="C1374" s="2" t="s">
        <v>260</v>
      </c>
      <c r="D1374" s="2" t="s">
        <v>14</v>
      </c>
      <c r="E1374" s="2" t="s">
        <v>46</v>
      </c>
      <c r="F1374" s="2" t="s">
        <v>47</v>
      </c>
      <c r="G1374" s="2" t="s">
        <v>42</v>
      </c>
      <c r="H1374" s="2">
        <v>4</v>
      </c>
      <c r="I1374" s="4">
        <v>1833.14</v>
      </c>
      <c r="J1374" s="3">
        <v>45874</v>
      </c>
      <c r="K1374">
        <f t="shared" si="21"/>
        <v>7332.56</v>
      </c>
      <c r="L1374" t="str">
        <f>INDEX(Raw_Shipments!L1374:L3802,MATCH(A1374,Raw_Shipments!B1374:B3802))</f>
        <v>No</v>
      </c>
    </row>
    <row r="1375" spans="1:12" x14ac:dyDescent="0.3">
      <c r="A1375" s="5" t="s">
        <v>1524</v>
      </c>
      <c r="B1375" s="6">
        <v>45869</v>
      </c>
      <c r="C1375" s="5" t="s">
        <v>111</v>
      </c>
      <c r="D1375" s="5" t="s">
        <v>45</v>
      </c>
      <c r="E1375" s="5" t="s">
        <v>50</v>
      </c>
      <c r="F1375" s="5" t="s">
        <v>51</v>
      </c>
      <c r="G1375" s="5" t="s">
        <v>42</v>
      </c>
      <c r="H1375" s="5">
        <v>12</v>
      </c>
      <c r="I1375" s="7">
        <v>1952.28</v>
      </c>
      <c r="J1375" s="6">
        <v>45878</v>
      </c>
      <c r="K1375">
        <f t="shared" si="21"/>
        <v>23427.360000000001</v>
      </c>
      <c r="L1375" t="str">
        <f>INDEX(Raw_Shipments!L1375:L3803,MATCH(A1375,Raw_Shipments!B1375:B3803))</f>
        <v>No</v>
      </c>
    </row>
    <row r="1376" spans="1:12" x14ac:dyDescent="0.3">
      <c r="A1376" s="2" t="s">
        <v>1525</v>
      </c>
      <c r="B1376" s="3">
        <v>45870</v>
      </c>
      <c r="C1376" s="2" t="s">
        <v>222</v>
      </c>
      <c r="D1376" s="2" t="s">
        <v>25</v>
      </c>
      <c r="E1376" s="2" t="s">
        <v>58</v>
      </c>
      <c r="F1376" s="2" t="s">
        <v>59</v>
      </c>
      <c r="G1376" s="2" t="s">
        <v>55</v>
      </c>
      <c r="H1376" s="2">
        <v>16</v>
      </c>
      <c r="I1376" s="4">
        <v>1695.1</v>
      </c>
      <c r="J1376" s="3">
        <v>45879</v>
      </c>
      <c r="K1376">
        <f t="shared" si="21"/>
        <v>27121.599999999999</v>
      </c>
      <c r="L1376" t="str">
        <f>INDEX(Raw_Shipments!L1376:L3804,MATCH(A1376,Raw_Shipments!B1376:B3804))</f>
        <v>Yes</v>
      </c>
    </row>
    <row r="1377" spans="1:12" x14ac:dyDescent="0.3">
      <c r="A1377" s="5" t="s">
        <v>1526</v>
      </c>
      <c r="B1377" s="6">
        <v>45870</v>
      </c>
      <c r="C1377" s="5" t="s">
        <v>139</v>
      </c>
      <c r="D1377" s="5" t="s">
        <v>25</v>
      </c>
      <c r="E1377" s="5" t="s">
        <v>66</v>
      </c>
      <c r="F1377" s="5" t="s">
        <v>67</v>
      </c>
      <c r="G1377" s="5" t="s">
        <v>17</v>
      </c>
      <c r="H1377" s="5">
        <v>19</v>
      </c>
      <c r="I1377" s="7">
        <v>850.8</v>
      </c>
      <c r="J1377" s="6">
        <v>45878</v>
      </c>
      <c r="K1377">
        <f t="shared" si="21"/>
        <v>16165.199999999999</v>
      </c>
      <c r="L1377" t="str">
        <f>INDEX(Raw_Shipments!L1377:L3805,MATCH(A1377,Raw_Shipments!B1377:B3805))</f>
        <v>Yes</v>
      </c>
    </row>
    <row r="1378" spans="1:12" x14ac:dyDescent="0.3">
      <c r="A1378" s="2" t="s">
        <v>1527</v>
      </c>
      <c r="B1378" s="3">
        <v>45870</v>
      </c>
      <c r="C1378" s="2" t="s">
        <v>111</v>
      </c>
      <c r="D1378" s="2" t="s">
        <v>14</v>
      </c>
      <c r="E1378" s="2" t="s">
        <v>97</v>
      </c>
      <c r="F1378" s="2" t="s">
        <v>98</v>
      </c>
      <c r="G1378" s="2" t="s">
        <v>17</v>
      </c>
      <c r="H1378" s="2">
        <v>29</v>
      </c>
      <c r="I1378" s="4">
        <v>1110.6500000000001</v>
      </c>
      <c r="J1378" s="3">
        <v>45874</v>
      </c>
      <c r="K1378">
        <f t="shared" si="21"/>
        <v>32208.850000000002</v>
      </c>
      <c r="L1378" t="str">
        <f>INDEX(Raw_Shipments!L1378:L3806,MATCH(A1378,Raw_Shipments!B1378:B3806))</f>
        <v>No</v>
      </c>
    </row>
    <row r="1379" spans="1:12" x14ac:dyDescent="0.3">
      <c r="A1379" s="5" t="s">
        <v>1528</v>
      </c>
      <c r="B1379" s="6">
        <v>45870</v>
      </c>
      <c r="C1379" s="5" t="s">
        <v>13</v>
      </c>
      <c r="D1379" s="5" t="s">
        <v>14</v>
      </c>
      <c r="E1379" s="5" t="s">
        <v>15</v>
      </c>
      <c r="F1379" s="5" t="s">
        <v>16</v>
      </c>
      <c r="G1379" s="5" t="s">
        <v>17</v>
      </c>
      <c r="H1379" s="5">
        <v>10</v>
      </c>
      <c r="I1379" s="7">
        <v>183.06</v>
      </c>
      <c r="J1379" s="6">
        <v>45874</v>
      </c>
      <c r="K1379">
        <f t="shared" si="21"/>
        <v>1830.6</v>
      </c>
      <c r="L1379" t="str">
        <f>INDEX(Raw_Shipments!L1379:L3807,MATCH(A1379,Raw_Shipments!B1379:B3807))</f>
        <v>No</v>
      </c>
    </row>
    <row r="1380" spans="1:12" x14ac:dyDescent="0.3">
      <c r="A1380" s="2" t="s">
        <v>1529</v>
      </c>
      <c r="B1380" s="3">
        <v>45870</v>
      </c>
      <c r="C1380" s="2" t="s">
        <v>217</v>
      </c>
      <c r="D1380" s="2" t="s">
        <v>25</v>
      </c>
      <c r="E1380" s="2" t="s">
        <v>36</v>
      </c>
      <c r="F1380" s="2" t="s">
        <v>37</v>
      </c>
      <c r="G1380" s="2" t="s">
        <v>33</v>
      </c>
      <c r="H1380" s="2">
        <v>28</v>
      </c>
      <c r="I1380" s="4">
        <v>1064.79</v>
      </c>
      <c r="J1380" s="3">
        <v>45877</v>
      </c>
      <c r="K1380">
        <f t="shared" si="21"/>
        <v>29814.12</v>
      </c>
      <c r="L1380" t="str">
        <f>INDEX(Raw_Shipments!L1380:L3808,MATCH(A1380,Raw_Shipments!B1380:B3808))</f>
        <v>Yes</v>
      </c>
    </row>
    <row r="1381" spans="1:12" x14ac:dyDescent="0.3">
      <c r="A1381" s="5" t="s">
        <v>1530</v>
      </c>
      <c r="B1381" s="6">
        <v>45870</v>
      </c>
      <c r="C1381" s="5" t="s">
        <v>420</v>
      </c>
      <c r="D1381" s="5" t="s">
        <v>25</v>
      </c>
      <c r="E1381" s="5" t="s">
        <v>46</v>
      </c>
      <c r="F1381" s="5" t="s">
        <v>47</v>
      </c>
      <c r="G1381" s="5" t="s">
        <v>42</v>
      </c>
      <c r="H1381" s="5">
        <v>8</v>
      </c>
      <c r="I1381" s="7">
        <v>1833.14</v>
      </c>
      <c r="J1381" s="6">
        <v>45879</v>
      </c>
      <c r="K1381">
        <f t="shared" si="21"/>
        <v>14665.12</v>
      </c>
      <c r="L1381" t="str">
        <f>INDEX(Raw_Shipments!L1381:L3809,MATCH(A1381,Raw_Shipments!B1381:B3809))</f>
        <v>No</v>
      </c>
    </row>
    <row r="1382" spans="1:12" x14ac:dyDescent="0.3">
      <c r="A1382" s="2" t="s">
        <v>1531</v>
      </c>
      <c r="B1382" s="3">
        <v>45871</v>
      </c>
      <c r="C1382" s="2" t="s">
        <v>39</v>
      </c>
      <c r="D1382" s="2" t="s">
        <v>14</v>
      </c>
      <c r="E1382" s="2" t="s">
        <v>97</v>
      </c>
      <c r="F1382" s="2" t="s">
        <v>98</v>
      </c>
      <c r="G1382" s="2" t="s">
        <v>17</v>
      </c>
      <c r="H1382" s="2">
        <v>21</v>
      </c>
      <c r="I1382" s="4">
        <v>1110.6500000000001</v>
      </c>
      <c r="J1382" s="3">
        <v>45876</v>
      </c>
      <c r="K1382">
        <f t="shared" si="21"/>
        <v>23323.65</v>
      </c>
      <c r="L1382" t="str">
        <f>INDEX(Raw_Shipments!L1382:L3810,MATCH(A1382,Raw_Shipments!B1382:B3810))</f>
        <v>Yes</v>
      </c>
    </row>
    <row r="1383" spans="1:12" x14ac:dyDescent="0.3">
      <c r="A1383" s="5" t="s">
        <v>1532</v>
      </c>
      <c r="B1383" s="6">
        <v>45871</v>
      </c>
      <c r="C1383" s="5" t="s">
        <v>141</v>
      </c>
      <c r="D1383" s="5" t="s">
        <v>25</v>
      </c>
      <c r="E1383" s="5" t="s">
        <v>15</v>
      </c>
      <c r="F1383" s="5" t="s">
        <v>16</v>
      </c>
      <c r="G1383" s="5" t="s">
        <v>17</v>
      </c>
      <c r="H1383" s="5">
        <v>12</v>
      </c>
      <c r="I1383" s="7">
        <v>183.06</v>
      </c>
      <c r="J1383" s="6">
        <v>45878</v>
      </c>
      <c r="K1383">
        <f t="shared" si="21"/>
        <v>2196.7200000000003</v>
      </c>
      <c r="L1383" t="str">
        <f>INDEX(Raw_Shipments!L1383:L3811,MATCH(A1383,Raw_Shipments!B1383:B3811))</f>
        <v>No</v>
      </c>
    </row>
    <row r="1384" spans="1:12" x14ac:dyDescent="0.3">
      <c r="A1384" s="2" t="s">
        <v>1533</v>
      </c>
      <c r="B1384" s="3">
        <v>45871</v>
      </c>
      <c r="C1384" s="2" t="s">
        <v>57</v>
      </c>
      <c r="D1384" s="2" t="s">
        <v>25</v>
      </c>
      <c r="E1384" s="2" t="s">
        <v>119</v>
      </c>
      <c r="F1384" s="2" t="s">
        <v>120</v>
      </c>
      <c r="G1384" s="2" t="s">
        <v>22</v>
      </c>
      <c r="H1384" s="2">
        <v>23</v>
      </c>
      <c r="I1384" s="4">
        <v>912.26</v>
      </c>
      <c r="J1384" s="3">
        <v>45876</v>
      </c>
      <c r="K1384">
        <f t="shared" si="21"/>
        <v>20981.98</v>
      </c>
      <c r="L1384" t="str">
        <f>INDEX(Raw_Shipments!L1384:L3812,MATCH(A1384,Raw_Shipments!B1384:B3812))</f>
        <v>No</v>
      </c>
    </row>
    <row r="1385" spans="1:12" x14ac:dyDescent="0.3">
      <c r="A1385" s="5" t="s">
        <v>1534</v>
      </c>
      <c r="B1385" s="6">
        <v>45871</v>
      </c>
      <c r="C1385" s="5" t="s">
        <v>400</v>
      </c>
      <c r="D1385" s="5" t="s">
        <v>14</v>
      </c>
      <c r="E1385" s="5" t="s">
        <v>36</v>
      </c>
      <c r="F1385" s="5" t="s">
        <v>37</v>
      </c>
      <c r="G1385" s="5" t="s">
        <v>33</v>
      </c>
      <c r="H1385" s="5">
        <v>25</v>
      </c>
      <c r="I1385" s="7">
        <v>1064.79</v>
      </c>
      <c r="J1385" s="6">
        <v>45880</v>
      </c>
      <c r="K1385">
        <f t="shared" si="21"/>
        <v>26619.75</v>
      </c>
      <c r="L1385" t="str">
        <f>INDEX(Raw_Shipments!L1385:L3813,MATCH(A1385,Raw_Shipments!B1385:B3813))</f>
        <v>No</v>
      </c>
    </row>
    <row r="1386" spans="1:12" x14ac:dyDescent="0.3">
      <c r="A1386" s="2" t="s">
        <v>1535</v>
      </c>
      <c r="B1386" s="3">
        <v>45871</v>
      </c>
      <c r="C1386" s="2" t="s">
        <v>343</v>
      </c>
      <c r="D1386" s="2" t="s">
        <v>25</v>
      </c>
      <c r="E1386" s="2" t="s">
        <v>86</v>
      </c>
      <c r="F1386" s="2" t="s">
        <v>87</v>
      </c>
      <c r="G1386" s="2" t="s">
        <v>33</v>
      </c>
      <c r="H1386" s="2">
        <v>40</v>
      </c>
      <c r="I1386" s="4">
        <v>815.88</v>
      </c>
      <c r="J1386" s="3">
        <v>45880</v>
      </c>
      <c r="K1386">
        <f t="shared" si="21"/>
        <v>32635.200000000001</v>
      </c>
      <c r="L1386" t="str">
        <f>INDEX(Raw_Shipments!L1386:L3814,MATCH(A1386,Raw_Shipments!B1386:B3814))</f>
        <v>Yes</v>
      </c>
    </row>
    <row r="1387" spans="1:12" x14ac:dyDescent="0.3">
      <c r="A1387" s="5" t="s">
        <v>1536</v>
      </c>
      <c r="B1387" s="6">
        <v>45871</v>
      </c>
      <c r="C1387" s="5" t="s">
        <v>250</v>
      </c>
      <c r="D1387" s="5" t="s">
        <v>14</v>
      </c>
      <c r="E1387" s="5" t="s">
        <v>50</v>
      </c>
      <c r="F1387" s="5" t="s">
        <v>51</v>
      </c>
      <c r="G1387" s="5" t="s">
        <v>42</v>
      </c>
      <c r="H1387" s="5">
        <v>3</v>
      </c>
      <c r="I1387" s="7">
        <v>1952.28</v>
      </c>
      <c r="J1387" s="6">
        <v>45877</v>
      </c>
      <c r="K1387">
        <f t="shared" si="21"/>
        <v>5856.84</v>
      </c>
      <c r="L1387" t="str">
        <f>INDEX(Raw_Shipments!L1387:L3815,MATCH(A1387,Raw_Shipments!B1387:B3815))</f>
        <v>No</v>
      </c>
    </row>
    <row r="1388" spans="1:12" x14ac:dyDescent="0.3">
      <c r="A1388" s="2" t="s">
        <v>1537</v>
      </c>
      <c r="B1388" s="3">
        <v>45872</v>
      </c>
      <c r="C1388" s="2" t="s">
        <v>545</v>
      </c>
      <c r="D1388" s="2" t="s">
        <v>14</v>
      </c>
      <c r="E1388" s="2" t="s">
        <v>58</v>
      </c>
      <c r="F1388" s="2" t="s">
        <v>59</v>
      </c>
      <c r="G1388" s="2" t="s">
        <v>55</v>
      </c>
      <c r="H1388" s="2">
        <v>14</v>
      </c>
      <c r="I1388" s="4">
        <v>1695.1</v>
      </c>
      <c r="J1388" s="3">
        <v>45875</v>
      </c>
      <c r="K1388">
        <f t="shared" si="21"/>
        <v>23731.399999999998</v>
      </c>
      <c r="L1388" t="str">
        <f>INDEX(Raw_Shipments!L1388:L3816,MATCH(A1388,Raw_Shipments!B1388:B3816))</f>
        <v>No</v>
      </c>
    </row>
    <row r="1389" spans="1:12" x14ac:dyDescent="0.3">
      <c r="A1389" s="5" t="s">
        <v>1538</v>
      </c>
      <c r="B1389" s="6">
        <v>45872</v>
      </c>
      <c r="C1389" s="5" t="s">
        <v>89</v>
      </c>
      <c r="D1389" s="5" t="s">
        <v>45</v>
      </c>
      <c r="E1389" s="5" t="s">
        <v>119</v>
      </c>
      <c r="F1389" s="5" t="s">
        <v>120</v>
      </c>
      <c r="G1389" s="5" t="s">
        <v>22</v>
      </c>
      <c r="H1389" s="5">
        <v>71</v>
      </c>
      <c r="I1389" s="7">
        <v>912.26</v>
      </c>
      <c r="J1389" s="6">
        <v>45878</v>
      </c>
      <c r="K1389">
        <f t="shared" si="21"/>
        <v>64770.46</v>
      </c>
      <c r="L1389" t="str">
        <f>INDEX(Raw_Shipments!L1389:L3817,MATCH(A1389,Raw_Shipments!B1389:B3817))</f>
        <v>No</v>
      </c>
    </row>
    <row r="1390" spans="1:12" x14ac:dyDescent="0.3">
      <c r="A1390" s="2" t="s">
        <v>1539</v>
      </c>
      <c r="B1390" s="3">
        <v>45872</v>
      </c>
      <c r="C1390" s="2" t="s">
        <v>312</v>
      </c>
      <c r="D1390" s="2" t="s">
        <v>30</v>
      </c>
      <c r="E1390" s="2" t="s">
        <v>86</v>
      </c>
      <c r="F1390" s="2" t="s">
        <v>87</v>
      </c>
      <c r="G1390" s="2" t="s">
        <v>33</v>
      </c>
      <c r="H1390" s="2">
        <v>24</v>
      </c>
      <c r="I1390" s="4">
        <v>815.88</v>
      </c>
      <c r="J1390" s="3">
        <v>45875</v>
      </c>
      <c r="K1390">
        <f t="shared" si="21"/>
        <v>19581.12</v>
      </c>
      <c r="L1390" t="str">
        <f>INDEX(Raw_Shipments!L1390:L3818,MATCH(A1390,Raw_Shipments!B1390:B3818))</f>
        <v>No</v>
      </c>
    </row>
    <row r="1391" spans="1:12" x14ac:dyDescent="0.3">
      <c r="A1391" s="5" t="s">
        <v>1540</v>
      </c>
      <c r="B1391" s="6">
        <v>45873</v>
      </c>
      <c r="C1391" s="5" t="s">
        <v>356</v>
      </c>
      <c r="D1391" s="5" t="s">
        <v>14</v>
      </c>
      <c r="E1391" s="5" t="s">
        <v>58</v>
      </c>
      <c r="F1391" s="5" t="s">
        <v>59</v>
      </c>
      <c r="G1391" s="5" t="s">
        <v>55</v>
      </c>
      <c r="H1391" s="5">
        <v>2</v>
      </c>
      <c r="I1391" s="7">
        <v>1695.1</v>
      </c>
      <c r="J1391" s="6">
        <v>45877</v>
      </c>
      <c r="K1391">
        <f t="shared" si="21"/>
        <v>3390.2</v>
      </c>
      <c r="L1391" t="str">
        <f>INDEX(Raw_Shipments!L1391:L3819,MATCH(A1391,Raw_Shipments!B1391:B3819))</f>
        <v>No</v>
      </c>
    </row>
    <row r="1392" spans="1:12" x14ac:dyDescent="0.3">
      <c r="A1392" s="2" t="s">
        <v>1541</v>
      </c>
      <c r="B1392" s="3">
        <v>45873</v>
      </c>
      <c r="C1392" s="2" t="s">
        <v>232</v>
      </c>
      <c r="D1392" s="2" t="s">
        <v>14</v>
      </c>
      <c r="E1392" s="2" t="s">
        <v>97</v>
      </c>
      <c r="F1392" s="2" t="s">
        <v>98</v>
      </c>
      <c r="G1392" s="2" t="s">
        <v>17</v>
      </c>
      <c r="H1392" s="2">
        <v>20</v>
      </c>
      <c r="I1392" s="4">
        <v>1110.6500000000001</v>
      </c>
      <c r="J1392" s="3">
        <v>45877</v>
      </c>
      <c r="K1392">
        <f t="shared" si="21"/>
        <v>22213</v>
      </c>
      <c r="L1392" t="str">
        <f>INDEX(Raw_Shipments!L1392:L3820,MATCH(A1392,Raw_Shipments!B1392:B3820))</f>
        <v>No</v>
      </c>
    </row>
    <row r="1393" spans="1:12" x14ac:dyDescent="0.3">
      <c r="A1393" s="5" t="s">
        <v>1542</v>
      </c>
      <c r="B1393" s="6">
        <v>45873</v>
      </c>
      <c r="C1393" s="5" t="s">
        <v>238</v>
      </c>
      <c r="D1393" s="5" t="s">
        <v>25</v>
      </c>
      <c r="E1393" s="5" t="s">
        <v>26</v>
      </c>
      <c r="F1393" s="5" t="s">
        <v>27</v>
      </c>
      <c r="G1393" s="5" t="s">
        <v>22</v>
      </c>
      <c r="H1393" s="5">
        <v>24</v>
      </c>
      <c r="I1393" s="7">
        <v>1646.8</v>
      </c>
      <c r="J1393" s="6">
        <v>45883</v>
      </c>
      <c r="K1393">
        <f t="shared" si="21"/>
        <v>39523.199999999997</v>
      </c>
      <c r="L1393" t="str">
        <f>INDEX(Raw_Shipments!L1393:L3821,MATCH(A1393,Raw_Shipments!B1393:B3821))</f>
        <v>No</v>
      </c>
    </row>
    <row r="1394" spans="1:12" x14ac:dyDescent="0.3">
      <c r="A1394" s="2" t="s">
        <v>1543</v>
      </c>
      <c r="B1394" s="3">
        <v>45873</v>
      </c>
      <c r="C1394" s="2" t="s">
        <v>318</v>
      </c>
      <c r="D1394" s="2" t="s">
        <v>45</v>
      </c>
      <c r="E1394" s="2" t="s">
        <v>31</v>
      </c>
      <c r="F1394" s="2" t="s">
        <v>32</v>
      </c>
      <c r="G1394" s="2" t="s">
        <v>33</v>
      </c>
      <c r="H1394" s="2">
        <v>37</v>
      </c>
      <c r="I1394" s="4">
        <v>689</v>
      </c>
      <c r="J1394" s="3">
        <v>45879</v>
      </c>
      <c r="K1394">
        <f t="shared" si="21"/>
        <v>25493</v>
      </c>
      <c r="L1394" t="str">
        <f>INDEX(Raw_Shipments!L1394:L3822,MATCH(A1394,Raw_Shipments!B1394:B3822))</f>
        <v>No</v>
      </c>
    </row>
    <row r="1395" spans="1:12" x14ac:dyDescent="0.3">
      <c r="A1395" s="5" t="s">
        <v>1544</v>
      </c>
      <c r="B1395" s="6">
        <v>45873</v>
      </c>
      <c r="C1395" s="5" t="s">
        <v>85</v>
      </c>
      <c r="D1395" s="5" t="s">
        <v>30</v>
      </c>
      <c r="E1395" s="5" t="s">
        <v>46</v>
      </c>
      <c r="F1395" s="5" t="s">
        <v>47</v>
      </c>
      <c r="G1395" s="5" t="s">
        <v>42</v>
      </c>
      <c r="H1395" s="5">
        <v>3</v>
      </c>
      <c r="I1395" s="7">
        <v>1833.14</v>
      </c>
      <c r="J1395" s="6">
        <v>45876</v>
      </c>
      <c r="K1395">
        <f t="shared" si="21"/>
        <v>5499.42</v>
      </c>
      <c r="L1395" t="str">
        <f>INDEX(Raw_Shipments!L1395:L3823,MATCH(A1395,Raw_Shipments!B1395:B3823))</f>
        <v>No</v>
      </c>
    </row>
    <row r="1396" spans="1:12" x14ac:dyDescent="0.3">
      <c r="A1396" s="2" t="s">
        <v>1545</v>
      </c>
      <c r="B1396" s="3">
        <v>45873</v>
      </c>
      <c r="C1396" s="2" t="s">
        <v>115</v>
      </c>
      <c r="D1396" s="2" t="s">
        <v>25</v>
      </c>
      <c r="E1396" s="2" t="s">
        <v>50</v>
      </c>
      <c r="F1396" s="2" t="s">
        <v>51</v>
      </c>
      <c r="G1396" s="2" t="s">
        <v>42</v>
      </c>
      <c r="H1396" s="2">
        <v>8</v>
      </c>
      <c r="I1396" s="4">
        <v>1952.28</v>
      </c>
      <c r="J1396" s="3">
        <v>45878</v>
      </c>
      <c r="K1396">
        <f t="shared" si="21"/>
        <v>15618.24</v>
      </c>
      <c r="L1396" t="str">
        <f>INDEX(Raw_Shipments!L1396:L3824,MATCH(A1396,Raw_Shipments!B1396:B3824))</f>
        <v>No</v>
      </c>
    </row>
    <row r="1397" spans="1:12" x14ac:dyDescent="0.3">
      <c r="A1397" s="5" t="s">
        <v>1546</v>
      </c>
      <c r="B1397" s="6">
        <v>45874</v>
      </c>
      <c r="C1397" s="5" t="s">
        <v>527</v>
      </c>
      <c r="D1397" s="5" t="s">
        <v>14</v>
      </c>
      <c r="E1397" s="5" t="s">
        <v>53</v>
      </c>
      <c r="F1397" s="5" t="s">
        <v>54</v>
      </c>
      <c r="G1397" s="5" t="s">
        <v>55</v>
      </c>
      <c r="H1397" s="5">
        <v>34</v>
      </c>
      <c r="I1397" s="7">
        <v>2055.9</v>
      </c>
      <c r="J1397" s="6">
        <v>45883</v>
      </c>
      <c r="K1397">
        <f t="shared" si="21"/>
        <v>69900.600000000006</v>
      </c>
      <c r="L1397" t="str">
        <f>INDEX(Raw_Shipments!L1397:L3825,MATCH(A1397,Raw_Shipments!B1397:B3825))</f>
        <v>Yes</v>
      </c>
    </row>
    <row r="1398" spans="1:12" x14ac:dyDescent="0.3">
      <c r="A1398" s="2" t="s">
        <v>1547</v>
      </c>
      <c r="B1398" s="3">
        <v>45874</v>
      </c>
      <c r="C1398" s="2" t="s">
        <v>527</v>
      </c>
      <c r="D1398" s="2" t="s">
        <v>45</v>
      </c>
      <c r="E1398" s="2" t="s">
        <v>58</v>
      </c>
      <c r="F1398" s="2" t="s">
        <v>59</v>
      </c>
      <c r="G1398" s="2" t="s">
        <v>55</v>
      </c>
      <c r="H1398" s="2">
        <v>14</v>
      </c>
      <c r="I1398" s="4">
        <v>1695.1</v>
      </c>
      <c r="J1398" s="3">
        <v>45878</v>
      </c>
      <c r="K1398">
        <f t="shared" si="21"/>
        <v>23731.399999999998</v>
      </c>
      <c r="L1398" t="str">
        <f>INDEX(Raw_Shipments!L1398:L3826,MATCH(A1398,Raw_Shipments!B1398:B3826))</f>
        <v>No</v>
      </c>
    </row>
    <row r="1399" spans="1:12" x14ac:dyDescent="0.3">
      <c r="A1399" s="5" t="s">
        <v>1548</v>
      </c>
      <c r="B1399" s="6">
        <v>45874</v>
      </c>
      <c r="C1399" s="5" t="s">
        <v>248</v>
      </c>
      <c r="D1399" s="5" t="s">
        <v>30</v>
      </c>
      <c r="E1399" s="5" t="s">
        <v>62</v>
      </c>
      <c r="F1399" s="5" t="s">
        <v>63</v>
      </c>
      <c r="G1399" s="5" t="s">
        <v>55</v>
      </c>
      <c r="H1399" s="5">
        <v>35</v>
      </c>
      <c r="I1399" s="7">
        <v>2555.2199999999998</v>
      </c>
      <c r="J1399" s="6">
        <v>45881</v>
      </c>
      <c r="K1399">
        <f t="shared" si="21"/>
        <v>89432.7</v>
      </c>
      <c r="L1399" t="str">
        <f>INDEX(Raw_Shipments!L1399:L3827,MATCH(A1399,Raw_Shipments!B1399:B3827))</f>
        <v>No</v>
      </c>
    </row>
    <row r="1400" spans="1:12" x14ac:dyDescent="0.3">
      <c r="A1400" s="2" t="s">
        <v>1549</v>
      </c>
      <c r="B1400" s="3">
        <v>45874</v>
      </c>
      <c r="C1400" s="2" t="s">
        <v>152</v>
      </c>
      <c r="D1400" s="2" t="s">
        <v>25</v>
      </c>
      <c r="E1400" s="2" t="s">
        <v>66</v>
      </c>
      <c r="F1400" s="2" t="s">
        <v>67</v>
      </c>
      <c r="G1400" s="2" t="s">
        <v>17</v>
      </c>
      <c r="H1400" s="2">
        <v>12</v>
      </c>
      <c r="I1400" s="4">
        <v>850.8</v>
      </c>
      <c r="J1400" s="3">
        <v>45879</v>
      </c>
      <c r="K1400">
        <f t="shared" si="21"/>
        <v>10209.599999999999</v>
      </c>
      <c r="L1400" t="str">
        <f>INDEX(Raw_Shipments!L1400:L3828,MATCH(A1400,Raw_Shipments!B1400:B3828))</f>
        <v>No</v>
      </c>
    </row>
    <row r="1401" spans="1:12" x14ac:dyDescent="0.3">
      <c r="A1401" s="5" t="s">
        <v>1550</v>
      </c>
      <c r="B1401" s="6">
        <v>45874</v>
      </c>
      <c r="C1401" s="5" t="s">
        <v>39</v>
      </c>
      <c r="D1401" s="5" t="s">
        <v>30</v>
      </c>
      <c r="E1401" s="5" t="s">
        <v>97</v>
      </c>
      <c r="F1401" s="5" t="s">
        <v>98</v>
      </c>
      <c r="G1401" s="5" t="s">
        <v>17</v>
      </c>
      <c r="H1401" s="5">
        <v>37</v>
      </c>
      <c r="I1401" s="7">
        <v>1110.6500000000001</v>
      </c>
      <c r="J1401" s="6">
        <v>45884</v>
      </c>
      <c r="K1401">
        <f t="shared" si="21"/>
        <v>41094.050000000003</v>
      </c>
      <c r="L1401" t="str">
        <f>INDEX(Raw_Shipments!L1401:L3829,MATCH(A1401,Raw_Shipments!B1401:B3829))</f>
        <v>Yes</v>
      </c>
    </row>
    <row r="1402" spans="1:12" x14ac:dyDescent="0.3">
      <c r="A1402" s="2" t="s">
        <v>1551</v>
      </c>
      <c r="B1402" s="3">
        <v>45874</v>
      </c>
      <c r="C1402" s="2" t="s">
        <v>172</v>
      </c>
      <c r="D1402" s="2" t="s">
        <v>14</v>
      </c>
      <c r="E1402" s="2" t="s">
        <v>15</v>
      </c>
      <c r="F1402" s="2" t="s">
        <v>16</v>
      </c>
      <c r="G1402" s="2" t="s">
        <v>17</v>
      </c>
      <c r="H1402" s="2">
        <v>11</v>
      </c>
      <c r="I1402" s="4">
        <v>183.06</v>
      </c>
      <c r="J1402" s="3">
        <v>45882</v>
      </c>
      <c r="K1402">
        <f t="shared" si="21"/>
        <v>2013.66</v>
      </c>
      <c r="L1402" t="str">
        <f>INDEX(Raw_Shipments!L1402:L3830,MATCH(A1402,Raw_Shipments!B1402:B3830))</f>
        <v>Yes</v>
      </c>
    </row>
    <row r="1403" spans="1:12" x14ac:dyDescent="0.3">
      <c r="A1403" s="5" t="s">
        <v>1552</v>
      </c>
      <c r="B1403" s="6">
        <v>45874</v>
      </c>
      <c r="C1403" s="5" t="s">
        <v>104</v>
      </c>
      <c r="D1403" s="5" t="s">
        <v>14</v>
      </c>
      <c r="E1403" s="5" t="s">
        <v>20</v>
      </c>
      <c r="F1403" s="5" t="s">
        <v>21</v>
      </c>
      <c r="G1403" s="5" t="s">
        <v>22</v>
      </c>
      <c r="H1403" s="5">
        <v>18</v>
      </c>
      <c r="I1403" s="7">
        <v>2108.56</v>
      </c>
      <c r="J1403" s="6">
        <v>45881</v>
      </c>
      <c r="K1403">
        <f t="shared" si="21"/>
        <v>37954.080000000002</v>
      </c>
      <c r="L1403" t="str">
        <f>INDEX(Raw_Shipments!L1403:L3831,MATCH(A1403,Raw_Shipments!B1403:B3831))</f>
        <v>No</v>
      </c>
    </row>
    <row r="1404" spans="1:12" x14ac:dyDescent="0.3">
      <c r="A1404" s="2" t="s">
        <v>1553</v>
      </c>
      <c r="B1404" s="3">
        <v>45874</v>
      </c>
      <c r="C1404" s="2" t="s">
        <v>109</v>
      </c>
      <c r="D1404" s="2" t="s">
        <v>14</v>
      </c>
      <c r="E1404" s="2" t="s">
        <v>119</v>
      </c>
      <c r="F1404" s="2" t="s">
        <v>120</v>
      </c>
      <c r="G1404" s="2" t="s">
        <v>22</v>
      </c>
      <c r="H1404" s="2">
        <v>39</v>
      </c>
      <c r="I1404" s="4">
        <v>912.26</v>
      </c>
      <c r="J1404" s="3">
        <v>45879</v>
      </c>
      <c r="K1404">
        <f t="shared" si="21"/>
        <v>35578.14</v>
      </c>
      <c r="L1404" t="str">
        <f>INDEX(Raw_Shipments!L1404:L3832,MATCH(A1404,Raw_Shipments!B1404:B3832))</f>
        <v>No</v>
      </c>
    </row>
    <row r="1405" spans="1:12" x14ac:dyDescent="0.3">
      <c r="A1405" s="5" t="s">
        <v>1554</v>
      </c>
      <c r="B1405" s="6">
        <v>45874</v>
      </c>
      <c r="C1405" s="5" t="s">
        <v>217</v>
      </c>
      <c r="D1405" s="5" t="s">
        <v>30</v>
      </c>
      <c r="E1405" s="5" t="s">
        <v>86</v>
      </c>
      <c r="F1405" s="5" t="s">
        <v>87</v>
      </c>
      <c r="G1405" s="5" t="s">
        <v>33</v>
      </c>
      <c r="H1405" s="5">
        <v>6</v>
      </c>
      <c r="I1405" s="7">
        <v>815.88</v>
      </c>
      <c r="J1405" s="6">
        <v>45884</v>
      </c>
      <c r="K1405">
        <f t="shared" si="21"/>
        <v>4895.28</v>
      </c>
      <c r="L1405" t="str">
        <f>INDEX(Raw_Shipments!L1405:L3833,MATCH(A1405,Raw_Shipments!B1405:B3833))</f>
        <v>No</v>
      </c>
    </row>
    <row r="1406" spans="1:12" x14ac:dyDescent="0.3">
      <c r="A1406" s="2" t="s">
        <v>1555</v>
      </c>
      <c r="B1406" s="3">
        <v>45874</v>
      </c>
      <c r="C1406" s="2" t="s">
        <v>268</v>
      </c>
      <c r="D1406" s="2" t="s">
        <v>45</v>
      </c>
      <c r="E1406" s="2" t="s">
        <v>50</v>
      </c>
      <c r="F1406" s="2" t="s">
        <v>51</v>
      </c>
      <c r="G1406" s="2" t="s">
        <v>42</v>
      </c>
      <c r="H1406" s="2">
        <v>9</v>
      </c>
      <c r="I1406" s="4">
        <v>1952.28</v>
      </c>
      <c r="J1406" s="3">
        <v>45883</v>
      </c>
      <c r="K1406">
        <f t="shared" si="21"/>
        <v>17570.52</v>
      </c>
      <c r="L1406" t="str">
        <f>INDEX(Raw_Shipments!L1406:L3834,MATCH(A1406,Raw_Shipments!B1406:B3834))</f>
        <v>No</v>
      </c>
    </row>
    <row r="1407" spans="1:12" x14ac:dyDescent="0.3">
      <c r="A1407" s="5" t="s">
        <v>1556</v>
      </c>
      <c r="B1407" s="6">
        <v>45875</v>
      </c>
      <c r="C1407" s="5" t="s">
        <v>331</v>
      </c>
      <c r="D1407" s="5" t="s">
        <v>45</v>
      </c>
      <c r="E1407" s="5" t="s">
        <v>62</v>
      </c>
      <c r="F1407" s="5" t="s">
        <v>63</v>
      </c>
      <c r="G1407" s="5" t="s">
        <v>55</v>
      </c>
      <c r="H1407" s="5">
        <v>10</v>
      </c>
      <c r="I1407" s="7">
        <v>2555.2199999999998</v>
      </c>
      <c r="J1407" s="6">
        <v>45883</v>
      </c>
      <c r="K1407">
        <f t="shared" si="21"/>
        <v>25552.199999999997</v>
      </c>
      <c r="L1407" t="str">
        <f>INDEX(Raw_Shipments!L1407:L3835,MATCH(A1407,Raw_Shipments!B1407:B3835))</f>
        <v>No</v>
      </c>
    </row>
    <row r="1408" spans="1:12" x14ac:dyDescent="0.3">
      <c r="A1408" s="2" t="s">
        <v>1557</v>
      </c>
      <c r="B1408" s="3">
        <v>45875</v>
      </c>
      <c r="C1408" s="2" t="s">
        <v>102</v>
      </c>
      <c r="D1408" s="2" t="s">
        <v>30</v>
      </c>
      <c r="E1408" s="2" t="s">
        <v>97</v>
      </c>
      <c r="F1408" s="2" t="s">
        <v>98</v>
      </c>
      <c r="G1408" s="2" t="s">
        <v>17</v>
      </c>
      <c r="H1408" s="2">
        <v>23</v>
      </c>
      <c r="I1408" s="4">
        <v>1110.6500000000001</v>
      </c>
      <c r="J1408" s="3">
        <v>45878</v>
      </c>
      <c r="K1408">
        <f t="shared" si="21"/>
        <v>25544.95</v>
      </c>
      <c r="L1408" t="str">
        <f>INDEX(Raw_Shipments!L1408:L3836,MATCH(A1408,Raw_Shipments!B1408:B3836))</f>
        <v>No</v>
      </c>
    </row>
    <row r="1409" spans="1:12" x14ac:dyDescent="0.3">
      <c r="A1409" s="5" t="s">
        <v>1558</v>
      </c>
      <c r="B1409" s="6">
        <v>45875</v>
      </c>
      <c r="C1409" s="5" t="s">
        <v>510</v>
      </c>
      <c r="D1409" s="5" t="s">
        <v>30</v>
      </c>
      <c r="E1409" s="5" t="s">
        <v>15</v>
      </c>
      <c r="F1409" s="5" t="s">
        <v>16</v>
      </c>
      <c r="G1409" s="5" t="s">
        <v>17</v>
      </c>
      <c r="H1409" s="5">
        <v>10</v>
      </c>
      <c r="I1409" s="7">
        <v>183.06</v>
      </c>
      <c r="J1409" s="6">
        <v>45885</v>
      </c>
      <c r="K1409">
        <f t="shared" si="21"/>
        <v>1830.6</v>
      </c>
      <c r="L1409" t="str">
        <f>INDEX(Raw_Shipments!L1409:L3837,MATCH(A1409,Raw_Shipments!B1409:B3837))</f>
        <v>Yes</v>
      </c>
    </row>
    <row r="1410" spans="1:12" x14ac:dyDescent="0.3">
      <c r="A1410" s="2" t="s">
        <v>1559</v>
      </c>
      <c r="B1410" s="3">
        <v>45875</v>
      </c>
      <c r="C1410" s="2" t="s">
        <v>29</v>
      </c>
      <c r="D1410" s="2" t="s">
        <v>45</v>
      </c>
      <c r="E1410" s="2" t="s">
        <v>20</v>
      </c>
      <c r="F1410" s="2" t="s">
        <v>21</v>
      </c>
      <c r="G1410" s="2" t="s">
        <v>22</v>
      </c>
      <c r="H1410" s="2">
        <v>17</v>
      </c>
      <c r="I1410" s="4">
        <v>2108.56</v>
      </c>
      <c r="J1410" s="3">
        <v>45881</v>
      </c>
      <c r="K1410">
        <f t="shared" si="21"/>
        <v>35845.519999999997</v>
      </c>
      <c r="L1410" t="str">
        <f>INDEX(Raw_Shipments!L1410:L3838,MATCH(A1410,Raw_Shipments!B1410:B3838))</f>
        <v>No</v>
      </c>
    </row>
    <row r="1411" spans="1:12" x14ac:dyDescent="0.3">
      <c r="A1411" s="5" t="s">
        <v>1560</v>
      </c>
      <c r="B1411" s="6">
        <v>45875</v>
      </c>
      <c r="C1411" s="5" t="s">
        <v>595</v>
      </c>
      <c r="D1411" s="5" t="s">
        <v>30</v>
      </c>
      <c r="E1411" s="5" t="s">
        <v>31</v>
      </c>
      <c r="F1411" s="5" t="s">
        <v>32</v>
      </c>
      <c r="G1411" s="5" t="s">
        <v>33</v>
      </c>
      <c r="H1411" s="5">
        <v>51</v>
      </c>
      <c r="I1411" s="7">
        <v>689</v>
      </c>
      <c r="J1411" s="6">
        <v>45884</v>
      </c>
      <c r="K1411">
        <f t="shared" ref="K1411:K1474" si="22">I1411*H1411</f>
        <v>35139</v>
      </c>
      <c r="L1411" t="str">
        <f>INDEX(Raw_Shipments!L1411:L3839,MATCH(A1411,Raw_Shipments!B1411:B3839))</f>
        <v>No</v>
      </c>
    </row>
    <row r="1412" spans="1:12" x14ac:dyDescent="0.3">
      <c r="A1412" s="2" t="s">
        <v>1561</v>
      </c>
      <c r="B1412" s="3">
        <v>45875</v>
      </c>
      <c r="C1412" s="2" t="s">
        <v>113</v>
      </c>
      <c r="D1412" s="2" t="s">
        <v>45</v>
      </c>
      <c r="E1412" s="2" t="s">
        <v>50</v>
      </c>
      <c r="F1412" s="2" t="s">
        <v>51</v>
      </c>
      <c r="G1412" s="2" t="s">
        <v>42</v>
      </c>
      <c r="H1412" s="2">
        <v>13</v>
      </c>
      <c r="I1412" s="4">
        <v>1952.28</v>
      </c>
      <c r="J1412" s="3">
        <v>45880</v>
      </c>
      <c r="K1412">
        <f t="shared" si="22"/>
        <v>25379.64</v>
      </c>
      <c r="L1412" t="str">
        <f>INDEX(Raw_Shipments!L1412:L3840,MATCH(A1412,Raw_Shipments!B1412:B3840))</f>
        <v>No</v>
      </c>
    </row>
    <row r="1413" spans="1:12" x14ac:dyDescent="0.3">
      <c r="A1413" s="5" t="s">
        <v>1562</v>
      </c>
      <c r="B1413" s="6">
        <v>45876</v>
      </c>
      <c r="C1413" s="5" t="s">
        <v>29</v>
      </c>
      <c r="D1413" s="5" t="s">
        <v>14</v>
      </c>
      <c r="E1413" s="5" t="s">
        <v>53</v>
      </c>
      <c r="F1413" s="5" t="s">
        <v>54</v>
      </c>
      <c r="G1413" s="5" t="s">
        <v>55</v>
      </c>
      <c r="H1413" s="5">
        <v>32</v>
      </c>
      <c r="I1413" s="7">
        <v>2055.9</v>
      </c>
      <c r="J1413" s="6">
        <v>45879</v>
      </c>
      <c r="K1413">
        <f t="shared" si="22"/>
        <v>65788.800000000003</v>
      </c>
      <c r="L1413" t="str">
        <f>INDEX(Raw_Shipments!L1413:L3841,MATCH(A1413,Raw_Shipments!B1413:B3841))</f>
        <v>No</v>
      </c>
    </row>
    <row r="1414" spans="1:12" x14ac:dyDescent="0.3">
      <c r="A1414" s="2" t="s">
        <v>1563</v>
      </c>
      <c r="B1414" s="3">
        <v>45876</v>
      </c>
      <c r="C1414" s="2" t="s">
        <v>111</v>
      </c>
      <c r="D1414" s="2" t="s">
        <v>30</v>
      </c>
      <c r="E1414" s="2" t="s">
        <v>62</v>
      </c>
      <c r="F1414" s="2" t="s">
        <v>63</v>
      </c>
      <c r="G1414" s="2" t="s">
        <v>55</v>
      </c>
      <c r="H1414" s="2">
        <v>31</v>
      </c>
      <c r="I1414" s="4">
        <v>2555.2199999999998</v>
      </c>
      <c r="J1414" s="3">
        <v>45879</v>
      </c>
      <c r="K1414">
        <f t="shared" si="22"/>
        <v>79211.819999999992</v>
      </c>
      <c r="L1414" t="str">
        <f>INDEX(Raw_Shipments!L1414:L3842,MATCH(A1414,Raw_Shipments!B1414:B3842))</f>
        <v>No</v>
      </c>
    </row>
    <row r="1415" spans="1:12" x14ac:dyDescent="0.3">
      <c r="A1415" s="5" t="s">
        <v>1564</v>
      </c>
      <c r="B1415" s="6">
        <v>45876</v>
      </c>
      <c r="C1415" s="5" t="s">
        <v>65</v>
      </c>
      <c r="D1415" s="5" t="s">
        <v>45</v>
      </c>
      <c r="E1415" s="5" t="s">
        <v>20</v>
      </c>
      <c r="F1415" s="5" t="s">
        <v>21</v>
      </c>
      <c r="G1415" s="5" t="s">
        <v>22</v>
      </c>
      <c r="H1415" s="5">
        <v>12</v>
      </c>
      <c r="I1415" s="7">
        <v>2108.56</v>
      </c>
      <c r="J1415" s="6">
        <v>45885</v>
      </c>
      <c r="K1415">
        <f t="shared" si="22"/>
        <v>25302.720000000001</v>
      </c>
      <c r="L1415" t="str">
        <f>INDEX(Raw_Shipments!L1415:L3843,MATCH(A1415,Raw_Shipments!B1415:B3843))</f>
        <v>No</v>
      </c>
    </row>
    <row r="1416" spans="1:12" x14ac:dyDescent="0.3">
      <c r="A1416" s="2" t="s">
        <v>1565</v>
      </c>
      <c r="B1416" s="3">
        <v>45876</v>
      </c>
      <c r="C1416" s="2" t="s">
        <v>91</v>
      </c>
      <c r="D1416" s="2" t="s">
        <v>30</v>
      </c>
      <c r="E1416" s="2" t="s">
        <v>31</v>
      </c>
      <c r="F1416" s="2" t="s">
        <v>32</v>
      </c>
      <c r="G1416" s="2" t="s">
        <v>33</v>
      </c>
      <c r="H1416" s="2">
        <v>37</v>
      </c>
      <c r="I1416" s="4">
        <v>689</v>
      </c>
      <c r="J1416" s="3">
        <v>45884</v>
      </c>
      <c r="K1416">
        <f t="shared" si="22"/>
        <v>25493</v>
      </c>
      <c r="L1416" t="str">
        <f>INDEX(Raw_Shipments!L1416:L3844,MATCH(A1416,Raw_Shipments!B1416:B3844))</f>
        <v>Yes</v>
      </c>
    </row>
    <row r="1417" spans="1:12" x14ac:dyDescent="0.3">
      <c r="A1417" s="5" t="s">
        <v>1566</v>
      </c>
      <c r="B1417" s="6">
        <v>45876</v>
      </c>
      <c r="C1417" s="5" t="s">
        <v>420</v>
      </c>
      <c r="D1417" s="5" t="s">
        <v>45</v>
      </c>
      <c r="E1417" s="5" t="s">
        <v>36</v>
      </c>
      <c r="F1417" s="5" t="s">
        <v>37</v>
      </c>
      <c r="G1417" s="5" t="s">
        <v>33</v>
      </c>
      <c r="H1417" s="5">
        <v>49</v>
      </c>
      <c r="I1417" s="7">
        <v>1064.79</v>
      </c>
      <c r="J1417" s="6">
        <v>45879</v>
      </c>
      <c r="K1417">
        <f t="shared" si="22"/>
        <v>52174.71</v>
      </c>
      <c r="L1417" t="str">
        <f>INDEX(Raw_Shipments!L1417:L3845,MATCH(A1417,Raw_Shipments!B1417:B3845))</f>
        <v>No</v>
      </c>
    </row>
    <row r="1418" spans="1:12" x14ac:dyDescent="0.3">
      <c r="A1418" s="2" t="s">
        <v>1567</v>
      </c>
      <c r="B1418" s="3">
        <v>45876</v>
      </c>
      <c r="C1418" s="2" t="s">
        <v>220</v>
      </c>
      <c r="D1418" s="2" t="s">
        <v>25</v>
      </c>
      <c r="E1418" s="2" t="s">
        <v>86</v>
      </c>
      <c r="F1418" s="2" t="s">
        <v>87</v>
      </c>
      <c r="G1418" s="2" t="s">
        <v>33</v>
      </c>
      <c r="H1418" s="2">
        <v>22</v>
      </c>
      <c r="I1418" s="4">
        <v>815.88</v>
      </c>
      <c r="J1418" s="3">
        <v>45883</v>
      </c>
      <c r="K1418">
        <f t="shared" si="22"/>
        <v>17949.36</v>
      </c>
      <c r="L1418" t="str">
        <f>INDEX(Raw_Shipments!L1418:L3846,MATCH(A1418,Raw_Shipments!B1418:B3846))</f>
        <v>Yes</v>
      </c>
    </row>
    <row r="1419" spans="1:12" x14ac:dyDescent="0.3">
      <c r="A1419" s="5" t="s">
        <v>1568</v>
      </c>
      <c r="B1419" s="6">
        <v>45876</v>
      </c>
      <c r="C1419" s="5" t="s">
        <v>93</v>
      </c>
      <c r="D1419" s="5" t="s">
        <v>30</v>
      </c>
      <c r="E1419" s="5" t="s">
        <v>46</v>
      </c>
      <c r="F1419" s="5" t="s">
        <v>47</v>
      </c>
      <c r="G1419" s="5" t="s">
        <v>42</v>
      </c>
      <c r="H1419" s="5">
        <v>5</v>
      </c>
      <c r="I1419" s="7">
        <v>1833.14</v>
      </c>
      <c r="J1419" s="6">
        <v>45881</v>
      </c>
      <c r="K1419">
        <f t="shared" si="22"/>
        <v>9165.7000000000007</v>
      </c>
      <c r="L1419" t="str">
        <f>INDEX(Raw_Shipments!L1419:L3847,MATCH(A1419,Raw_Shipments!B1419:B3847))</f>
        <v>No</v>
      </c>
    </row>
    <row r="1420" spans="1:12" x14ac:dyDescent="0.3">
      <c r="A1420" s="2" t="s">
        <v>1569</v>
      </c>
      <c r="B1420" s="3">
        <v>45876</v>
      </c>
      <c r="C1420" s="2" t="s">
        <v>279</v>
      </c>
      <c r="D1420" s="2" t="s">
        <v>14</v>
      </c>
      <c r="E1420" s="2" t="s">
        <v>50</v>
      </c>
      <c r="F1420" s="2" t="s">
        <v>51</v>
      </c>
      <c r="G1420" s="2" t="s">
        <v>42</v>
      </c>
      <c r="H1420" s="2">
        <v>8</v>
      </c>
      <c r="I1420" s="4">
        <v>1952.28</v>
      </c>
      <c r="J1420" s="3">
        <v>45879</v>
      </c>
      <c r="K1420">
        <f t="shared" si="22"/>
        <v>15618.24</v>
      </c>
      <c r="L1420" t="str">
        <f>INDEX(Raw_Shipments!L1420:L3848,MATCH(A1420,Raw_Shipments!B1420:B3848))</f>
        <v>No</v>
      </c>
    </row>
    <row r="1421" spans="1:12" x14ac:dyDescent="0.3">
      <c r="A1421" s="5" t="s">
        <v>1570</v>
      </c>
      <c r="B1421" s="6">
        <v>45877</v>
      </c>
      <c r="C1421" s="5" t="s">
        <v>89</v>
      </c>
      <c r="D1421" s="5" t="s">
        <v>25</v>
      </c>
      <c r="E1421" s="5" t="s">
        <v>53</v>
      </c>
      <c r="F1421" s="5" t="s">
        <v>54</v>
      </c>
      <c r="G1421" s="5" t="s">
        <v>55</v>
      </c>
      <c r="H1421" s="5">
        <v>38</v>
      </c>
      <c r="I1421" s="7">
        <v>2055.9</v>
      </c>
      <c r="J1421" s="6">
        <v>45885</v>
      </c>
      <c r="K1421">
        <f t="shared" si="22"/>
        <v>78124.2</v>
      </c>
      <c r="L1421" t="str">
        <f>INDEX(Raw_Shipments!L1421:L3849,MATCH(A1421,Raw_Shipments!B1421:B3849))</f>
        <v>No</v>
      </c>
    </row>
    <row r="1422" spans="1:12" x14ac:dyDescent="0.3">
      <c r="A1422" s="2" t="s">
        <v>1571</v>
      </c>
      <c r="B1422" s="3">
        <v>45877</v>
      </c>
      <c r="C1422" s="2" t="s">
        <v>49</v>
      </c>
      <c r="D1422" s="2" t="s">
        <v>14</v>
      </c>
      <c r="E1422" s="2" t="s">
        <v>58</v>
      </c>
      <c r="F1422" s="2" t="s">
        <v>59</v>
      </c>
      <c r="G1422" s="2" t="s">
        <v>55</v>
      </c>
      <c r="H1422" s="2">
        <v>16</v>
      </c>
      <c r="I1422" s="4">
        <v>1695.1</v>
      </c>
      <c r="J1422" s="3">
        <v>45881</v>
      </c>
      <c r="K1422">
        <f t="shared" si="22"/>
        <v>27121.599999999999</v>
      </c>
      <c r="L1422" t="str">
        <f>INDEX(Raw_Shipments!L1422:L3850,MATCH(A1422,Raw_Shipments!B1422:B3850))</f>
        <v>No</v>
      </c>
    </row>
    <row r="1423" spans="1:12" x14ac:dyDescent="0.3">
      <c r="A1423" s="5" t="s">
        <v>1572</v>
      </c>
      <c r="B1423" s="6">
        <v>45877</v>
      </c>
      <c r="C1423" s="5" t="s">
        <v>213</v>
      </c>
      <c r="D1423" s="5" t="s">
        <v>30</v>
      </c>
      <c r="E1423" s="5" t="s">
        <v>97</v>
      </c>
      <c r="F1423" s="5" t="s">
        <v>98</v>
      </c>
      <c r="G1423" s="5" t="s">
        <v>17</v>
      </c>
      <c r="H1423" s="5">
        <v>39</v>
      </c>
      <c r="I1423" s="7">
        <v>1110.6500000000001</v>
      </c>
      <c r="J1423" s="6">
        <v>45883</v>
      </c>
      <c r="K1423">
        <f t="shared" si="22"/>
        <v>43315.350000000006</v>
      </c>
      <c r="L1423" t="str">
        <f>INDEX(Raw_Shipments!L1423:L3851,MATCH(A1423,Raw_Shipments!B1423:B3851))</f>
        <v>Yes</v>
      </c>
    </row>
    <row r="1424" spans="1:12" x14ac:dyDescent="0.3">
      <c r="A1424" s="2" t="s">
        <v>1573</v>
      </c>
      <c r="B1424" s="3">
        <v>45877</v>
      </c>
      <c r="C1424" s="2" t="s">
        <v>150</v>
      </c>
      <c r="D1424" s="2" t="s">
        <v>14</v>
      </c>
      <c r="E1424" s="2" t="s">
        <v>20</v>
      </c>
      <c r="F1424" s="2" t="s">
        <v>21</v>
      </c>
      <c r="G1424" s="2" t="s">
        <v>22</v>
      </c>
      <c r="H1424" s="2">
        <v>9</v>
      </c>
      <c r="I1424" s="4">
        <v>2108.56</v>
      </c>
      <c r="J1424" s="3">
        <v>45887</v>
      </c>
      <c r="K1424">
        <f t="shared" si="22"/>
        <v>18977.04</v>
      </c>
      <c r="L1424" t="str">
        <f>INDEX(Raw_Shipments!L1424:L3852,MATCH(A1424,Raw_Shipments!B1424:B3852))</f>
        <v>Yes</v>
      </c>
    </row>
    <row r="1425" spans="1:12" x14ac:dyDescent="0.3">
      <c r="A1425" s="5" t="s">
        <v>1574</v>
      </c>
      <c r="B1425" s="6">
        <v>45877</v>
      </c>
      <c r="C1425" s="5" t="s">
        <v>213</v>
      </c>
      <c r="D1425" s="5" t="s">
        <v>30</v>
      </c>
      <c r="E1425" s="5" t="s">
        <v>26</v>
      </c>
      <c r="F1425" s="5" t="s">
        <v>27</v>
      </c>
      <c r="G1425" s="5" t="s">
        <v>22</v>
      </c>
      <c r="H1425" s="5">
        <v>17</v>
      </c>
      <c r="I1425" s="7">
        <v>1646.8</v>
      </c>
      <c r="J1425" s="6">
        <v>45882</v>
      </c>
      <c r="K1425">
        <f t="shared" si="22"/>
        <v>27995.599999999999</v>
      </c>
      <c r="L1425" t="str">
        <f>INDEX(Raw_Shipments!L1425:L3853,MATCH(A1425,Raw_Shipments!B1425:B3853))</f>
        <v>No</v>
      </c>
    </row>
    <row r="1426" spans="1:12" x14ac:dyDescent="0.3">
      <c r="A1426" s="2" t="s">
        <v>1575</v>
      </c>
      <c r="B1426" s="3">
        <v>45877</v>
      </c>
      <c r="C1426" s="2" t="s">
        <v>356</v>
      </c>
      <c r="D1426" s="2" t="s">
        <v>30</v>
      </c>
      <c r="E1426" s="2" t="s">
        <v>36</v>
      </c>
      <c r="F1426" s="2" t="s">
        <v>37</v>
      </c>
      <c r="G1426" s="2" t="s">
        <v>33</v>
      </c>
      <c r="H1426" s="2">
        <v>57</v>
      </c>
      <c r="I1426" s="4">
        <v>1064.79</v>
      </c>
      <c r="J1426" s="3">
        <v>45885</v>
      </c>
      <c r="K1426">
        <f t="shared" si="22"/>
        <v>60693.03</v>
      </c>
      <c r="L1426" t="str">
        <f>INDEX(Raw_Shipments!L1426:L3854,MATCH(A1426,Raw_Shipments!B1426:B3854))</f>
        <v>Yes</v>
      </c>
    </row>
    <row r="1427" spans="1:12" x14ac:dyDescent="0.3">
      <c r="A1427" s="5" t="s">
        <v>1576</v>
      </c>
      <c r="B1427" s="6">
        <v>45877</v>
      </c>
      <c r="C1427" s="5" t="s">
        <v>222</v>
      </c>
      <c r="D1427" s="5" t="s">
        <v>30</v>
      </c>
      <c r="E1427" s="5" t="s">
        <v>40</v>
      </c>
      <c r="F1427" s="5" t="s">
        <v>41</v>
      </c>
      <c r="G1427" s="5" t="s">
        <v>42</v>
      </c>
      <c r="H1427" s="5">
        <v>13</v>
      </c>
      <c r="I1427" s="7">
        <v>2445.11</v>
      </c>
      <c r="J1427" s="6">
        <v>45886</v>
      </c>
      <c r="K1427">
        <f t="shared" si="22"/>
        <v>31786.43</v>
      </c>
      <c r="L1427" t="str">
        <f>INDEX(Raw_Shipments!L1427:L3855,MATCH(A1427,Raw_Shipments!B1427:B3855))</f>
        <v>No</v>
      </c>
    </row>
    <row r="1428" spans="1:12" x14ac:dyDescent="0.3">
      <c r="A1428" s="2" t="s">
        <v>1577</v>
      </c>
      <c r="B1428" s="3">
        <v>45877</v>
      </c>
      <c r="C1428" s="2" t="s">
        <v>240</v>
      </c>
      <c r="D1428" s="2" t="s">
        <v>25</v>
      </c>
      <c r="E1428" s="2" t="s">
        <v>46</v>
      </c>
      <c r="F1428" s="2" t="s">
        <v>47</v>
      </c>
      <c r="G1428" s="2" t="s">
        <v>42</v>
      </c>
      <c r="H1428" s="2">
        <v>8</v>
      </c>
      <c r="I1428" s="4">
        <v>1833.14</v>
      </c>
      <c r="J1428" s="3">
        <v>45880</v>
      </c>
      <c r="K1428">
        <f t="shared" si="22"/>
        <v>14665.12</v>
      </c>
      <c r="L1428" t="str">
        <f>INDEX(Raw_Shipments!L1428:L3856,MATCH(A1428,Raw_Shipments!B1428:B3856))</f>
        <v>No</v>
      </c>
    </row>
    <row r="1429" spans="1:12" x14ac:dyDescent="0.3">
      <c r="A1429" s="5" t="s">
        <v>1578</v>
      </c>
      <c r="B1429" s="6">
        <v>45878</v>
      </c>
      <c r="C1429" s="5" t="s">
        <v>195</v>
      </c>
      <c r="D1429" s="5" t="s">
        <v>45</v>
      </c>
      <c r="E1429" s="5" t="s">
        <v>53</v>
      </c>
      <c r="F1429" s="5" t="s">
        <v>54</v>
      </c>
      <c r="G1429" s="5" t="s">
        <v>55</v>
      </c>
      <c r="H1429" s="5">
        <v>27</v>
      </c>
      <c r="I1429" s="7">
        <v>2055.9</v>
      </c>
      <c r="J1429" s="6">
        <v>45881</v>
      </c>
      <c r="K1429">
        <f t="shared" si="22"/>
        <v>55509.3</v>
      </c>
      <c r="L1429" t="str">
        <f>INDEX(Raw_Shipments!L1429:L3857,MATCH(A1429,Raw_Shipments!B1429:B3857))</f>
        <v>No</v>
      </c>
    </row>
    <row r="1430" spans="1:12" x14ac:dyDescent="0.3">
      <c r="A1430" s="2" t="s">
        <v>1579</v>
      </c>
      <c r="B1430" s="3">
        <v>45878</v>
      </c>
      <c r="C1430" s="2" t="s">
        <v>240</v>
      </c>
      <c r="D1430" s="2" t="s">
        <v>30</v>
      </c>
      <c r="E1430" s="2" t="s">
        <v>97</v>
      </c>
      <c r="F1430" s="2" t="s">
        <v>98</v>
      </c>
      <c r="G1430" s="2" t="s">
        <v>17</v>
      </c>
      <c r="H1430" s="2">
        <v>19</v>
      </c>
      <c r="I1430" s="4">
        <v>1110.6500000000001</v>
      </c>
      <c r="J1430" s="3">
        <v>45882</v>
      </c>
      <c r="K1430">
        <f t="shared" si="22"/>
        <v>21102.350000000002</v>
      </c>
      <c r="L1430" t="str">
        <f>INDEX(Raw_Shipments!L1430:L3858,MATCH(A1430,Raw_Shipments!B1430:B3858))</f>
        <v>No</v>
      </c>
    </row>
    <row r="1431" spans="1:12" x14ac:dyDescent="0.3">
      <c r="A1431" s="5" t="s">
        <v>1580</v>
      </c>
      <c r="B1431" s="6">
        <v>45878</v>
      </c>
      <c r="C1431" s="5" t="s">
        <v>115</v>
      </c>
      <c r="D1431" s="5" t="s">
        <v>25</v>
      </c>
      <c r="E1431" s="5" t="s">
        <v>20</v>
      </c>
      <c r="F1431" s="5" t="s">
        <v>21</v>
      </c>
      <c r="G1431" s="5" t="s">
        <v>22</v>
      </c>
      <c r="H1431" s="5">
        <v>5</v>
      </c>
      <c r="I1431" s="7">
        <v>2108.56</v>
      </c>
      <c r="J1431" s="6">
        <v>45887</v>
      </c>
      <c r="K1431">
        <f t="shared" si="22"/>
        <v>10542.8</v>
      </c>
      <c r="L1431" t="str">
        <f>INDEX(Raw_Shipments!L1431:L3859,MATCH(A1431,Raw_Shipments!B1431:B3859))</f>
        <v>Yes</v>
      </c>
    </row>
    <row r="1432" spans="1:12" x14ac:dyDescent="0.3">
      <c r="A1432" s="2" t="s">
        <v>1581</v>
      </c>
      <c r="B1432" s="3">
        <v>45878</v>
      </c>
      <c r="C1432" s="2" t="s">
        <v>418</v>
      </c>
      <c r="D1432" s="2" t="s">
        <v>30</v>
      </c>
      <c r="E1432" s="2" t="s">
        <v>119</v>
      </c>
      <c r="F1432" s="2" t="s">
        <v>120</v>
      </c>
      <c r="G1432" s="2" t="s">
        <v>22</v>
      </c>
      <c r="H1432" s="2">
        <v>58</v>
      </c>
      <c r="I1432" s="4">
        <v>912.26</v>
      </c>
      <c r="J1432" s="3">
        <v>45881</v>
      </c>
      <c r="K1432">
        <f t="shared" si="22"/>
        <v>52911.08</v>
      </c>
      <c r="L1432" t="str">
        <f>INDEX(Raw_Shipments!L1432:L3860,MATCH(A1432,Raw_Shipments!B1432:B3860))</f>
        <v>No</v>
      </c>
    </row>
    <row r="1433" spans="1:12" x14ac:dyDescent="0.3">
      <c r="A1433" s="5" t="s">
        <v>1582</v>
      </c>
      <c r="B1433" s="6">
        <v>45878</v>
      </c>
      <c r="C1433" s="5" t="s">
        <v>238</v>
      </c>
      <c r="D1433" s="5" t="s">
        <v>25</v>
      </c>
      <c r="E1433" s="5" t="s">
        <v>36</v>
      </c>
      <c r="F1433" s="5" t="s">
        <v>37</v>
      </c>
      <c r="G1433" s="5" t="s">
        <v>33</v>
      </c>
      <c r="H1433" s="5">
        <v>39</v>
      </c>
      <c r="I1433" s="7">
        <v>1064.79</v>
      </c>
      <c r="J1433" s="6">
        <v>45884</v>
      </c>
      <c r="K1433">
        <f t="shared" si="22"/>
        <v>41526.81</v>
      </c>
      <c r="L1433" t="str">
        <f>INDEX(Raw_Shipments!L1433:L3861,MATCH(A1433,Raw_Shipments!B1433:B3861))</f>
        <v>No</v>
      </c>
    </row>
    <row r="1434" spans="1:12" x14ac:dyDescent="0.3">
      <c r="A1434" s="2" t="s">
        <v>1583</v>
      </c>
      <c r="B1434" s="3">
        <v>45878</v>
      </c>
      <c r="C1434" s="2" t="s">
        <v>144</v>
      </c>
      <c r="D1434" s="2" t="s">
        <v>14</v>
      </c>
      <c r="E1434" s="2" t="s">
        <v>40</v>
      </c>
      <c r="F1434" s="2" t="s">
        <v>41</v>
      </c>
      <c r="G1434" s="2" t="s">
        <v>42</v>
      </c>
      <c r="H1434" s="2">
        <v>32</v>
      </c>
      <c r="I1434" s="4">
        <v>2445.11</v>
      </c>
      <c r="J1434" s="3">
        <v>45881</v>
      </c>
      <c r="K1434">
        <f t="shared" si="22"/>
        <v>78243.520000000004</v>
      </c>
      <c r="L1434" t="str">
        <f>INDEX(Raw_Shipments!L1434:L3862,MATCH(A1434,Raw_Shipments!B1434:B3862))</f>
        <v>No</v>
      </c>
    </row>
    <row r="1435" spans="1:12" x14ac:dyDescent="0.3">
      <c r="A1435" s="5" t="s">
        <v>1584</v>
      </c>
      <c r="B1435" s="6">
        <v>45878</v>
      </c>
      <c r="C1435" s="5" t="s">
        <v>203</v>
      </c>
      <c r="D1435" s="5" t="s">
        <v>45</v>
      </c>
      <c r="E1435" s="5" t="s">
        <v>50</v>
      </c>
      <c r="F1435" s="5" t="s">
        <v>51</v>
      </c>
      <c r="G1435" s="5" t="s">
        <v>42</v>
      </c>
      <c r="H1435" s="5">
        <v>9</v>
      </c>
      <c r="I1435" s="7">
        <v>1952.28</v>
      </c>
      <c r="J1435" s="6">
        <v>45883</v>
      </c>
      <c r="K1435">
        <f t="shared" si="22"/>
        <v>17570.52</v>
      </c>
      <c r="L1435" t="str">
        <f>INDEX(Raw_Shipments!L1435:L3863,MATCH(A1435,Raw_Shipments!B1435:B3863))</f>
        <v>No</v>
      </c>
    </row>
    <row r="1436" spans="1:12" x14ac:dyDescent="0.3">
      <c r="A1436" s="2" t="s">
        <v>1585</v>
      </c>
      <c r="B1436" s="3">
        <v>45879</v>
      </c>
      <c r="C1436" s="2" t="s">
        <v>473</v>
      </c>
      <c r="D1436" s="2" t="s">
        <v>25</v>
      </c>
      <c r="E1436" s="2" t="s">
        <v>58</v>
      </c>
      <c r="F1436" s="2" t="s">
        <v>59</v>
      </c>
      <c r="G1436" s="2" t="s">
        <v>55</v>
      </c>
      <c r="H1436" s="2">
        <v>20</v>
      </c>
      <c r="I1436" s="4">
        <v>1695.1</v>
      </c>
      <c r="J1436" s="3">
        <v>45882</v>
      </c>
      <c r="K1436">
        <f t="shared" si="22"/>
        <v>33902</v>
      </c>
      <c r="L1436" t="str">
        <f>INDEX(Raw_Shipments!L1436:L3864,MATCH(A1436,Raw_Shipments!B1436:B3864))</f>
        <v>No</v>
      </c>
    </row>
    <row r="1437" spans="1:12" x14ac:dyDescent="0.3">
      <c r="A1437" s="5" t="s">
        <v>1586</v>
      </c>
      <c r="B1437" s="6">
        <v>45879</v>
      </c>
      <c r="C1437" s="5" t="s">
        <v>180</v>
      </c>
      <c r="D1437" s="5" t="s">
        <v>14</v>
      </c>
      <c r="E1437" s="5" t="s">
        <v>97</v>
      </c>
      <c r="F1437" s="5" t="s">
        <v>98</v>
      </c>
      <c r="G1437" s="5" t="s">
        <v>17</v>
      </c>
      <c r="H1437" s="5">
        <v>17</v>
      </c>
      <c r="I1437" s="7">
        <v>1110.6500000000001</v>
      </c>
      <c r="J1437" s="6">
        <v>45886</v>
      </c>
      <c r="K1437">
        <f t="shared" si="22"/>
        <v>18881.050000000003</v>
      </c>
      <c r="L1437" t="str">
        <f>INDEX(Raw_Shipments!L1437:L3865,MATCH(A1437,Raw_Shipments!B1437:B3865))</f>
        <v>No</v>
      </c>
    </row>
    <row r="1438" spans="1:12" x14ac:dyDescent="0.3">
      <c r="A1438" s="2" t="s">
        <v>1587</v>
      </c>
      <c r="B1438" s="3">
        <v>45879</v>
      </c>
      <c r="C1438" s="2" t="s">
        <v>447</v>
      </c>
      <c r="D1438" s="2" t="s">
        <v>45</v>
      </c>
      <c r="E1438" s="2" t="s">
        <v>15</v>
      </c>
      <c r="F1438" s="2" t="s">
        <v>16</v>
      </c>
      <c r="G1438" s="2" t="s">
        <v>17</v>
      </c>
      <c r="H1438" s="2">
        <v>10</v>
      </c>
      <c r="I1438" s="4">
        <v>183.06</v>
      </c>
      <c r="J1438" s="3">
        <v>45882</v>
      </c>
      <c r="K1438">
        <f t="shared" si="22"/>
        <v>1830.6</v>
      </c>
      <c r="L1438" t="str">
        <f>INDEX(Raw_Shipments!L1438:L3866,MATCH(A1438,Raw_Shipments!B1438:B3866))</f>
        <v>No</v>
      </c>
    </row>
    <row r="1439" spans="1:12" x14ac:dyDescent="0.3">
      <c r="A1439" s="5" t="s">
        <v>1588</v>
      </c>
      <c r="B1439" s="6">
        <v>45879</v>
      </c>
      <c r="C1439" s="5" t="s">
        <v>107</v>
      </c>
      <c r="D1439" s="5" t="s">
        <v>25</v>
      </c>
      <c r="E1439" s="5" t="s">
        <v>119</v>
      </c>
      <c r="F1439" s="5" t="s">
        <v>120</v>
      </c>
      <c r="G1439" s="5" t="s">
        <v>22</v>
      </c>
      <c r="H1439" s="5">
        <v>32</v>
      </c>
      <c r="I1439" s="7">
        <v>912.26</v>
      </c>
      <c r="J1439" s="6">
        <v>45886</v>
      </c>
      <c r="K1439">
        <f t="shared" si="22"/>
        <v>29192.32</v>
      </c>
      <c r="L1439" t="str">
        <f>INDEX(Raw_Shipments!L1439:L3867,MATCH(A1439,Raw_Shipments!B1439:B3867))</f>
        <v>No</v>
      </c>
    </row>
    <row r="1440" spans="1:12" x14ac:dyDescent="0.3">
      <c r="A1440" s="2" t="s">
        <v>1589</v>
      </c>
      <c r="B1440" s="3">
        <v>45879</v>
      </c>
      <c r="C1440" s="2" t="s">
        <v>447</v>
      </c>
      <c r="D1440" s="2" t="s">
        <v>14</v>
      </c>
      <c r="E1440" s="2" t="s">
        <v>46</v>
      </c>
      <c r="F1440" s="2" t="s">
        <v>47</v>
      </c>
      <c r="G1440" s="2" t="s">
        <v>42</v>
      </c>
      <c r="H1440" s="2">
        <v>6</v>
      </c>
      <c r="I1440" s="4">
        <v>1833.14</v>
      </c>
      <c r="J1440" s="3">
        <v>45886</v>
      </c>
      <c r="K1440">
        <f t="shared" si="22"/>
        <v>10998.84</v>
      </c>
      <c r="L1440" t="str">
        <f>INDEX(Raw_Shipments!L1440:L3868,MATCH(A1440,Raw_Shipments!B1440:B3868))</f>
        <v>No</v>
      </c>
    </row>
    <row r="1441" spans="1:12" x14ac:dyDescent="0.3">
      <c r="A1441" s="5" t="s">
        <v>1590</v>
      </c>
      <c r="B1441" s="6">
        <v>45880</v>
      </c>
      <c r="C1441" s="5" t="s">
        <v>131</v>
      </c>
      <c r="D1441" s="5" t="s">
        <v>30</v>
      </c>
      <c r="E1441" s="5" t="s">
        <v>53</v>
      </c>
      <c r="F1441" s="5" t="s">
        <v>54</v>
      </c>
      <c r="G1441" s="5" t="s">
        <v>55</v>
      </c>
      <c r="H1441" s="5">
        <v>22</v>
      </c>
      <c r="I1441" s="7">
        <v>2055.9</v>
      </c>
      <c r="J1441" s="6">
        <v>45887</v>
      </c>
      <c r="K1441">
        <f t="shared" si="22"/>
        <v>45229.8</v>
      </c>
      <c r="L1441" t="str">
        <f>INDEX(Raw_Shipments!L1441:L3869,MATCH(A1441,Raw_Shipments!B1441:B3869))</f>
        <v>No</v>
      </c>
    </row>
    <row r="1442" spans="1:12" x14ac:dyDescent="0.3">
      <c r="A1442" s="2" t="s">
        <v>1591</v>
      </c>
      <c r="B1442" s="3">
        <v>45880</v>
      </c>
      <c r="C1442" s="2" t="s">
        <v>135</v>
      </c>
      <c r="D1442" s="2" t="s">
        <v>30</v>
      </c>
      <c r="E1442" s="2" t="s">
        <v>58</v>
      </c>
      <c r="F1442" s="2" t="s">
        <v>59</v>
      </c>
      <c r="G1442" s="2" t="s">
        <v>55</v>
      </c>
      <c r="H1442" s="2">
        <v>18</v>
      </c>
      <c r="I1442" s="4">
        <v>1695.1</v>
      </c>
      <c r="J1442" s="3">
        <v>45888</v>
      </c>
      <c r="K1442">
        <f t="shared" si="22"/>
        <v>30511.8</v>
      </c>
      <c r="L1442" t="str">
        <f>INDEX(Raw_Shipments!L1442:L3870,MATCH(A1442,Raw_Shipments!B1442:B3870))</f>
        <v>Yes</v>
      </c>
    </row>
    <row r="1443" spans="1:12" x14ac:dyDescent="0.3">
      <c r="A1443" s="5" t="s">
        <v>1592</v>
      </c>
      <c r="B1443" s="6">
        <v>45880</v>
      </c>
      <c r="C1443" s="5" t="s">
        <v>79</v>
      </c>
      <c r="D1443" s="5" t="s">
        <v>14</v>
      </c>
      <c r="E1443" s="5" t="s">
        <v>62</v>
      </c>
      <c r="F1443" s="5" t="s">
        <v>63</v>
      </c>
      <c r="G1443" s="5" t="s">
        <v>55</v>
      </c>
      <c r="H1443" s="5">
        <v>55</v>
      </c>
      <c r="I1443" s="7">
        <v>2555.2199999999998</v>
      </c>
      <c r="J1443" s="6">
        <v>45885</v>
      </c>
      <c r="K1443">
        <f t="shared" si="22"/>
        <v>140537.09999999998</v>
      </c>
      <c r="L1443" t="str">
        <f>INDEX(Raw_Shipments!L1443:L3871,MATCH(A1443,Raw_Shipments!B1443:B3871))</f>
        <v>No</v>
      </c>
    </row>
    <row r="1444" spans="1:12" x14ac:dyDescent="0.3">
      <c r="A1444" s="2" t="s">
        <v>1593</v>
      </c>
      <c r="B1444" s="3">
        <v>45880</v>
      </c>
      <c r="C1444" s="2" t="s">
        <v>117</v>
      </c>
      <c r="D1444" s="2" t="s">
        <v>25</v>
      </c>
      <c r="E1444" s="2" t="s">
        <v>97</v>
      </c>
      <c r="F1444" s="2" t="s">
        <v>98</v>
      </c>
      <c r="G1444" s="2" t="s">
        <v>17</v>
      </c>
      <c r="H1444" s="2">
        <v>6</v>
      </c>
      <c r="I1444" s="4">
        <v>1110.6500000000001</v>
      </c>
      <c r="J1444" s="3">
        <v>45885</v>
      </c>
      <c r="K1444">
        <f t="shared" si="22"/>
        <v>6663.9000000000005</v>
      </c>
      <c r="L1444" t="str">
        <f>INDEX(Raw_Shipments!L1444:L3872,MATCH(A1444,Raw_Shipments!B1444:B3872))</f>
        <v>No</v>
      </c>
    </row>
    <row r="1445" spans="1:12" x14ac:dyDescent="0.3">
      <c r="A1445" s="5" t="s">
        <v>1594</v>
      </c>
      <c r="B1445" s="6">
        <v>45880</v>
      </c>
      <c r="C1445" s="5" t="s">
        <v>107</v>
      </c>
      <c r="D1445" s="5" t="s">
        <v>30</v>
      </c>
      <c r="E1445" s="5" t="s">
        <v>15</v>
      </c>
      <c r="F1445" s="5" t="s">
        <v>16</v>
      </c>
      <c r="G1445" s="5" t="s">
        <v>17</v>
      </c>
      <c r="H1445" s="5">
        <v>9</v>
      </c>
      <c r="I1445" s="7">
        <v>183.06</v>
      </c>
      <c r="J1445" s="6">
        <v>45885</v>
      </c>
      <c r="K1445">
        <f t="shared" si="22"/>
        <v>1647.54</v>
      </c>
      <c r="L1445" t="str">
        <f>INDEX(Raw_Shipments!L1445:L3873,MATCH(A1445,Raw_Shipments!B1445:B3873))</f>
        <v>No</v>
      </c>
    </row>
    <row r="1446" spans="1:12" x14ac:dyDescent="0.3">
      <c r="A1446" s="2" t="s">
        <v>1595</v>
      </c>
      <c r="B1446" s="3">
        <v>45880</v>
      </c>
      <c r="C1446" s="2" t="s">
        <v>117</v>
      </c>
      <c r="D1446" s="2" t="s">
        <v>30</v>
      </c>
      <c r="E1446" s="2" t="s">
        <v>119</v>
      </c>
      <c r="F1446" s="2" t="s">
        <v>120</v>
      </c>
      <c r="G1446" s="2" t="s">
        <v>22</v>
      </c>
      <c r="H1446" s="2">
        <v>49</v>
      </c>
      <c r="I1446" s="4">
        <v>912.26</v>
      </c>
      <c r="J1446" s="3">
        <v>45890</v>
      </c>
      <c r="K1446">
        <f t="shared" si="22"/>
        <v>44700.74</v>
      </c>
      <c r="L1446" t="str">
        <f>INDEX(Raw_Shipments!L1446:L3874,MATCH(A1446,Raw_Shipments!B1446:B3874))</f>
        <v>No</v>
      </c>
    </row>
    <row r="1447" spans="1:12" x14ac:dyDescent="0.3">
      <c r="A1447" s="5" t="s">
        <v>1596</v>
      </c>
      <c r="B1447" s="6">
        <v>45880</v>
      </c>
      <c r="C1447" s="5" t="s">
        <v>272</v>
      </c>
      <c r="D1447" s="5" t="s">
        <v>45</v>
      </c>
      <c r="E1447" s="5" t="s">
        <v>26</v>
      </c>
      <c r="F1447" s="5" t="s">
        <v>27</v>
      </c>
      <c r="G1447" s="5" t="s">
        <v>22</v>
      </c>
      <c r="H1447" s="5">
        <v>25</v>
      </c>
      <c r="I1447" s="7">
        <v>1646.8</v>
      </c>
      <c r="J1447" s="6">
        <v>45885</v>
      </c>
      <c r="K1447">
        <f t="shared" si="22"/>
        <v>41170</v>
      </c>
      <c r="L1447" t="str">
        <f>INDEX(Raw_Shipments!L1447:L3875,MATCH(A1447,Raw_Shipments!B1447:B3875))</f>
        <v>Yes</v>
      </c>
    </row>
    <row r="1448" spans="1:12" x14ac:dyDescent="0.3">
      <c r="A1448" s="2" t="s">
        <v>1597</v>
      </c>
      <c r="B1448" s="3">
        <v>45880</v>
      </c>
      <c r="C1448" s="2" t="s">
        <v>268</v>
      </c>
      <c r="D1448" s="2" t="s">
        <v>14</v>
      </c>
      <c r="E1448" s="2" t="s">
        <v>36</v>
      </c>
      <c r="F1448" s="2" t="s">
        <v>37</v>
      </c>
      <c r="G1448" s="2" t="s">
        <v>33</v>
      </c>
      <c r="H1448" s="2">
        <v>63</v>
      </c>
      <c r="I1448" s="4">
        <v>1064.79</v>
      </c>
      <c r="J1448" s="3">
        <v>45883</v>
      </c>
      <c r="K1448">
        <f t="shared" si="22"/>
        <v>67081.77</v>
      </c>
      <c r="L1448" t="str">
        <f>INDEX(Raw_Shipments!L1448:L3876,MATCH(A1448,Raw_Shipments!B1448:B3876))</f>
        <v>No</v>
      </c>
    </row>
    <row r="1449" spans="1:12" x14ac:dyDescent="0.3">
      <c r="A1449" s="5" t="s">
        <v>1598</v>
      </c>
      <c r="B1449" s="6">
        <v>45880</v>
      </c>
      <c r="C1449" s="5" t="s">
        <v>170</v>
      </c>
      <c r="D1449" s="5" t="s">
        <v>45</v>
      </c>
      <c r="E1449" s="5" t="s">
        <v>40</v>
      </c>
      <c r="F1449" s="5" t="s">
        <v>41</v>
      </c>
      <c r="G1449" s="5" t="s">
        <v>42</v>
      </c>
      <c r="H1449" s="5">
        <v>28</v>
      </c>
      <c r="I1449" s="7">
        <v>2445.11</v>
      </c>
      <c r="J1449" s="6">
        <v>45883</v>
      </c>
      <c r="K1449">
        <f t="shared" si="22"/>
        <v>68463.08</v>
      </c>
      <c r="L1449" t="str">
        <f>INDEX(Raw_Shipments!L1449:L3877,MATCH(A1449,Raw_Shipments!B1449:B3877))</f>
        <v>No</v>
      </c>
    </row>
    <row r="1450" spans="1:12" x14ac:dyDescent="0.3">
      <c r="A1450" s="2" t="s">
        <v>1599</v>
      </c>
      <c r="B1450" s="3">
        <v>45881</v>
      </c>
      <c r="C1450" s="2" t="s">
        <v>96</v>
      </c>
      <c r="D1450" s="2" t="s">
        <v>25</v>
      </c>
      <c r="E1450" s="2" t="s">
        <v>58</v>
      </c>
      <c r="F1450" s="2" t="s">
        <v>59</v>
      </c>
      <c r="G1450" s="2" t="s">
        <v>55</v>
      </c>
      <c r="H1450" s="2">
        <v>23</v>
      </c>
      <c r="I1450" s="4">
        <v>1695.1</v>
      </c>
      <c r="J1450" s="3">
        <v>45891</v>
      </c>
      <c r="K1450">
        <f t="shared" si="22"/>
        <v>38987.299999999996</v>
      </c>
      <c r="L1450" t="str">
        <f>INDEX(Raw_Shipments!L1450:L3878,MATCH(A1450,Raw_Shipments!B1450:B3878))</f>
        <v>No</v>
      </c>
    </row>
    <row r="1451" spans="1:12" x14ac:dyDescent="0.3">
      <c r="A1451" s="5" t="s">
        <v>1600</v>
      </c>
      <c r="B1451" s="6">
        <v>45881</v>
      </c>
      <c r="C1451" s="5" t="s">
        <v>35</v>
      </c>
      <c r="D1451" s="5" t="s">
        <v>45</v>
      </c>
      <c r="E1451" s="5" t="s">
        <v>62</v>
      </c>
      <c r="F1451" s="5" t="s">
        <v>63</v>
      </c>
      <c r="G1451" s="5" t="s">
        <v>55</v>
      </c>
      <c r="H1451" s="5">
        <v>51</v>
      </c>
      <c r="I1451" s="7">
        <v>2555.2199999999998</v>
      </c>
      <c r="J1451" s="6">
        <v>45886</v>
      </c>
      <c r="K1451">
        <f t="shared" si="22"/>
        <v>130316.21999999999</v>
      </c>
      <c r="L1451" t="str">
        <f>INDEX(Raw_Shipments!L1451:L3879,MATCH(A1451,Raw_Shipments!B1451:B3879))</f>
        <v>No</v>
      </c>
    </row>
    <row r="1452" spans="1:12" x14ac:dyDescent="0.3">
      <c r="A1452" s="2" t="s">
        <v>1601</v>
      </c>
      <c r="B1452" s="3">
        <v>45881</v>
      </c>
      <c r="C1452" s="2" t="s">
        <v>49</v>
      </c>
      <c r="D1452" s="2" t="s">
        <v>25</v>
      </c>
      <c r="E1452" s="2" t="s">
        <v>97</v>
      </c>
      <c r="F1452" s="2" t="s">
        <v>98</v>
      </c>
      <c r="G1452" s="2" t="s">
        <v>17</v>
      </c>
      <c r="H1452" s="2">
        <v>25</v>
      </c>
      <c r="I1452" s="4">
        <v>1110.6500000000001</v>
      </c>
      <c r="J1452" s="3">
        <v>45884</v>
      </c>
      <c r="K1452">
        <f t="shared" si="22"/>
        <v>27766.250000000004</v>
      </c>
      <c r="L1452" t="str">
        <f>INDEX(Raw_Shipments!L1452:L3880,MATCH(A1452,Raw_Shipments!B1452:B3880))</f>
        <v>No</v>
      </c>
    </row>
    <row r="1453" spans="1:12" x14ac:dyDescent="0.3">
      <c r="A1453" s="5" t="s">
        <v>1602</v>
      </c>
      <c r="B1453" s="6">
        <v>45881</v>
      </c>
      <c r="C1453" s="5" t="s">
        <v>135</v>
      </c>
      <c r="D1453" s="5" t="s">
        <v>45</v>
      </c>
      <c r="E1453" s="5" t="s">
        <v>15</v>
      </c>
      <c r="F1453" s="5" t="s">
        <v>16</v>
      </c>
      <c r="G1453" s="5" t="s">
        <v>17</v>
      </c>
      <c r="H1453" s="5">
        <v>13</v>
      </c>
      <c r="I1453" s="7">
        <v>183.06</v>
      </c>
      <c r="J1453" s="6">
        <v>45890</v>
      </c>
      <c r="K1453">
        <f t="shared" si="22"/>
        <v>2379.7800000000002</v>
      </c>
      <c r="L1453" t="str">
        <f>INDEX(Raw_Shipments!L1453:L3881,MATCH(A1453,Raw_Shipments!B1453:B3881))</f>
        <v>No</v>
      </c>
    </row>
    <row r="1454" spans="1:12" x14ac:dyDescent="0.3">
      <c r="A1454" s="2" t="s">
        <v>1603</v>
      </c>
      <c r="B1454" s="3">
        <v>45881</v>
      </c>
      <c r="C1454" s="2" t="s">
        <v>248</v>
      </c>
      <c r="D1454" s="2" t="s">
        <v>30</v>
      </c>
      <c r="E1454" s="2" t="s">
        <v>119</v>
      </c>
      <c r="F1454" s="2" t="s">
        <v>120</v>
      </c>
      <c r="G1454" s="2" t="s">
        <v>22</v>
      </c>
      <c r="H1454" s="2">
        <v>33</v>
      </c>
      <c r="I1454" s="4">
        <v>912.26</v>
      </c>
      <c r="J1454" s="3">
        <v>45888</v>
      </c>
      <c r="K1454">
        <f t="shared" si="22"/>
        <v>30104.579999999998</v>
      </c>
      <c r="L1454" t="str">
        <f>INDEX(Raw_Shipments!L1454:L3882,MATCH(A1454,Raw_Shipments!B1454:B3882))</f>
        <v>Yes</v>
      </c>
    </row>
    <row r="1455" spans="1:12" x14ac:dyDescent="0.3">
      <c r="A1455" s="5" t="s">
        <v>1604</v>
      </c>
      <c r="B1455" s="6">
        <v>45881</v>
      </c>
      <c r="C1455" s="5" t="s">
        <v>183</v>
      </c>
      <c r="D1455" s="5" t="s">
        <v>45</v>
      </c>
      <c r="E1455" s="5" t="s">
        <v>46</v>
      </c>
      <c r="F1455" s="5" t="s">
        <v>47</v>
      </c>
      <c r="G1455" s="5" t="s">
        <v>42</v>
      </c>
      <c r="H1455" s="5">
        <v>7</v>
      </c>
      <c r="I1455" s="7">
        <v>1833.14</v>
      </c>
      <c r="J1455" s="6">
        <v>45888</v>
      </c>
      <c r="K1455">
        <f t="shared" si="22"/>
        <v>12831.980000000001</v>
      </c>
      <c r="L1455" t="str">
        <f>INDEX(Raw_Shipments!L1455:L3883,MATCH(A1455,Raw_Shipments!B1455:B3883))</f>
        <v>No</v>
      </c>
    </row>
    <row r="1456" spans="1:12" x14ac:dyDescent="0.3">
      <c r="A1456" s="2" t="s">
        <v>1605</v>
      </c>
      <c r="B1456" s="3">
        <v>45882</v>
      </c>
      <c r="C1456" s="2" t="s">
        <v>312</v>
      </c>
      <c r="D1456" s="2" t="s">
        <v>14</v>
      </c>
      <c r="E1456" s="2" t="s">
        <v>53</v>
      </c>
      <c r="F1456" s="2" t="s">
        <v>54</v>
      </c>
      <c r="G1456" s="2" t="s">
        <v>55</v>
      </c>
      <c r="H1456" s="2">
        <v>56</v>
      </c>
      <c r="I1456" s="4">
        <v>2055.9</v>
      </c>
      <c r="J1456" s="3">
        <v>45885</v>
      </c>
      <c r="K1456">
        <f t="shared" si="22"/>
        <v>115130.40000000001</v>
      </c>
      <c r="L1456" t="str">
        <f>INDEX(Raw_Shipments!L1456:L3884,MATCH(A1456,Raw_Shipments!B1456:B3884))</f>
        <v>No</v>
      </c>
    </row>
    <row r="1457" spans="1:12" x14ac:dyDescent="0.3">
      <c r="A1457" s="5" t="s">
        <v>1606</v>
      </c>
      <c r="B1457" s="6">
        <v>45882</v>
      </c>
      <c r="C1457" s="5" t="s">
        <v>122</v>
      </c>
      <c r="D1457" s="5" t="s">
        <v>14</v>
      </c>
      <c r="E1457" s="5" t="s">
        <v>58</v>
      </c>
      <c r="F1457" s="5" t="s">
        <v>59</v>
      </c>
      <c r="G1457" s="5" t="s">
        <v>55</v>
      </c>
      <c r="H1457" s="5">
        <v>11</v>
      </c>
      <c r="I1457" s="7">
        <v>1695.1</v>
      </c>
      <c r="J1457" s="6">
        <v>45890</v>
      </c>
      <c r="K1457">
        <f t="shared" si="22"/>
        <v>18646.099999999999</v>
      </c>
      <c r="L1457" t="str">
        <f>INDEX(Raw_Shipments!L1457:L3885,MATCH(A1457,Raw_Shipments!B1457:B3885))</f>
        <v>No</v>
      </c>
    </row>
    <row r="1458" spans="1:12" x14ac:dyDescent="0.3">
      <c r="A1458" s="2" t="s">
        <v>1607</v>
      </c>
      <c r="B1458" s="3">
        <v>45882</v>
      </c>
      <c r="C1458" s="2" t="s">
        <v>208</v>
      </c>
      <c r="D1458" s="2" t="s">
        <v>45</v>
      </c>
      <c r="E1458" s="2" t="s">
        <v>66</v>
      </c>
      <c r="F1458" s="2" t="s">
        <v>67</v>
      </c>
      <c r="G1458" s="2" t="s">
        <v>17</v>
      </c>
      <c r="H1458" s="2">
        <v>12</v>
      </c>
      <c r="I1458" s="4">
        <v>850.8</v>
      </c>
      <c r="J1458" s="3">
        <v>45889</v>
      </c>
      <c r="K1458">
        <f t="shared" si="22"/>
        <v>10209.599999999999</v>
      </c>
      <c r="L1458" t="str">
        <f>INDEX(Raw_Shipments!L1458:L3886,MATCH(A1458,Raw_Shipments!B1458:B3886))</f>
        <v>No</v>
      </c>
    </row>
    <row r="1459" spans="1:12" x14ac:dyDescent="0.3">
      <c r="A1459" s="5" t="s">
        <v>1608</v>
      </c>
      <c r="B1459" s="6">
        <v>45882</v>
      </c>
      <c r="C1459" s="5" t="s">
        <v>39</v>
      </c>
      <c r="D1459" s="5" t="s">
        <v>25</v>
      </c>
      <c r="E1459" s="5" t="s">
        <v>97</v>
      </c>
      <c r="F1459" s="5" t="s">
        <v>98</v>
      </c>
      <c r="G1459" s="5" t="s">
        <v>17</v>
      </c>
      <c r="H1459" s="5">
        <v>20</v>
      </c>
      <c r="I1459" s="7">
        <v>1110.6500000000001</v>
      </c>
      <c r="J1459" s="6">
        <v>45892</v>
      </c>
      <c r="K1459">
        <f t="shared" si="22"/>
        <v>22213</v>
      </c>
      <c r="L1459" t="str">
        <f>INDEX(Raw_Shipments!L1459:L3887,MATCH(A1459,Raw_Shipments!B1459:B3887))</f>
        <v>No</v>
      </c>
    </row>
    <row r="1460" spans="1:12" x14ac:dyDescent="0.3">
      <c r="A1460" s="2" t="s">
        <v>1609</v>
      </c>
      <c r="B1460" s="3">
        <v>45882</v>
      </c>
      <c r="C1460" s="2" t="s">
        <v>139</v>
      </c>
      <c r="D1460" s="2" t="s">
        <v>14</v>
      </c>
      <c r="E1460" s="2" t="s">
        <v>26</v>
      </c>
      <c r="F1460" s="2" t="s">
        <v>27</v>
      </c>
      <c r="G1460" s="2" t="s">
        <v>22</v>
      </c>
      <c r="H1460" s="2">
        <v>35</v>
      </c>
      <c r="I1460" s="4">
        <v>1646.8</v>
      </c>
      <c r="J1460" s="3">
        <v>45887</v>
      </c>
      <c r="K1460">
        <f t="shared" si="22"/>
        <v>57638</v>
      </c>
      <c r="L1460" t="str">
        <f>INDEX(Raw_Shipments!L1460:L3888,MATCH(A1460,Raw_Shipments!B1460:B3888))</f>
        <v>No</v>
      </c>
    </row>
    <row r="1461" spans="1:12" x14ac:dyDescent="0.3">
      <c r="A1461" s="5" t="s">
        <v>1610</v>
      </c>
      <c r="B1461" s="6">
        <v>45882</v>
      </c>
      <c r="C1461" s="5" t="s">
        <v>175</v>
      </c>
      <c r="D1461" s="5" t="s">
        <v>30</v>
      </c>
      <c r="E1461" s="5" t="s">
        <v>31</v>
      </c>
      <c r="F1461" s="5" t="s">
        <v>32</v>
      </c>
      <c r="G1461" s="5" t="s">
        <v>33</v>
      </c>
      <c r="H1461" s="5">
        <v>38</v>
      </c>
      <c r="I1461" s="7">
        <v>689</v>
      </c>
      <c r="J1461" s="6">
        <v>45891</v>
      </c>
      <c r="K1461">
        <f t="shared" si="22"/>
        <v>26182</v>
      </c>
      <c r="L1461" t="str">
        <f>INDEX(Raw_Shipments!L1461:L3889,MATCH(A1461,Raw_Shipments!B1461:B3889))</f>
        <v>Yes</v>
      </c>
    </row>
    <row r="1462" spans="1:12" x14ac:dyDescent="0.3">
      <c r="A1462" s="2" t="s">
        <v>1611</v>
      </c>
      <c r="B1462" s="3">
        <v>45882</v>
      </c>
      <c r="C1462" s="2" t="s">
        <v>250</v>
      </c>
      <c r="D1462" s="2" t="s">
        <v>25</v>
      </c>
      <c r="E1462" s="2" t="s">
        <v>86</v>
      </c>
      <c r="F1462" s="2" t="s">
        <v>87</v>
      </c>
      <c r="G1462" s="2" t="s">
        <v>33</v>
      </c>
      <c r="H1462" s="2">
        <v>13</v>
      </c>
      <c r="I1462" s="4">
        <v>815.88</v>
      </c>
      <c r="J1462" s="3">
        <v>45887</v>
      </c>
      <c r="K1462">
        <f t="shared" si="22"/>
        <v>10606.44</v>
      </c>
      <c r="L1462" t="str">
        <f>INDEX(Raw_Shipments!L1462:L3890,MATCH(A1462,Raw_Shipments!B1462:B3890))</f>
        <v>No</v>
      </c>
    </row>
    <row r="1463" spans="1:12" x14ac:dyDescent="0.3">
      <c r="A1463" s="5" t="s">
        <v>1612</v>
      </c>
      <c r="B1463" s="6">
        <v>45882</v>
      </c>
      <c r="C1463" s="5" t="s">
        <v>183</v>
      </c>
      <c r="D1463" s="5" t="s">
        <v>25</v>
      </c>
      <c r="E1463" s="5" t="s">
        <v>46</v>
      </c>
      <c r="F1463" s="5" t="s">
        <v>47</v>
      </c>
      <c r="G1463" s="5" t="s">
        <v>42</v>
      </c>
      <c r="H1463" s="5">
        <v>8</v>
      </c>
      <c r="I1463" s="7">
        <v>1833.14</v>
      </c>
      <c r="J1463" s="6">
        <v>45891</v>
      </c>
      <c r="K1463">
        <f t="shared" si="22"/>
        <v>14665.12</v>
      </c>
      <c r="L1463" t="str">
        <f>INDEX(Raw_Shipments!L1463:L3891,MATCH(A1463,Raw_Shipments!B1463:B3891))</f>
        <v>No</v>
      </c>
    </row>
    <row r="1464" spans="1:12" x14ac:dyDescent="0.3">
      <c r="A1464" s="2" t="s">
        <v>1613</v>
      </c>
      <c r="B1464" s="3">
        <v>45883</v>
      </c>
      <c r="C1464" s="2" t="s">
        <v>260</v>
      </c>
      <c r="D1464" s="2" t="s">
        <v>30</v>
      </c>
      <c r="E1464" s="2" t="s">
        <v>97</v>
      </c>
      <c r="F1464" s="2" t="s">
        <v>98</v>
      </c>
      <c r="G1464" s="2" t="s">
        <v>17</v>
      </c>
      <c r="H1464" s="2">
        <v>47</v>
      </c>
      <c r="I1464" s="4">
        <v>1110.6500000000001</v>
      </c>
      <c r="J1464" s="3">
        <v>45892</v>
      </c>
      <c r="K1464">
        <f t="shared" si="22"/>
        <v>52200.55</v>
      </c>
      <c r="L1464" t="str">
        <f>INDEX(Raw_Shipments!L1464:L3892,MATCH(A1464,Raw_Shipments!B1464:B3892))</f>
        <v>No</v>
      </c>
    </row>
    <row r="1465" spans="1:12" x14ac:dyDescent="0.3">
      <c r="A1465" s="5" t="s">
        <v>1614</v>
      </c>
      <c r="B1465" s="6">
        <v>45883</v>
      </c>
      <c r="C1465" s="5" t="s">
        <v>504</v>
      </c>
      <c r="D1465" s="5" t="s">
        <v>30</v>
      </c>
      <c r="E1465" s="5" t="s">
        <v>26</v>
      </c>
      <c r="F1465" s="5" t="s">
        <v>27</v>
      </c>
      <c r="G1465" s="5" t="s">
        <v>22</v>
      </c>
      <c r="H1465" s="5">
        <v>14</v>
      </c>
      <c r="I1465" s="7">
        <v>1646.8</v>
      </c>
      <c r="J1465" s="6">
        <v>45887</v>
      </c>
      <c r="K1465">
        <f t="shared" si="22"/>
        <v>23055.200000000001</v>
      </c>
      <c r="L1465" t="str">
        <f>INDEX(Raw_Shipments!L1465:L3893,MATCH(A1465,Raw_Shipments!B1465:B3893))</f>
        <v>No</v>
      </c>
    </row>
    <row r="1466" spans="1:12" x14ac:dyDescent="0.3">
      <c r="A1466" s="2" t="s">
        <v>1615</v>
      </c>
      <c r="B1466" s="3">
        <v>45883</v>
      </c>
      <c r="C1466" s="2" t="s">
        <v>19</v>
      </c>
      <c r="D1466" s="2" t="s">
        <v>25</v>
      </c>
      <c r="E1466" s="2" t="s">
        <v>40</v>
      </c>
      <c r="F1466" s="2" t="s">
        <v>41</v>
      </c>
      <c r="G1466" s="2" t="s">
        <v>42</v>
      </c>
      <c r="H1466" s="2">
        <v>33</v>
      </c>
      <c r="I1466" s="4">
        <v>2445.11</v>
      </c>
      <c r="J1466" s="3">
        <v>45889</v>
      </c>
      <c r="K1466">
        <f t="shared" si="22"/>
        <v>80688.63</v>
      </c>
      <c r="L1466" t="str">
        <f>INDEX(Raw_Shipments!L1466:L3894,MATCH(A1466,Raw_Shipments!B1466:B3894))</f>
        <v>No</v>
      </c>
    </row>
    <row r="1467" spans="1:12" x14ac:dyDescent="0.3">
      <c r="A1467" s="5" t="s">
        <v>1616</v>
      </c>
      <c r="B1467" s="6">
        <v>45884</v>
      </c>
      <c r="C1467" s="5" t="s">
        <v>356</v>
      </c>
      <c r="D1467" s="5" t="s">
        <v>14</v>
      </c>
      <c r="E1467" s="5" t="s">
        <v>58</v>
      </c>
      <c r="F1467" s="5" t="s">
        <v>59</v>
      </c>
      <c r="G1467" s="5" t="s">
        <v>55</v>
      </c>
      <c r="H1467" s="5">
        <v>20</v>
      </c>
      <c r="I1467" s="7">
        <v>1695.1</v>
      </c>
      <c r="J1467" s="6">
        <v>45892</v>
      </c>
      <c r="K1467">
        <f t="shared" si="22"/>
        <v>33902</v>
      </c>
      <c r="L1467" t="str">
        <f>INDEX(Raw_Shipments!L1467:L3895,MATCH(A1467,Raw_Shipments!B1467:B3895))</f>
        <v>No</v>
      </c>
    </row>
    <row r="1468" spans="1:12" x14ac:dyDescent="0.3">
      <c r="A1468" s="2" t="s">
        <v>1617</v>
      </c>
      <c r="B1468" s="3">
        <v>45884</v>
      </c>
      <c r="C1468" s="2" t="s">
        <v>35</v>
      </c>
      <c r="D1468" s="2" t="s">
        <v>14</v>
      </c>
      <c r="E1468" s="2" t="s">
        <v>62</v>
      </c>
      <c r="F1468" s="2" t="s">
        <v>63</v>
      </c>
      <c r="G1468" s="2" t="s">
        <v>55</v>
      </c>
      <c r="H1468" s="2">
        <v>50</v>
      </c>
      <c r="I1468" s="4">
        <v>2555.2199999999998</v>
      </c>
      <c r="J1468" s="3">
        <v>45893</v>
      </c>
      <c r="K1468">
        <f t="shared" si="22"/>
        <v>127760.99999999999</v>
      </c>
      <c r="L1468" t="str">
        <f>INDEX(Raw_Shipments!L1468:L3896,MATCH(A1468,Raw_Shipments!B1468:B3896))</f>
        <v>No</v>
      </c>
    </row>
    <row r="1469" spans="1:12" x14ac:dyDescent="0.3">
      <c r="A1469" s="5" t="s">
        <v>1618</v>
      </c>
      <c r="B1469" s="6">
        <v>45884</v>
      </c>
      <c r="C1469" s="5" t="s">
        <v>13</v>
      </c>
      <c r="D1469" s="5" t="s">
        <v>14</v>
      </c>
      <c r="E1469" s="5" t="s">
        <v>97</v>
      </c>
      <c r="F1469" s="5" t="s">
        <v>98</v>
      </c>
      <c r="G1469" s="5" t="s">
        <v>17</v>
      </c>
      <c r="H1469" s="5">
        <v>42</v>
      </c>
      <c r="I1469" s="7">
        <v>1110.6500000000001</v>
      </c>
      <c r="J1469" s="6">
        <v>45889</v>
      </c>
      <c r="K1469">
        <f t="shared" si="22"/>
        <v>46647.3</v>
      </c>
      <c r="L1469" t="str">
        <f>INDEX(Raw_Shipments!L1469:L3897,MATCH(A1469,Raw_Shipments!B1469:B3897))</f>
        <v>No</v>
      </c>
    </row>
    <row r="1470" spans="1:12" x14ac:dyDescent="0.3">
      <c r="A1470" s="2" t="s">
        <v>1619</v>
      </c>
      <c r="B1470" s="3">
        <v>45884</v>
      </c>
      <c r="C1470" s="2" t="s">
        <v>141</v>
      </c>
      <c r="D1470" s="2" t="s">
        <v>45</v>
      </c>
      <c r="E1470" s="2" t="s">
        <v>15</v>
      </c>
      <c r="F1470" s="2" t="s">
        <v>16</v>
      </c>
      <c r="G1470" s="2" t="s">
        <v>17</v>
      </c>
      <c r="H1470" s="2">
        <v>26</v>
      </c>
      <c r="I1470" s="4">
        <v>183.06</v>
      </c>
      <c r="J1470" s="3">
        <v>45892</v>
      </c>
      <c r="K1470">
        <f t="shared" si="22"/>
        <v>4759.5600000000004</v>
      </c>
      <c r="L1470" t="str">
        <f>INDEX(Raw_Shipments!L1470:L3898,MATCH(A1470,Raw_Shipments!B1470:B3898))</f>
        <v>No</v>
      </c>
    </row>
    <row r="1471" spans="1:12" x14ac:dyDescent="0.3">
      <c r="A1471" s="5" t="s">
        <v>1620</v>
      </c>
      <c r="B1471" s="6">
        <v>45884</v>
      </c>
      <c r="C1471" s="5" t="s">
        <v>154</v>
      </c>
      <c r="D1471" s="5" t="s">
        <v>14</v>
      </c>
      <c r="E1471" s="5" t="s">
        <v>119</v>
      </c>
      <c r="F1471" s="5" t="s">
        <v>120</v>
      </c>
      <c r="G1471" s="5" t="s">
        <v>22</v>
      </c>
      <c r="H1471" s="5">
        <v>46</v>
      </c>
      <c r="I1471" s="7">
        <v>912.26</v>
      </c>
      <c r="J1471" s="6">
        <v>45889</v>
      </c>
      <c r="K1471">
        <f t="shared" si="22"/>
        <v>41963.96</v>
      </c>
      <c r="L1471" t="str">
        <f>INDEX(Raw_Shipments!L1471:L3899,MATCH(A1471,Raw_Shipments!B1471:B3899))</f>
        <v>Yes</v>
      </c>
    </row>
    <row r="1472" spans="1:12" x14ac:dyDescent="0.3">
      <c r="A1472" s="2" t="s">
        <v>1621</v>
      </c>
      <c r="B1472" s="3">
        <v>45884</v>
      </c>
      <c r="C1472" s="2" t="s">
        <v>438</v>
      </c>
      <c r="D1472" s="2" t="s">
        <v>14</v>
      </c>
      <c r="E1472" s="2" t="s">
        <v>26</v>
      </c>
      <c r="F1472" s="2" t="s">
        <v>27</v>
      </c>
      <c r="G1472" s="2" t="s">
        <v>22</v>
      </c>
      <c r="H1472" s="2">
        <v>22</v>
      </c>
      <c r="I1472" s="4">
        <v>1646.8</v>
      </c>
      <c r="J1472" s="3">
        <v>45893</v>
      </c>
      <c r="K1472">
        <f t="shared" si="22"/>
        <v>36229.599999999999</v>
      </c>
      <c r="L1472" t="str">
        <f>INDEX(Raw_Shipments!L1472:L3900,MATCH(A1472,Raw_Shipments!B1472:B3900))</f>
        <v>No</v>
      </c>
    </row>
    <row r="1473" spans="1:12" x14ac:dyDescent="0.3">
      <c r="A1473" s="5" t="s">
        <v>1622</v>
      </c>
      <c r="B1473" s="6">
        <v>45884</v>
      </c>
      <c r="C1473" s="5" t="s">
        <v>220</v>
      </c>
      <c r="D1473" s="5" t="s">
        <v>30</v>
      </c>
      <c r="E1473" s="5" t="s">
        <v>36</v>
      </c>
      <c r="F1473" s="5" t="s">
        <v>37</v>
      </c>
      <c r="G1473" s="5" t="s">
        <v>33</v>
      </c>
      <c r="H1473" s="5">
        <v>41</v>
      </c>
      <c r="I1473" s="7">
        <v>1064.79</v>
      </c>
      <c r="J1473" s="6">
        <v>45891</v>
      </c>
      <c r="K1473">
        <f t="shared" si="22"/>
        <v>43656.39</v>
      </c>
      <c r="L1473" t="str">
        <f>INDEX(Raw_Shipments!L1473:L3901,MATCH(A1473,Raw_Shipments!B1473:B3901))</f>
        <v>Yes</v>
      </c>
    </row>
    <row r="1474" spans="1:12" x14ac:dyDescent="0.3">
      <c r="A1474" s="2" t="s">
        <v>1623</v>
      </c>
      <c r="B1474" s="3">
        <v>45884</v>
      </c>
      <c r="C1474" s="2" t="s">
        <v>438</v>
      </c>
      <c r="D1474" s="2" t="s">
        <v>45</v>
      </c>
      <c r="E1474" s="2" t="s">
        <v>40</v>
      </c>
      <c r="F1474" s="2" t="s">
        <v>41</v>
      </c>
      <c r="G1474" s="2" t="s">
        <v>42</v>
      </c>
      <c r="H1474" s="2">
        <v>25</v>
      </c>
      <c r="I1474" s="4">
        <v>2445.11</v>
      </c>
      <c r="J1474" s="3">
        <v>45888</v>
      </c>
      <c r="K1474">
        <f t="shared" si="22"/>
        <v>61127.75</v>
      </c>
      <c r="L1474" t="str">
        <f>INDEX(Raw_Shipments!L1474:L3902,MATCH(A1474,Raw_Shipments!B1474:B3902))</f>
        <v>No</v>
      </c>
    </row>
    <row r="1475" spans="1:12" x14ac:dyDescent="0.3">
      <c r="A1475" s="5" t="s">
        <v>1624</v>
      </c>
      <c r="B1475" s="6">
        <v>45884</v>
      </c>
      <c r="C1475" s="5" t="s">
        <v>331</v>
      </c>
      <c r="D1475" s="5" t="s">
        <v>14</v>
      </c>
      <c r="E1475" s="5" t="s">
        <v>50</v>
      </c>
      <c r="F1475" s="5" t="s">
        <v>51</v>
      </c>
      <c r="G1475" s="5" t="s">
        <v>42</v>
      </c>
      <c r="H1475" s="5">
        <v>8</v>
      </c>
      <c r="I1475" s="7">
        <v>1952.28</v>
      </c>
      <c r="J1475" s="6">
        <v>45889</v>
      </c>
      <c r="K1475">
        <f t="shared" ref="K1475:K1538" si="23">I1475*H1475</f>
        <v>15618.24</v>
      </c>
      <c r="L1475" t="str">
        <f>INDEX(Raw_Shipments!L1475:L3903,MATCH(A1475,Raw_Shipments!B1475:B3903))</f>
        <v>No</v>
      </c>
    </row>
    <row r="1476" spans="1:12" x14ac:dyDescent="0.3">
      <c r="A1476" s="2" t="s">
        <v>1625</v>
      </c>
      <c r="B1476" s="3">
        <v>45885</v>
      </c>
      <c r="C1476" s="2" t="s">
        <v>217</v>
      </c>
      <c r="D1476" s="2" t="s">
        <v>25</v>
      </c>
      <c r="E1476" s="2" t="s">
        <v>53</v>
      </c>
      <c r="F1476" s="2" t="s">
        <v>54</v>
      </c>
      <c r="G1476" s="2" t="s">
        <v>55</v>
      </c>
      <c r="H1476" s="2">
        <v>42</v>
      </c>
      <c r="I1476" s="4">
        <v>2055.9</v>
      </c>
      <c r="J1476" s="3">
        <v>45895</v>
      </c>
      <c r="K1476">
        <f t="shared" si="23"/>
        <v>86347.8</v>
      </c>
      <c r="L1476" t="str">
        <f>INDEX(Raw_Shipments!L1476:L3904,MATCH(A1476,Raw_Shipments!B1476:B3904))</f>
        <v>No</v>
      </c>
    </row>
    <row r="1477" spans="1:12" x14ac:dyDescent="0.3">
      <c r="A1477" s="5" t="s">
        <v>1626</v>
      </c>
      <c r="B1477" s="6">
        <v>45885</v>
      </c>
      <c r="C1477" s="5" t="s">
        <v>203</v>
      </c>
      <c r="D1477" s="5" t="s">
        <v>45</v>
      </c>
      <c r="E1477" s="5" t="s">
        <v>97</v>
      </c>
      <c r="F1477" s="5" t="s">
        <v>98</v>
      </c>
      <c r="G1477" s="5" t="s">
        <v>17</v>
      </c>
      <c r="H1477" s="5">
        <v>15</v>
      </c>
      <c r="I1477" s="7">
        <v>1110.6500000000001</v>
      </c>
      <c r="J1477" s="6">
        <v>45890</v>
      </c>
      <c r="K1477">
        <f t="shared" si="23"/>
        <v>16659.75</v>
      </c>
      <c r="L1477" t="str">
        <f>INDEX(Raw_Shipments!L1477:L3905,MATCH(A1477,Raw_Shipments!B1477:B3905))</f>
        <v>Yes</v>
      </c>
    </row>
    <row r="1478" spans="1:12" x14ac:dyDescent="0.3">
      <c r="A1478" s="2" t="s">
        <v>1627</v>
      </c>
      <c r="B1478" s="3">
        <v>45885</v>
      </c>
      <c r="C1478" s="2" t="s">
        <v>166</v>
      </c>
      <c r="D1478" s="2" t="s">
        <v>14</v>
      </c>
      <c r="E1478" s="2" t="s">
        <v>119</v>
      </c>
      <c r="F1478" s="2" t="s">
        <v>120</v>
      </c>
      <c r="G1478" s="2" t="s">
        <v>22</v>
      </c>
      <c r="H1478" s="2">
        <v>45</v>
      </c>
      <c r="I1478" s="4">
        <v>912.26</v>
      </c>
      <c r="J1478" s="3">
        <v>45891</v>
      </c>
      <c r="K1478">
        <f t="shared" si="23"/>
        <v>41051.699999999997</v>
      </c>
      <c r="L1478" t="str">
        <f>INDEX(Raw_Shipments!L1478:L3906,MATCH(A1478,Raw_Shipments!B1478:B3906))</f>
        <v>No</v>
      </c>
    </row>
    <row r="1479" spans="1:12" x14ac:dyDescent="0.3">
      <c r="A1479" s="5" t="s">
        <v>1628</v>
      </c>
      <c r="B1479" s="6">
        <v>45885</v>
      </c>
      <c r="C1479" s="5" t="s">
        <v>65</v>
      </c>
      <c r="D1479" s="5" t="s">
        <v>25</v>
      </c>
      <c r="E1479" s="5" t="s">
        <v>86</v>
      </c>
      <c r="F1479" s="5" t="s">
        <v>87</v>
      </c>
      <c r="G1479" s="5" t="s">
        <v>33</v>
      </c>
      <c r="H1479" s="5">
        <v>38</v>
      </c>
      <c r="I1479" s="7">
        <v>815.88</v>
      </c>
      <c r="J1479" s="6">
        <v>45895</v>
      </c>
      <c r="K1479">
        <f t="shared" si="23"/>
        <v>31003.439999999999</v>
      </c>
      <c r="L1479" t="str">
        <f>INDEX(Raw_Shipments!L1479:L3907,MATCH(A1479,Raw_Shipments!B1479:B3907))</f>
        <v>Yes</v>
      </c>
    </row>
    <row r="1480" spans="1:12" x14ac:dyDescent="0.3">
      <c r="A1480" s="2" t="s">
        <v>1629</v>
      </c>
      <c r="B1480" s="3">
        <v>45885</v>
      </c>
      <c r="C1480" s="2" t="s">
        <v>117</v>
      </c>
      <c r="D1480" s="2" t="s">
        <v>30</v>
      </c>
      <c r="E1480" s="2" t="s">
        <v>46</v>
      </c>
      <c r="F1480" s="2" t="s">
        <v>47</v>
      </c>
      <c r="G1480" s="2" t="s">
        <v>42</v>
      </c>
      <c r="H1480" s="2">
        <v>6</v>
      </c>
      <c r="I1480" s="4">
        <v>1833.14</v>
      </c>
      <c r="J1480" s="3">
        <v>45893</v>
      </c>
      <c r="K1480">
        <f t="shared" si="23"/>
        <v>10998.84</v>
      </c>
      <c r="L1480" t="str">
        <f>INDEX(Raw_Shipments!L1480:L3908,MATCH(A1480,Raw_Shipments!B1480:B3908))</f>
        <v>No</v>
      </c>
    </row>
    <row r="1481" spans="1:12" x14ac:dyDescent="0.3">
      <c r="A1481" s="5" t="s">
        <v>1630</v>
      </c>
      <c r="B1481" s="6">
        <v>45885</v>
      </c>
      <c r="C1481" s="5" t="s">
        <v>49</v>
      </c>
      <c r="D1481" s="5" t="s">
        <v>45</v>
      </c>
      <c r="E1481" s="5" t="s">
        <v>50</v>
      </c>
      <c r="F1481" s="5" t="s">
        <v>51</v>
      </c>
      <c r="G1481" s="5" t="s">
        <v>42</v>
      </c>
      <c r="H1481" s="5">
        <v>9</v>
      </c>
      <c r="I1481" s="7">
        <v>1952.28</v>
      </c>
      <c r="J1481" s="6">
        <v>45889</v>
      </c>
      <c r="K1481">
        <f t="shared" si="23"/>
        <v>17570.52</v>
      </c>
      <c r="L1481" t="str">
        <f>INDEX(Raw_Shipments!L1481:L3909,MATCH(A1481,Raw_Shipments!B1481:B3909))</f>
        <v>No</v>
      </c>
    </row>
    <row r="1482" spans="1:12" x14ac:dyDescent="0.3">
      <c r="A1482" s="2" t="s">
        <v>1631</v>
      </c>
      <c r="B1482" s="3">
        <v>45886</v>
      </c>
      <c r="C1482" s="2" t="s">
        <v>69</v>
      </c>
      <c r="D1482" s="2" t="s">
        <v>14</v>
      </c>
      <c r="E1482" s="2" t="s">
        <v>53</v>
      </c>
      <c r="F1482" s="2" t="s">
        <v>54</v>
      </c>
      <c r="G1482" s="2" t="s">
        <v>55</v>
      </c>
      <c r="H1482" s="2">
        <v>35</v>
      </c>
      <c r="I1482" s="4">
        <v>2055.9</v>
      </c>
      <c r="J1482" s="3">
        <v>45892</v>
      </c>
      <c r="K1482">
        <f t="shared" si="23"/>
        <v>71956.5</v>
      </c>
      <c r="L1482" t="str">
        <f>INDEX(Raw_Shipments!L1482:L3910,MATCH(A1482,Raw_Shipments!B1482:B3910))</f>
        <v>No</v>
      </c>
    </row>
    <row r="1483" spans="1:12" x14ac:dyDescent="0.3">
      <c r="A1483" s="5" t="s">
        <v>1632</v>
      </c>
      <c r="B1483" s="6">
        <v>45886</v>
      </c>
      <c r="C1483" s="5" t="s">
        <v>61</v>
      </c>
      <c r="D1483" s="5" t="s">
        <v>25</v>
      </c>
      <c r="E1483" s="5" t="s">
        <v>62</v>
      </c>
      <c r="F1483" s="5" t="s">
        <v>63</v>
      </c>
      <c r="G1483" s="5" t="s">
        <v>55</v>
      </c>
      <c r="H1483" s="5">
        <v>24</v>
      </c>
      <c r="I1483" s="7">
        <v>2555.2199999999998</v>
      </c>
      <c r="J1483" s="6">
        <v>45889</v>
      </c>
      <c r="K1483">
        <f t="shared" si="23"/>
        <v>61325.279999999999</v>
      </c>
      <c r="L1483" t="str">
        <f>INDEX(Raw_Shipments!L1483:L3911,MATCH(A1483,Raw_Shipments!B1483:B3911))</f>
        <v>No</v>
      </c>
    </row>
    <row r="1484" spans="1:12" x14ac:dyDescent="0.3">
      <c r="A1484" s="2" t="s">
        <v>1633</v>
      </c>
      <c r="B1484" s="3">
        <v>45886</v>
      </c>
      <c r="C1484" s="2" t="s">
        <v>203</v>
      </c>
      <c r="D1484" s="2" t="s">
        <v>45</v>
      </c>
      <c r="E1484" s="2" t="s">
        <v>66</v>
      </c>
      <c r="F1484" s="2" t="s">
        <v>67</v>
      </c>
      <c r="G1484" s="2" t="s">
        <v>17</v>
      </c>
      <c r="H1484" s="2">
        <v>17</v>
      </c>
      <c r="I1484" s="4">
        <v>850.8</v>
      </c>
      <c r="J1484" s="3">
        <v>45892</v>
      </c>
      <c r="K1484">
        <f t="shared" si="23"/>
        <v>14463.599999999999</v>
      </c>
      <c r="L1484" t="str">
        <f>INDEX(Raw_Shipments!L1484:L3912,MATCH(A1484,Raw_Shipments!B1484:B3912))</f>
        <v>No</v>
      </c>
    </row>
    <row r="1485" spans="1:12" x14ac:dyDescent="0.3">
      <c r="A1485" s="5" t="s">
        <v>1634</v>
      </c>
      <c r="B1485" s="6">
        <v>45886</v>
      </c>
      <c r="C1485" s="5" t="s">
        <v>250</v>
      </c>
      <c r="D1485" s="5" t="s">
        <v>25</v>
      </c>
      <c r="E1485" s="5" t="s">
        <v>26</v>
      </c>
      <c r="F1485" s="5" t="s">
        <v>27</v>
      </c>
      <c r="G1485" s="5" t="s">
        <v>22</v>
      </c>
      <c r="H1485" s="5">
        <v>34</v>
      </c>
      <c r="I1485" s="7">
        <v>1646.8</v>
      </c>
      <c r="J1485" s="6">
        <v>45894</v>
      </c>
      <c r="K1485">
        <f t="shared" si="23"/>
        <v>55991.199999999997</v>
      </c>
      <c r="L1485" t="str">
        <f>INDEX(Raw_Shipments!L1485:L3913,MATCH(A1485,Raw_Shipments!B1485:B3913))</f>
        <v>Yes</v>
      </c>
    </row>
    <row r="1486" spans="1:12" x14ac:dyDescent="0.3">
      <c r="A1486" s="2" t="s">
        <v>1635</v>
      </c>
      <c r="B1486" s="3">
        <v>45886</v>
      </c>
      <c r="C1486" s="2" t="s">
        <v>331</v>
      </c>
      <c r="D1486" s="2" t="s">
        <v>14</v>
      </c>
      <c r="E1486" s="2" t="s">
        <v>31</v>
      </c>
      <c r="F1486" s="2" t="s">
        <v>32</v>
      </c>
      <c r="G1486" s="2" t="s">
        <v>33</v>
      </c>
      <c r="H1486" s="2">
        <v>31</v>
      </c>
      <c r="I1486" s="4">
        <v>689</v>
      </c>
      <c r="J1486" s="3">
        <v>45895</v>
      </c>
      <c r="K1486">
        <f t="shared" si="23"/>
        <v>21359</v>
      </c>
      <c r="L1486" t="str">
        <f>INDEX(Raw_Shipments!L1486:L3914,MATCH(A1486,Raw_Shipments!B1486:B3914))</f>
        <v>Yes</v>
      </c>
    </row>
    <row r="1487" spans="1:12" x14ac:dyDescent="0.3">
      <c r="A1487" s="5" t="s">
        <v>1636</v>
      </c>
      <c r="B1487" s="6">
        <v>45886</v>
      </c>
      <c r="C1487" s="5" t="s">
        <v>180</v>
      </c>
      <c r="D1487" s="5" t="s">
        <v>25</v>
      </c>
      <c r="E1487" s="5" t="s">
        <v>36</v>
      </c>
      <c r="F1487" s="5" t="s">
        <v>37</v>
      </c>
      <c r="G1487" s="5" t="s">
        <v>33</v>
      </c>
      <c r="H1487" s="5">
        <v>47</v>
      </c>
      <c r="I1487" s="7">
        <v>1064.79</v>
      </c>
      <c r="J1487" s="6">
        <v>45895</v>
      </c>
      <c r="K1487">
        <f t="shared" si="23"/>
        <v>50045.13</v>
      </c>
      <c r="L1487" t="str">
        <f>INDEX(Raw_Shipments!L1487:L3915,MATCH(A1487,Raw_Shipments!B1487:B3915))</f>
        <v>Yes</v>
      </c>
    </row>
    <row r="1488" spans="1:12" x14ac:dyDescent="0.3">
      <c r="A1488" s="2" t="s">
        <v>1637</v>
      </c>
      <c r="B1488" s="3">
        <v>45886</v>
      </c>
      <c r="C1488" s="2" t="s">
        <v>331</v>
      </c>
      <c r="D1488" s="2" t="s">
        <v>14</v>
      </c>
      <c r="E1488" s="2" t="s">
        <v>46</v>
      </c>
      <c r="F1488" s="2" t="s">
        <v>47</v>
      </c>
      <c r="G1488" s="2" t="s">
        <v>42</v>
      </c>
      <c r="H1488" s="2">
        <v>3</v>
      </c>
      <c r="I1488" s="4">
        <v>1833.14</v>
      </c>
      <c r="J1488" s="3">
        <v>45890</v>
      </c>
      <c r="K1488">
        <f t="shared" si="23"/>
        <v>5499.42</v>
      </c>
      <c r="L1488" t="str">
        <f>INDEX(Raw_Shipments!L1488:L3916,MATCH(A1488,Raw_Shipments!B1488:B3916))</f>
        <v>No</v>
      </c>
    </row>
    <row r="1489" spans="1:12" x14ac:dyDescent="0.3">
      <c r="A1489" s="5" t="s">
        <v>1638</v>
      </c>
      <c r="B1489" s="6">
        <v>45886</v>
      </c>
      <c r="C1489" s="5" t="s">
        <v>65</v>
      </c>
      <c r="D1489" s="5" t="s">
        <v>45</v>
      </c>
      <c r="E1489" s="5" t="s">
        <v>50</v>
      </c>
      <c r="F1489" s="5" t="s">
        <v>51</v>
      </c>
      <c r="G1489" s="5" t="s">
        <v>42</v>
      </c>
      <c r="H1489" s="5">
        <v>11</v>
      </c>
      <c r="I1489" s="7">
        <v>1952.28</v>
      </c>
      <c r="J1489" s="6">
        <v>45895</v>
      </c>
      <c r="K1489">
        <f t="shared" si="23"/>
        <v>21475.079999999998</v>
      </c>
      <c r="L1489" t="str">
        <f>INDEX(Raw_Shipments!L1489:L3917,MATCH(A1489,Raw_Shipments!B1489:B3917))</f>
        <v>No</v>
      </c>
    </row>
    <row r="1490" spans="1:12" x14ac:dyDescent="0.3">
      <c r="A1490" s="2" t="s">
        <v>1639</v>
      </c>
      <c r="B1490" s="3">
        <v>45887</v>
      </c>
      <c r="C1490" s="2" t="s">
        <v>91</v>
      </c>
      <c r="D1490" s="2" t="s">
        <v>14</v>
      </c>
      <c r="E1490" s="2" t="s">
        <v>53</v>
      </c>
      <c r="F1490" s="2" t="s">
        <v>54</v>
      </c>
      <c r="G1490" s="2" t="s">
        <v>55</v>
      </c>
      <c r="H1490" s="2">
        <v>41</v>
      </c>
      <c r="I1490" s="4">
        <v>2055.9</v>
      </c>
      <c r="J1490" s="3">
        <v>45891</v>
      </c>
      <c r="K1490">
        <f t="shared" si="23"/>
        <v>84291.900000000009</v>
      </c>
      <c r="L1490" t="str">
        <f>INDEX(Raw_Shipments!L1490:L3918,MATCH(A1490,Raw_Shipments!B1490:B3918))</f>
        <v>No</v>
      </c>
    </row>
    <row r="1491" spans="1:12" x14ac:dyDescent="0.3">
      <c r="A1491" s="5" t="s">
        <v>1640</v>
      </c>
      <c r="B1491" s="6">
        <v>45887</v>
      </c>
      <c r="C1491" s="5" t="s">
        <v>175</v>
      </c>
      <c r="D1491" s="5" t="s">
        <v>14</v>
      </c>
      <c r="E1491" s="5" t="s">
        <v>15</v>
      </c>
      <c r="F1491" s="5" t="s">
        <v>16</v>
      </c>
      <c r="G1491" s="5" t="s">
        <v>17</v>
      </c>
      <c r="H1491" s="5">
        <v>18</v>
      </c>
      <c r="I1491" s="7">
        <v>183.06</v>
      </c>
      <c r="J1491" s="6">
        <v>45895</v>
      </c>
      <c r="K1491">
        <f t="shared" si="23"/>
        <v>3295.08</v>
      </c>
      <c r="L1491" t="str">
        <f>INDEX(Raw_Shipments!L1491:L3919,MATCH(A1491,Raw_Shipments!B1491:B3919))</f>
        <v>No</v>
      </c>
    </row>
    <row r="1492" spans="1:12" x14ac:dyDescent="0.3">
      <c r="A1492" s="2" t="s">
        <v>1641</v>
      </c>
      <c r="B1492" s="3">
        <v>45887</v>
      </c>
      <c r="C1492" s="2" t="s">
        <v>104</v>
      </c>
      <c r="D1492" s="2" t="s">
        <v>30</v>
      </c>
      <c r="E1492" s="2" t="s">
        <v>20</v>
      </c>
      <c r="F1492" s="2" t="s">
        <v>21</v>
      </c>
      <c r="G1492" s="2" t="s">
        <v>22</v>
      </c>
      <c r="H1492" s="2">
        <v>8</v>
      </c>
      <c r="I1492" s="4">
        <v>2108.56</v>
      </c>
      <c r="J1492" s="3">
        <v>45896</v>
      </c>
      <c r="K1492">
        <f t="shared" si="23"/>
        <v>16868.48</v>
      </c>
      <c r="L1492" t="str">
        <f>INDEX(Raw_Shipments!L1492:L3920,MATCH(A1492,Raw_Shipments!B1492:B3920))</f>
        <v>No</v>
      </c>
    </row>
    <row r="1493" spans="1:12" x14ac:dyDescent="0.3">
      <c r="A1493" s="5" t="s">
        <v>1642</v>
      </c>
      <c r="B1493" s="6">
        <v>45887</v>
      </c>
      <c r="C1493" s="5" t="s">
        <v>438</v>
      </c>
      <c r="D1493" s="5" t="s">
        <v>30</v>
      </c>
      <c r="E1493" s="5" t="s">
        <v>119</v>
      </c>
      <c r="F1493" s="5" t="s">
        <v>120</v>
      </c>
      <c r="G1493" s="5" t="s">
        <v>22</v>
      </c>
      <c r="H1493" s="5">
        <v>61</v>
      </c>
      <c r="I1493" s="7">
        <v>912.26</v>
      </c>
      <c r="J1493" s="6">
        <v>45891</v>
      </c>
      <c r="K1493">
        <f t="shared" si="23"/>
        <v>55647.86</v>
      </c>
      <c r="L1493" t="str">
        <f>INDEX(Raw_Shipments!L1493:L3921,MATCH(A1493,Raw_Shipments!B1493:B3921))</f>
        <v>No</v>
      </c>
    </row>
    <row r="1494" spans="1:12" x14ac:dyDescent="0.3">
      <c r="A1494" s="2" t="s">
        <v>1643</v>
      </c>
      <c r="B1494" s="3">
        <v>45887</v>
      </c>
      <c r="C1494" s="2" t="s">
        <v>217</v>
      </c>
      <c r="D1494" s="2" t="s">
        <v>45</v>
      </c>
      <c r="E1494" s="2" t="s">
        <v>26</v>
      </c>
      <c r="F1494" s="2" t="s">
        <v>27</v>
      </c>
      <c r="G1494" s="2" t="s">
        <v>22</v>
      </c>
      <c r="H1494" s="2">
        <v>31</v>
      </c>
      <c r="I1494" s="4">
        <v>1646.8</v>
      </c>
      <c r="J1494" s="3">
        <v>45894</v>
      </c>
      <c r="K1494">
        <f t="shared" si="23"/>
        <v>51050.799999999996</v>
      </c>
      <c r="L1494" t="str">
        <f>INDEX(Raw_Shipments!L1494:L3922,MATCH(A1494,Raw_Shipments!B1494:B3922))</f>
        <v>No</v>
      </c>
    </row>
    <row r="1495" spans="1:12" x14ac:dyDescent="0.3">
      <c r="A1495" s="5" t="s">
        <v>1644</v>
      </c>
      <c r="B1495" s="6">
        <v>45887</v>
      </c>
      <c r="C1495" s="5" t="s">
        <v>96</v>
      </c>
      <c r="D1495" s="5" t="s">
        <v>45</v>
      </c>
      <c r="E1495" s="5" t="s">
        <v>86</v>
      </c>
      <c r="F1495" s="5" t="s">
        <v>87</v>
      </c>
      <c r="G1495" s="5" t="s">
        <v>33</v>
      </c>
      <c r="H1495" s="5">
        <v>27</v>
      </c>
      <c r="I1495" s="7">
        <v>815.88</v>
      </c>
      <c r="J1495" s="6">
        <v>45894</v>
      </c>
      <c r="K1495">
        <f t="shared" si="23"/>
        <v>22028.76</v>
      </c>
      <c r="L1495" t="str">
        <f>INDEX(Raw_Shipments!L1495:L3923,MATCH(A1495,Raw_Shipments!B1495:B3923))</f>
        <v>Yes</v>
      </c>
    </row>
    <row r="1496" spans="1:12" x14ac:dyDescent="0.3">
      <c r="A1496" s="2" t="s">
        <v>1645</v>
      </c>
      <c r="B1496" s="3">
        <v>45887</v>
      </c>
      <c r="C1496" s="2" t="s">
        <v>172</v>
      </c>
      <c r="D1496" s="2" t="s">
        <v>30</v>
      </c>
      <c r="E1496" s="2" t="s">
        <v>40</v>
      </c>
      <c r="F1496" s="2" t="s">
        <v>41</v>
      </c>
      <c r="G1496" s="2" t="s">
        <v>42</v>
      </c>
      <c r="H1496" s="2">
        <v>23</v>
      </c>
      <c r="I1496" s="4">
        <v>2445.11</v>
      </c>
      <c r="J1496" s="3">
        <v>45892</v>
      </c>
      <c r="K1496">
        <f t="shared" si="23"/>
        <v>56237.530000000006</v>
      </c>
      <c r="L1496" t="str">
        <f>INDEX(Raw_Shipments!L1496:L3924,MATCH(A1496,Raw_Shipments!B1496:B3924))</f>
        <v>No</v>
      </c>
    </row>
    <row r="1497" spans="1:12" x14ac:dyDescent="0.3">
      <c r="A1497" s="5" t="s">
        <v>1646</v>
      </c>
      <c r="B1497" s="6">
        <v>45887</v>
      </c>
      <c r="C1497" s="5" t="s">
        <v>93</v>
      </c>
      <c r="D1497" s="5" t="s">
        <v>30</v>
      </c>
      <c r="E1497" s="5" t="s">
        <v>46</v>
      </c>
      <c r="F1497" s="5" t="s">
        <v>47</v>
      </c>
      <c r="G1497" s="5" t="s">
        <v>42</v>
      </c>
      <c r="H1497" s="5">
        <v>7</v>
      </c>
      <c r="I1497" s="7">
        <v>1833.14</v>
      </c>
      <c r="J1497" s="6">
        <v>45897</v>
      </c>
      <c r="K1497">
        <f t="shared" si="23"/>
        <v>12831.980000000001</v>
      </c>
      <c r="L1497" t="str">
        <f>INDEX(Raw_Shipments!L1497:L3925,MATCH(A1497,Raw_Shipments!B1497:B3925))</f>
        <v>No</v>
      </c>
    </row>
    <row r="1498" spans="1:12" x14ac:dyDescent="0.3">
      <c r="A1498" s="2" t="s">
        <v>1647</v>
      </c>
      <c r="B1498" s="3">
        <v>45888</v>
      </c>
      <c r="C1498" s="2" t="s">
        <v>356</v>
      </c>
      <c r="D1498" s="2" t="s">
        <v>25</v>
      </c>
      <c r="E1498" s="2" t="s">
        <v>53</v>
      </c>
      <c r="F1498" s="2" t="s">
        <v>54</v>
      </c>
      <c r="G1498" s="2" t="s">
        <v>55</v>
      </c>
      <c r="H1498" s="2">
        <v>44</v>
      </c>
      <c r="I1498" s="4">
        <v>2055.9</v>
      </c>
      <c r="J1498" s="3">
        <v>45891</v>
      </c>
      <c r="K1498">
        <f t="shared" si="23"/>
        <v>90459.6</v>
      </c>
      <c r="L1498" t="str">
        <f>INDEX(Raw_Shipments!L1498:L3926,MATCH(A1498,Raw_Shipments!B1498:B3926))</f>
        <v>No</v>
      </c>
    </row>
    <row r="1499" spans="1:12" x14ac:dyDescent="0.3">
      <c r="A1499" s="5" t="s">
        <v>1648</v>
      </c>
      <c r="B1499" s="6">
        <v>45888</v>
      </c>
      <c r="C1499" s="5" t="s">
        <v>57</v>
      </c>
      <c r="D1499" s="5" t="s">
        <v>25</v>
      </c>
      <c r="E1499" s="5" t="s">
        <v>58</v>
      </c>
      <c r="F1499" s="5" t="s">
        <v>59</v>
      </c>
      <c r="G1499" s="5" t="s">
        <v>55</v>
      </c>
      <c r="H1499" s="5">
        <v>22</v>
      </c>
      <c r="I1499" s="7">
        <v>1695.1</v>
      </c>
      <c r="J1499" s="6">
        <v>45893</v>
      </c>
      <c r="K1499">
        <f t="shared" si="23"/>
        <v>37292.199999999997</v>
      </c>
      <c r="L1499" t="str">
        <f>INDEX(Raw_Shipments!L1499:L3927,MATCH(A1499,Raw_Shipments!B1499:B3927))</f>
        <v>No</v>
      </c>
    </row>
    <row r="1500" spans="1:12" x14ac:dyDescent="0.3">
      <c r="A1500" s="2" t="s">
        <v>1649</v>
      </c>
      <c r="B1500" s="3">
        <v>45888</v>
      </c>
      <c r="C1500" s="2" t="s">
        <v>77</v>
      </c>
      <c r="D1500" s="2" t="s">
        <v>45</v>
      </c>
      <c r="E1500" s="2" t="s">
        <v>97</v>
      </c>
      <c r="F1500" s="2" t="s">
        <v>98</v>
      </c>
      <c r="G1500" s="2" t="s">
        <v>17</v>
      </c>
      <c r="H1500" s="2">
        <v>35</v>
      </c>
      <c r="I1500" s="4">
        <v>1110.6500000000001</v>
      </c>
      <c r="J1500" s="3">
        <v>45898</v>
      </c>
      <c r="K1500">
        <f t="shared" si="23"/>
        <v>38872.75</v>
      </c>
      <c r="L1500" t="str">
        <f>INDEX(Raw_Shipments!L1500:L3928,MATCH(A1500,Raw_Shipments!B1500:B3928))</f>
        <v>No</v>
      </c>
    </row>
    <row r="1501" spans="1:12" x14ac:dyDescent="0.3">
      <c r="A1501" s="5" t="s">
        <v>1650</v>
      </c>
      <c r="B1501" s="6">
        <v>45888</v>
      </c>
      <c r="C1501" s="5" t="s">
        <v>438</v>
      </c>
      <c r="D1501" s="5" t="s">
        <v>45</v>
      </c>
      <c r="E1501" s="5" t="s">
        <v>26</v>
      </c>
      <c r="F1501" s="5" t="s">
        <v>27</v>
      </c>
      <c r="G1501" s="5" t="s">
        <v>22</v>
      </c>
      <c r="H1501" s="5">
        <v>23</v>
      </c>
      <c r="I1501" s="7">
        <v>1646.8</v>
      </c>
      <c r="J1501" s="6">
        <v>45891</v>
      </c>
      <c r="K1501">
        <f t="shared" si="23"/>
        <v>37876.400000000001</v>
      </c>
      <c r="L1501" t="str">
        <f>INDEX(Raw_Shipments!L1501:L3929,MATCH(A1501,Raw_Shipments!B1501:B3929))</f>
        <v>No</v>
      </c>
    </row>
    <row r="1502" spans="1:12" x14ac:dyDescent="0.3">
      <c r="A1502" s="2" t="s">
        <v>1651</v>
      </c>
      <c r="B1502" s="3">
        <v>45888</v>
      </c>
      <c r="C1502" s="2" t="s">
        <v>248</v>
      </c>
      <c r="D1502" s="2" t="s">
        <v>30</v>
      </c>
      <c r="E1502" s="2" t="s">
        <v>31</v>
      </c>
      <c r="F1502" s="2" t="s">
        <v>32</v>
      </c>
      <c r="G1502" s="2" t="s">
        <v>33</v>
      </c>
      <c r="H1502" s="2">
        <v>45</v>
      </c>
      <c r="I1502" s="4">
        <v>689</v>
      </c>
      <c r="J1502" s="3">
        <v>45892</v>
      </c>
      <c r="K1502">
        <f t="shared" si="23"/>
        <v>31005</v>
      </c>
      <c r="L1502" t="str">
        <f>INDEX(Raw_Shipments!L1502:L3930,MATCH(A1502,Raw_Shipments!B1502:B3930))</f>
        <v>No</v>
      </c>
    </row>
    <row r="1503" spans="1:12" x14ac:dyDescent="0.3">
      <c r="A1503" s="5" t="s">
        <v>1652</v>
      </c>
      <c r="B1503" s="6">
        <v>45888</v>
      </c>
      <c r="C1503" s="5" t="s">
        <v>117</v>
      </c>
      <c r="D1503" s="5" t="s">
        <v>30</v>
      </c>
      <c r="E1503" s="5" t="s">
        <v>40</v>
      </c>
      <c r="F1503" s="5" t="s">
        <v>41</v>
      </c>
      <c r="G1503" s="5" t="s">
        <v>42</v>
      </c>
      <c r="H1503" s="5">
        <v>33</v>
      </c>
      <c r="I1503" s="7">
        <v>2445.11</v>
      </c>
      <c r="J1503" s="6">
        <v>45898</v>
      </c>
      <c r="K1503">
        <f t="shared" si="23"/>
        <v>80688.63</v>
      </c>
      <c r="L1503" t="str">
        <f>INDEX(Raw_Shipments!L1503:L3931,MATCH(A1503,Raw_Shipments!B1503:B3931))</f>
        <v>No</v>
      </c>
    </row>
    <row r="1504" spans="1:12" x14ac:dyDescent="0.3">
      <c r="A1504" s="2" t="s">
        <v>1653</v>
      </c>
      <c r="B1504" s="3">
        <v>45888</v>
      </c>
      <c r="C1504" s="2" t="s">
        <v>343</v>
      </c>
      <c r="D1504" s="2" t="s">
        <v>30</v>
      </c>
      <c r="E1504" s="2" t="s">
        <v>46</v>
      </c>
      <c r="F1504" s="2" t="s">
        <v>47</v>
      </c>
      <c r="G1504" s="2" t="s">
        <v>42</v>
      </c>
      <c r="H1504" s="2">
        <v>7</v>
      </c>
      <c r="I1504" s="4">
        <v>1833.14</v>
      </c>
      <c r="J1504" s="3">
        <v>45897</v>
      </c>
      <c r="K1504">
        <f t="shared" si="23"/>
        <v>12831.980000000001</v>
      </c>
      <c r="L1504" t="str">
        <f>INDEX(Raw_Shipments!L1504:L3932,MATCH(A1504,Raw_Shipments!B1504:B3932))</f>
        <v>No</v>
      </c>
    </row>
    <row r="1505" spans="1:12" x14ac:dyDescent="0.3">
      <c r="A1505" s="5" t="s">
        <v>1654</v>
      </c>
      <c r="B1505" s="6">
        <v>45888</v>
      </c>
      <c r="C1505" s="5" t="s">
        <v>222</v>
      </c>
      <c r="D1505" s="5" t="s">
        <v>25</v>
      </c>
      <c r="E1505" s="5" t="s">
        <v>50</v>
      </c>
      <c r="F1505" s="5" t="s">
        <v>51</v>
      </c>
      <c r="G1505" s="5" t="s">
        <v>42</v>
      </c>
      <c r="H1505" s="5">
        <v>10</v>
      </c>
      <c r="I1505" s="7">
        <v>1952.28</v>
      </c>
      <c r="J1505" s="6">
        <v>45896</v>
      </c>
      <c r="K1505">
        <f t="shared" si="23"/>
        <v>19522.8</v>
      </c>
      <c r="L1505" t="str">
        <f>INDEX(Raw_Shipments!L1505:L3933,MATCH(A1505,Raw_Shipments!B1505:B3933))</f>
        <v>No</v>
      </c>
    </row>
    <row r="1506" spans="1:12" x14ac:dyDescent="0.3">
      <c r="A1506" s="2" t="s">
        <v>1655</v>
      </c>
      <c r="B1506" s="3">
        <v>45889</v>
      </c>
      <c r="C1506" s="2" t="s">
        <v>100</v>
      </c>
      <c r="D1506" s="2" t="s">
        <v>25</v>
      </c>
      <c r="E1506" s="2" t="s">
        <v>53</v>
      </c>
      <c r="F1506" s="2" t="s">
        <v>54</v>
      </c>
      <c r="G1506" s="2" t="s">
        <v>55</v>
      </c>
      <c r="H1506" s="2">
        <v>27</v>
      </c>
      <c r="I1506" s="4">
        <v>2055.9</v>
      </c>
      <c r="J1506" s="3">
        <v>45899</v>
      </c>
      <c r="K1506">
        <f t="shared" si="23"/>
        <v>55509.3</v>
      </c>
      <c r="L1506" t="str">
        <f>INDEX(Raw_Shipments!L1506:L3934,MATCH(A1506,Raw_Shipments!B1506:B3934))</f>
        <v>Yes</v>
      </c>
    </row>
    <row r="1507" spans="1:12" x14ac:dyDescent="0.3">
      <c r="A1507" s="5" t="s">
        <v>1656</v>
      </c>
      <c r="B1507" s="6">
        <v>45889</v>
      </c>
      <c r="C1507" s="5" t="s">
        <v>185</v>
      </c>
      <c r="D1507" s="5" t="s">
        <v>45</v>
      </c>
      <c r="E1507" s="5" t="s">
        <v>97</v>
      </c>
      <c r="F1507" s="5" t="s">
        <v>98</v>
      </c>
      <c r="G1507" s="5" t="s">
        <v>17</v>
      </c>
      <c r="H1507" s="5">
        <v>23</v>
      </c>
      <c r="I1507" s="7">
        <v>1110.6500000000001</v>
      </c>
      <c r="J1507" s="6">
        <v>45895</v>
      </c>
      <c r="K1507">
        <f t="shared" si="23"/>
        <v>25544.95</v>
      </c>
      <c r="L1507" t="str">
        <f>INDEX(Raw_Shipments!L1507:L3935,MATCH(A1507,Raw_Shipments!B1507:B3935))</f>
        <v>No</v>
      </c>
    </row>
    <row r="1508" spans="1:12" x14ac:dyDescent="0.3">
      <c r="A1508" s="2" t="s">
        <v>1657</v>
      </c>
      <c r="B1508" s="3">
        <v>45889</v>
      </c>
      <c r="C1508" s="2" t="s">
        <v>456</v>
      </c>
      <c r="D1508" s="2" t="s">
        <v>45</v>
      </c>
      <c r="E1508" s="2" t="s">
        <v>119</v>
      </c>
      <c r="F1508" s="2" t="s">
        <v>120</v>
      </c>
      <c r="G1508" s="2" t="s">
        <v>22</v>
      </c>
      <c r="H1508" s="2">
        <v>49</v>
      </c>
      <c r="I1508" s="4">
        <v>912.26</v>
      </c>
      <c r="J1508" s="3">
        <v>45899</v>
      </c>
      <c r="K1508">
        <f t="shared" si="23"/>
        <v>44700.74</v>
      </c>
      <c r="L1508" t="str">
        <f>INDEX(Raw_Shipments!L1508:L3936,MATCH(A1508,Raw_Shipments!B1508:B3936))</f>
        <v>Yes</v>
      </c>
    </row>
    <row r="1509" spans="1:12" x14ac:dyDescent="0.3">
      <c r="A1509" s="5" t="s">
        <v>1658</v>
      </c>
      <c r="B1509" s="6">
        <v>45889</v>
      </c>
      <c r="C1509" s="5" t="s">
        <v>150</v>
      </c>
      <c r="D1509" s="5" t="s">
        <v>30</v>
      </c>
      <c r="E1509" s="5" t="s">
        <v>26</v>
      </c>
      <c r="F1509" s="5" t="s">
        <v>27</v>
      </c>
      <c r="G1509" s="5" t="s">
        <v>22</v>
      </c>
      <c r="H1509" s="5">
        <v>8</v>
      </c>
      <c r="I1509" s="7">
        <v>1646.8</v>
      </c>
      <c r="J1509" s="6">
        <v>45892</v>
      </c>
      <c r="K1509">
        <f t="shared" si="23"/>
        <v>13174.4</v>
      </c>
      <c r="L1509" t="str">
        <f>INDEX(Raw_Shipments!L1509:L3937,MATCH(A1509,Raw_Shipments!B1509:B3937))</f>
        <v>No</v>
      </c>
    </row>
    <row r="1510" spans="1:12" x14ac:dyDescent="0.3">
      <c r="A1510" s="2" t="s">
        <v>1659</v>
      </c>
      <c r="B1510" s="3">
        <v>45889</v>
      </c>
      <c r="C1510" s="2" t="s">
        <v>29</v>
      </c>
      <c r="D1510" s="2" t="s">
        <v>30</v>
      </c>
      <c r="E1510" s="2" t="s">
        <v>31</v>
      </c>
      <c r="F1510" s="2" t="s">
        <v>32</v>
      </c>
      <c r="G1510" s="2" t="s">
        <v>33</v>
      </c>
      <c r="H1510" s="2">
        <v>34</v>
      </c>
      <c r="I1510" s="4">
        <v>689</v>
      </c>
      <c r="J1510" s="3">
        <v>45893</v>
      </c>
      <c r="K1510">
        <f t="shared" si="23"/>
        <v>23426</v>
      </c>
      <c r="L1510" t="str">
        <f>INDEX(Raw_Shipments!L1510:L3938,MATCH(A1510,Raw_Shipments!B1510:B3938))</f>
        <v>No</v>
      </c>
    </row>
    <row r="1511" spans="1:12" x14ac:dyDescent="0.3">
      <c r="A1511" s="5" t="s">
        <v>1660</v>
      </c>
      <c r="B1511" s="6">
        <v>45889</v>
      </c>
      <c r="C1511" s="5" t="s">
        <v>260</v>
      </c>
      <c r="D1511" s="5" t="s">
        <v>14</v>
      </c>
      <c r="E1511" s="5" t="s">
        <v>36</v>
      </c>
      <c r="F1511" s="5" t="s">
        <v>37</v>
      </c>
      <c r="G1511" s="5" t="s">
        <v>33</v>
      </c>
      <c r="H1511" s="5">
        <v>34</v>
      </c>
      <c r="I1511" s="7">
        <v>1064.79</v>
      </c>
      <c r="J1511" s="6">
        <v>45899</v>
      </c>
      <c r="K1511">
        <f t="shared" si="23"/>
        <v>36202.86</v>
      </c>
      <c r="L1511" t="str">
        <f>INDEX(Raw_Shipments!L1511:L3939,MATCH(A1511,Raw_Shipments!B1511:B3939))</f>
        <v>No</v>
      </c>
    </row>
    <row r="1512" spans="1:12" x14ac:dyDescent="0.3">
      <c r="A1512" s="2" t="s">
        <v>1661</v>
      </c>
      <c r="B1512" s="3">
        <v>45889</v>
      </c>
      <c r="C1512" s="2" t="s">
        <v>232</v>
      </c>
      <c r="D1512" s="2" t="s">
        <v>25</v>
      </c>
      <c r="E1512" s="2" t="s">
        <v>40</v>
      </c>
      <c r="F1512" s="2" t="s">
        <v>41</v>
      </c>
      <c r="G1512" s="2" t="s">
        <v>42</v>
      </c>
      <c r="H1512" s="2">
        <v>28</v>
      </c>
      <c r="I1512" s="4">
        <v>2445.11</v>
      </c>
      <c r="J1512" s="3">
        <v>45898</v>
      </c>
      <c r="K1512">
        <f t="shared" si="23"/>
        <v>68463.08</v>
      </c>
      <c r="L1512" t="str">
        <f>INDEX(Raw_Shipments!L1512:L3940,MATCH(A1512,Raw_Shipments!B1512:B3940))</f>
        <v>No</v>
      </c>
    </row>
    <row r="1513" spans="1:12" x14ac:dyDescent="0.3">
      <c r="A1513" s="5" t="s">
        <v>1662</v>
      </c>
      <c r="B1513" s="6">
        <v>45889</v>
      </c>
      <c r="C1513" s="5" t="s">
        <v>260</v>
      </c>
      <c r="D1513" s="5" t="s">
        <v>30</v>
      </c>
      <c r="E1513" s="5" t="s">
        <v>46</v>
      </c>
      <c r="F1513" s="5" t="s">
        <v>47</v>
      </c>
      <c r="G1513" s="5" t="s">
        <v>42</v>
      </c>
      <c r="H1513" s="5">
        <v>5</v>
      </c>
      <c r="I1513" s="7">
        <v>1833.14</v>
      </c>
      <c r="J1513" s="6">
        <v>45897</v>
      </c>
      <c r="K1513">
        <f t="shared" si="23"/>
        <v>9165.7000000000007</v>
      </c>
      <c r="L1513" t="str">
        <f>INDEX(Raw_Shipments!L1513:L3941,MATCH(A1513,Raw_Shipments!B1513:B3941))</f>
        <v>No</v>
      </c>
    </row>
    <row r="1514" spans="1:12" x14ac:dyDescent="0.3">
      <c r="A1514" s="2" t="s">
        <v>1663</v>
      </c>
      <c r="B1514" s="3">
        <v>45890</v>
      </c>
      <c r="C1514" s="2" t="s">
        <v>170</v>
      </c>
      <c r="D1514" s="2" t="s">
        <v>14</v>
      </c>
      <c r="E1514" s="2" t="s">
        <v>58</v>
      </c>
      <c r="F1514" s="2" t="s">
        <v>59</v>
      </c>
      <c r="G1514" s="2" t="s">
        <v>55</v>
      </c>
      <c r="H1514" s="2">
        <v>15</v>
      </c>
      <c r="I1514" s="4">
        <v>1695.1</v>
      </c>
      <c r="J1514" s="3">
        <v>45899</v>
      </c>
      <c r="K1514">
        <f t="shared" si="23"/>
        <v>25426.5</v>
      </c>
      <c r="L1514" t="str">
        <f>INDEX(Raw_Shipments!L1514:L3942,MATCH(A1514,Raw_Shipments!B1514:B3942))</f>
        <v>No</v>
      </c>
    </row>
    <row r="1515" spans="1:12" x14ac:dyDescent="0.3">
      <c r="A1515" s="5" t="s">
        <v>1664</v>
      </c>
      <c r="B1515" s="6">
        <v>45890</v>
      </c>
      <c r="C1515" s="5" t="s">
        <v>128</v>
      </c>
      <c r="D1515" s="5" t="s">
        <v>25</v>
      </c>
      <c r="E1515" s="5" t="s">
        <v>62</v>
      </c>
      <c r="F1515" s="5" t="s">
        <v>63</v>
      </c>
      <c r="G1515" s="5" t="s">
        <v>55</v>
      </c>
      <c r="H1515" s="5">
        <v>24</v>
      </c>
      <c r="I1515" s="7">
        <v>2555.2199999999998</v>
      </c>
      <c r="J1515" s="6">
        <v>45895</v>
      </c>
      <c r="K1515">
        <f t="shared" si="23"/>
        <v>61325.279999999999</v>
      </c>
      <c r="L1515" t="str">
        <f>INDEX(Raw_Shipments!L1515:L3943,MATCH(A1515,Raw_Shipments!B1515:B3943))</f>
        <v>No</v>
      </c>
    </row>
    <row r="1516" spans="1:12" x14ac:dyDescent="0.3">
      <c r="A1516" s="2" t="s">
        <v>1665</v>
      </c>
      <c r="B1516" s="3">
        <v>45890</v>
      </c>
      <c r="C1516" s="2" t="s">
        <v>185</v>
      </c>
      <c r="D1516" s="2" t="s">
        <v>45</v>
      </c>
      <c r="E1516" s="2" t="s">
        <v>66</v>
      </c>
      <c r="F1516" s="2" t="s">
        <v>67</v>
      </c>
      <c r="G1516" s="2" t="s">
        <v>17</v>
      </c>
      <c r="H1516" s="2">
        <v>22</v>
      </c>
      <c r="I1516" s="4">
        <v>850.8</v>
      </c>
      <c r="J1516" s="3">
        <v>45900</v>
      </c>
      <c r="K1516">
        <f t="shared" si="23"/>
        <v>18717.599999999999</v>
      </c>
      <c r="L1516" t="str">
        <f>INDEX(Raw_Shipments!L1516:L3944,MATCH(A1516,Raw_Shipments!B1516:B3944))</f>
        <v>No</v>
      </c>
    </row>
    <row r="1517" spans="1:12" x14ac:dyDescent="0.3">
      <c r="A1517" s="5" t="s">
        <v>1666</v>
      </c>
      <c r="B1517" s="6">
        <v>45890</v>
      </c>
      <c r="C1517" s="5" t="s">
        <v>175</v>
      </c>
      <c r="D1517" s="5" t="s">
        <v>14</v>
      </c>
      <c r="E1517" s="5" t="s">
        <v>20</v>
      </c>
      <c r="F1517" s="5" t="s">
        <v>21</v>
      </c>
      <c r="G1517" s="5" t="s">
        <v>22</v>
      </c>
      <c r="H1517" s="5">
        <v>7</v>
      </c>
      <c r="I1517" s="7">
        <v>2108.56</v>
      </c>
      <c r="J1517" s="6">
        <v>45893</v>
      </c>
      <c r="K1517">
        <f t="shared" si="23"/>
        <v>14759.92</v>
      </c>
      <c r="L1517" t="str">
        <f>INDEX(Raw_Shipments!L1517:L3945,MATCH(A1517,Raw_Shipments!B1517:B3945))</f>
        <v>No</v>
      </c>
    </row>
    <row r="1518" spans="1:12" x14ac:dyDescent="0.3">
      <c r="A1518" s="2" t="s">
        <v>1667</v>
      </c>
      <c r="B1518" s="3">
        <v>45890</v>
      </c>
      <c r="C1518" s="2" t="s">
        <v>122</v>
      </c>
      <c r="D1518" s="2" t="s">
        <v>30</v>
      </c>
      <c r="E1518" s="2" t="s">
        <v>36</v>
      </c>
      <c r="F1518" s="2" t="s">
        <v>37</v>
      </c>
      <c r="G1518" s="2" t="s">
        <v>33</v>
      </c>
      <c r="H1518" s="2">
        <v>38</v>
      </c>
      <c r="I1518" s="4">
        <v>1064.79</v>
      </c>
      <c r="J1518" s="3">
        <v>45895</v>
      </c>
      <c r="K1518">
        <f t="shared" si="23"/>
        <v>40462.019999999997</v>
      </c>
      <c r="L1518" t="str">
        <f>INDEX(Raw_Shipments!L1518:L3946,MATCH(A1518,Raw_Shipments!B1518:B3946))</f>
        <v>No</v>
      </c>
    </row>
    <row r="1519" spans="1:12" x14ac:dyDescent="0.3">
      <c r="A1519" s="5" t="s">
        <v>1668</v>
      </c>
      <c r="B1519" s="6">
        <v>45890</v>
      </c>
      <c r="C1519" s="5" t="s">
        <v>213</v>
      </c>
      <c r="D1519" s="5" t="s">
        <v>45</v>
      </c>
      <c r="E1519" s="5" t="s">
        <v>86</v>
      </c>
      <c r="F1519" s="5" t="s">
        <v>87</v>
      </c>
      <c r="G1519" s="5" t="s">
        <v>33</v>
      </c>
      <c r="H1519" s="5">
        <v>20</v>
      </c>
      <c r="I1519" s="7">
        <v>815.88</v>
      </c>
      <c r="J1519" s="6">
        <v>45896</v>
      </c>
      <c r="K1519">
        <f t="shared" si="23"/>
        <v>16317.6</v>
      </c>
      <c r="L1519" t="str">
        <f>INDEX(Raw_Shipments!L1519:L3947,MATCH(A1519,Raw_Shipments!B1519:B3947))</f>
        <v>No</v>
      </c>
    </row>
    <row r="1520" spans="1:12" x14ac:dyDescent="0.3">
      <c r="A1520" s="2" t="s">
        <v>1669</v>
      </c>
      <c r="B1520" s="3">
        <v>45890</v>
      </c>
      <c r="C1520" s="2" t="s">
        <v>331</v>
      </c>
      <c r="D1520" s="2" t="s">
        <v>45</v>
      </c>
      <c r="E1520" s="2" t="s">
        <v>40</v>
      </c>
      <c r="F1520" s="2" t="s">
        <v>41</v>
      </c>
      <c r="G1520" s="2" t="s">
        <v>42</v>
      </c>
      <c r="H1520" s="2">
        <v>21</v>
      </c>
      <c r="I1520" s="4">
        <v>2445.11</v>
      </c>
      <c r="J1520" s="3">
        <v>45897</v>
      </c>
      <c r="K1520">
        <f t="shared" si="23"/>
        <v>51347.310000000005</v>
      </c>
      <c r="L1520" t="str">
        <f>INDEX(Raw_Shipments!L1520:L3948,MATCH(A1520,Raw_Shipments!B1520:B3948))</f>
        <v>No</v>
      </c>
    </row>
    <row r="1521" spans="1:12" x14ac:dyDescent="0.3">
      <c r="A1521" s="5" t="s">
        <v>1670</v>
      </c>
      <c r="B1521" s="6">
        <v>45891</v>
      </c>
      <c r="C1521" s="5" t="s">
        <v>234</v>
      </c>
      <c r="D1521" s="5" t="s">
        <v>30</v>
      </c>
      <c r="E1521" s="5" t="s">
        <v>58</v>
      </c>
      <c r="F1521" s="5" t="s">
        <v>59</v>
      </c>
      <c r="G1521" s="5" t="s">
        <v>55</v>
      </c>
      <c r="H1521" s="5">
        <v>21</v>
      </c>
      <c r="I1521" s="7">
        <v>1695.1</v>
      </c>
      <c r="J1521" s="6">
        <v>45899</v>
      </c>
      <c r="K1521">
        <f t="shared" si="23"/>
        <v>35597.1</v>
      </c>
      <c r="L1521" t="str">
        <f>INDEX(Raw_Shipments!L1521:L3949,MATCH(A1521,Raw_Shipments!B1521:B3949))</f>
        <v>Yes</v>
      </c>
    </row>
    <row r="1522" spans="1:12" x14ac:dyDescent="0.3">
      <c r="A1522" s="2" t="s">
        <v>1671</v>
      </c>
      <c r="B1522" s="3">
        <v>45891</v>
      </c>
      <c r="C1522" s="2" t="s">
        <v>217</v>
      </c>
      <c r="D1522" s="2" t="s">
        <v>14</v>
      </c>
      <c r="E1522" s="2" t="s">
        <v>97</v>
      </c>
      <c r="F1522" s="2" t="s">
        <v>98</v>
      </c>
      <c r="G1522" s="2" t="s">
        <v>17</v>
      </c>
      <c r="H1522" s="2">
        <v>31</v>
      </c>
      <c r="I1522" s="4">
        <v>1110.6500000000001</v>
      </c>
      <c r="J1522" s="3">
        <v>45896</v>
      </c>
      <c r="K1522">
        <f t="shared" si="23"/>
        <v>34430.15</v>
      </c>
      <c r="L1522" t="str">
        <f>INDEX(Raw_Shipments!L1522:L3950,MATCH(A1522,Raw_Shipments!B1522:B3950))</f>
        <v>No</v>
      </c>
    </row>
    <row r="1523" spans="1:12" x14ac:dyDescent="0.3">
      <c r="A1523" s="5" t="s">
        <v>1672</v>
      </c>
      <c r="B1523" s="6">
        <v>45891</v>
      </c>
      <c r="C1523" s="5" t="s">
        <v>144</v>
      </c>
      <c r="D1523" s="5" t="s">
        <v>25</v>
      </c>
      <c r="E1523" s="5" t="s">
        <v>20</v>
      </c>
      <c r="F1523" s="5" t="s">
        <v>21</v>
      </c>
      <c r="G1523" s="5" t="s">
        <v>22</v>
      </c>
      <c r="H1523" s="5">
        <v>18</v>
      </c>
      <c r="I1523" s="7">
        <v>2108.56</v>
      </c>
      <c r="J1523" s="6">
        <v>45900</v>
      </c>
      <c r="K1523">
        <f t="shared" si="23"/>
        <v>37954.080000000002</v>
      </c>
      <c r="L1523" t="str">
        <f>INDEX(Raw_Shipments!L1523:L3951,MATCH(A1523,Raw_Shipments!B1523:B3951))</f>
        <v>Yes</v>
      </c>
    </row>
    <row r="1524" spans="1:12" x14ac:dyDescent="0.3">
      <c r="A1524" s="2" t="s">
        <v>1673</v>
      </c>
      <c r="B1524" s="3">
        <v>45891</v>
      </c>
      <c r="C1524" s="2" t="s">
        <v>473</v>
      </c>
      <c r="D1524" s="2" t="s">
        <v>45</v>
      </c>
      <c r="E1524" s="2" t="s">
        <v>36</v>
      </c>
      <c r="F1524" s="2" t="s">
        <v>37</v>
      </c>
      <c r="G1524" s="2" t="s">
        <v>33</v>
      </c>
      <c r="H1524" s="2">
        <v>60</v>
      </c>
      <c r="I1524" s="4">
        <v>1064.79</v>
      </c>
      <c r="J1524" s="3">
        <v>45895</v>
      </c>
      <c r="K1524">
        <f t="shared" si="23"/>
        <v>63887.399999999994</v>
      </c>
      <c r="L1524" t="str">
        <f>INDEX(Raw_Shipments!L1524:L3952,MATCH(A1524,Raw_Shipments!B1524:B3952))</f>
        <v>No</v>
      </c>
    </row>
    <row r="1525" spans="1:12" x14ac:dyDescent="0.3">
      <c r="A1525" s="5" t="s">
        <v>1674</v>
      </c>
      <c r="B1525" s="6">
        <v>45891</v>
      </c>
      <c r="C1525" s="5" t="s">
        <v>89</v>
      </c>
      <c r="D1525" s="5" t="s">
        <v>45</v>
      </c>
      <c r="E1525" s="5" t="s">
        <v>40</v>
      </c>
      <c r="F1525" s="5" t="s">
        <v>41</v>
      </c>
      <c r="G1525" s="5" t="s">
        <v>42</v>
      </c>
      <c r="H1525" s="5">
        <v>35</v>
      </c>
      <c r="I1525" s="7">
        <v>2445.11</v>
      </c>
      <c r="J1525" s="6">
        <v>45901</v>
      </c>
      <c r="K1525">
        <f t="shared" si="23"/>
        <v>85578.85</v>
      </c>
      <c r="L1525" t="str">
        <f>INDEX(Raw_Shipments!L1525:L3953,MATCH(A1525,Raw_Shipments!B1525:B3953))</f>
        <v>No</v>
      </c>
    </row>
    <row r="1526" spans="1:12" x14ac:dyDescent="0.3">
      <c r="A1526" s="2" t="s">
        <v>1675</v>
      </c>
      <c r="B1526" s="3">
        <v>45892</v>
      </c>
      <c r="C1526" s="2" t="s">
        <v>595</v>
      </c>
      <c r="D1526" s="2" t="s">
        <v>30</v>
      </c>
      <c r="E1526" s="2" t="s">
        <v>66</v>
      </c>
      <c r="F1526" s="2" t="s">
        <v>67</v>
      </c>
      <c r="G1526" s="2" t="s">
        <v>17</v>
      </c>
      <c r="H1526" s="2">
        <v>15</v>
      </c>
      <c r="I1526" s="4">
        <v>850.8</v>
      </c>
      <c r="J1526" s="3">
        <v>45896</v>
      </c>
      <c r="K1526">
        <f t="shared" si="23"/>
        <v>12762</v>
      </c>
      <c r="L1526" t="str">
        <f>INDEX(Raw_Shipments!L1526:L3954,MATCH(A1526,Raw_Shipments!B1526:B3954))</f>
        <v>No</v>
      </c>
    </row>
    <row r="1527" spans="1:12" x14ac:dyDescent="0.3">
      <c r="A1527" s="5" t="s">
        <v>1676</v>
      </c>
      <c r="B1527" s="6">
        <v>45892</v>
      </c>
      <c r="C1527" s="5" t="s">
        <v>198</v>
      </c>
      <c r="D1527" s="5" t="s">
        <v>30</v>
      </c>
      <c r="E1527" s="5" t="s">
        <v>15</v>
      </c>
      <c r="F1527" s="5" t="s">
        <v>16</v>
      </c>
      <c r="G1527" s="5" t="s">
        <v>17</v>
      </c>
      <c r="H1527" s="5">
        <v>8</v>
      </c>
      <c r="I1527" s="7">
        <v>183.06</v>
      </c>
      <c r="J1527" s="6">
        <v>45902</v>
      </c>
      <c r="K1527">
        <f t="shared" si="23"/>
        <v>1464.48</v>
      </c>
      <c r="L1527" t="str">
        <f>INDEX(Raw_Shipments!L1527:L3955,MATCH(A1527,Raw_Shipments!B1527:B3955))</f>
        <v>Yes</v>
      </c>
    </row>
    <row r="1528" spans="1:12" x14ac:dyDescent="0.3">
      <c r="A1528" s="2" t="s">
        <v>1677</v>
      </c>
      <c r="B1528" s="3">
        <v>45892</v>
      </c>
      <c r="C1528" s="2" t="s">
        <v>203</v>
      </c>
      <c r="D1528" s="2" t="s">
        <v>25</v>
      </c>
      <c r="E1528" s="2" t="s">
        <v>20</v>
      </c>
      <c r="F1528" s="2" t="s">
        <v>21</v>
      </c>
      <c r="G1528" s="2" t="s">
        <v>22</v>
      </c>
      <c r="H1528" s="2">
        <v>11</v>
      </c>
      <c r="I1528" s="4">
        <v>2108.56</v>
      </c>
      <c r="J1528" s="3">
        <v>45899</v>
      </c>
      <c r="K1528">
        <f t="shared" si="23"/>
        <v>23194.16</v>
      </c>
      <c r="L1528" t="str">
        <f>INDEX(Raw_Shipments!L1528:L3956,MATCH(A1528,Raw_Shipments!B1528:B3956))</f>
        <v>Yes</v>
      </c>
    </row>
    <row r="1529" spans="1:12" x14ac:dyDescent="0.3">
      <c r="A1529" s="5" t="s">
        <v>1678</v>
      </c>
      <c r="B1529" s="6">
        <v>45892</v>
      </c>
      <c r="C1529" s="5" t="s">
        <v>44</v>
      </c>
      <c r="D1529" s="5" t="s">
        <v>14</v>
      </c>
      <c r="E1529" s="5" t="s">
        <v>119</v>
      </c>
      <c r="F1529" s="5" t="s">
        <v>120</v>
      </c>
      <c r="G1529" s="5" t="s">
        <v>22</v>
      </c>
      <c r="H1529" s="5">
        <v>47</v>
      </c>
      <c r="I1529" s="7">
        <v>912.26</v>
      </c>
      <c r="J1529" s="6">
        <v>45901</v>
      </c>
      <c r="K1529">
        <f t="shared" si="23"/>
        <v>42876.22</v>
      </c>
      <c r="L1529" t="str">
        <f>INDEX(Raw_Shipments!L1529:L3957,MATCH(A1529,Raw_Shipments!B1529:B3957))</f>
        <v>No</v>
      </c>
    </row>
    <row r="1530" spans="1:12" x14ac:dyDescent="0.3">
      <c r="A1530" s="2" t="s">
        <v>1679</v>
      </c>
      <c r="B1530" s="3">
        <v>45892</v>
      </c>
      <c r="C1530" s="2" t="s">
        <v>438</v>
      </c>
      <c r="D1530" s="2" t="s">
        <v>25</v>
      </c>
      <c r="E1530" s="2" t="s">
        <v>26</v>
      </c>
      <c r="F1530" s="2" t="s">
        <v>27</v>
      </c>
      <c r="G1530" s="2" t="s">
        <v>22</v>
      </c>
      <c r="H1530" s="2">
        <v>21</v>
      </c>
      <c r="I1530" s="4">
        <v>1646.8</v>
      </c>
      <c r="J1530" s="3">
        <v>45895</v>
      </c>
      <c r="K1530">
        <f t="shared" si="23"/>
        <v>34582.799999999996</v>
      </c>
      <c r="L1530" t="str">
        <f>INDEX(Raw_Shipments!L1530:L3958,MATCH(A1530,Raw_Shipments!B1530:B3958))</f>
        <v>No</v>
      </c>
    </row>
    <row r="1531" spans="1:12" x14ac:dyDescent="0.3">
      <c r="A1531" s="5" t="s">
        <v>1680</v>
      </c>
      <c r="B1531" s="6">
        <v>45892</v>
      </c>
      <c r="C1531" s="5" t="s">
        <v>191</v>
      </c>
      <c r="D1531" s="5" t="s">
        <v>30</v>
      </c>
      <c r="E1531" s="5" t="s">
        <v>40</v>
      </c>
      <c r="F1531" s="5" t="s">
        <v>41</v>
      </c>
      <c r="G1531" s="5" t="s">
        <v>42</v>
      </c>
      <c r="H1531" s="5">
        <v>24</v>
      </c>
      <c r="I1531" s="7">
        <v>2445.11</v>
      </c>
      <c r="J1531" s="6">
        <v>45897</v>
      </c>
      <c r="K1531">
        <f t="shared" si="23"/>
        <v>58682.64</v>
      </c>
      <c r="L1531" t="str">
        <f>INDEX(Raw_Shipments!L1531:L3959,MATCH(A1531,Raw_Shipments!B1531:B3959))</f>
        <v>No</v>
      </c>
    </row>
    <row r="1532" spans="1:12" x14ac:dyDescent="0.3">
      <c r="A1532" s="2" t="s">
        <v>1681</v>
      </c>
      <c r="B1532" s="3">
        <v>45892</v>
      </c>
      <c r="C1532" s="2" t="s">
        <v>141</v>
      </c>
      <c r="D1532" s="2" t="s">
        <v>30</v>
      </c>
      <c r="E1532" s="2" t="s">
        <v>46</v>
      </c>
      <c r="F1532" s="2" t="s">
        <v>47</v>
      </c>
      <c r="G1532" s="2" t="s">
        <v>42</v>
      </c>
      <c r="H1532" s="2">
        <v>7</v>
      </c>
      <c r="I1532" s="4">
        <v>1833.14</v>
      </c>
      <c r="J1532" s="3">
        <v>45901</v>
      </c>
      <c r="K1532">
        <f t="shared" si="23"/>
        <v>12831.980000000001</v>
      </c>
      <c r="L1532" t="str">
        <f>INDEX(Raw_Shipments!L1532:L3960,MATCH(A1532,Raw_Shipments!B1532:B3960))</f>
        <v>No</v>
      </c>
    </row>
    <row r="1533" spans="1:12" x14ac:dyDescent="0.3">
      <c r="A1533" s="5" t="s">
        <v>1682</v>
      </c>
      <c r="B1533" s="6">
        <v>45892</v>
      </c>
      <c r="C1533" s="5" t="s">
        <v>272</v>
      </c>
      <c r="D1533" s="5" t="s">
        <v>14</v>
      </c>
      <c r="E1533" s="5" t="s">
        <v>50</v>
      </c>
      <c r="F1533" s="5" t="s">
        <v>51</v>
      </c>
      <c r="G1533" s="5" t="s">
        <v>42</v>
      </c>
      <c r="H1533" s="5">
        <v>8</v>
      </c>
      <c r="I1533" s="7">
        <v>1952.28</v>
      </c>
      <c r="J1533" s="6">
        <v>45901</v>
      </c>
      <c r="K1533">
        <f t="shared" si="23"/>
        <v>15618.24</v>
      </c>
      <c r="L1533" t="str">
        <f>INDEX(Raw_Shipments!L1533:L3961,MATCH(A1533,Raw_Shipments!B1533:B3961))</f>
        <v>No</v>
      </c>
    </row>
    <row r="1534" spans="1:12" x14ac:dyDescent="0.3">
      <c r="A1534" s="2" t="s">
        <v>1683</v>
      </c>
      <c r="B1534" s="3">
        <v>45893</v>
      </c>
      <c r="C1534" s="2" t="s">
        <v>229</v>
      </c>
      <c r="D1534" s="2" t="s">
        <v>14</v>
      </c>
      <c r="E1534" s="2" t="s">
        <v>53</v>
      </c>
      <c r="F1534" s="2" t="s">
        <v>54</v>
      </c>
      <c r="G1534" s="2" t="s">
        <v>55</v>
      </c>
      <c r="H1534" s="2">
        <v>30</v>
      </c>
      <c r="I1534" s="4">
        <v>2055.9</v>
      </c>
      <c r="J1534" s="3">
        <v>45899</v>
      </c>
      <c r="K1534">
        <f t="shared" si="23"/>
        <v>61677</v>
      </c>
      <c r="L1534" t="str">
        <f>INDEX(Raw_Shipments!L1534:L3962,MATCH(A1534,Raw_Shipments!B1534:B3962))</f>
        <v>No</v>
      </c>
    </row>
    <row r="1535" spans="1:12" x14ac:dyDescent="0.3">
      <c r="A1535" s="5" t="s">
        <v>1684</v>
      </c>
      <c r="B1535" s="6">
        <v>45893</v>
      </c>
      <c r="C1535" s="5" t="s">
        <v>128</v>
      </c>
      <c r="D1535" s="5" t="s">
        <v>14</v>
      </c>
      <c r="E1535" s="5" t="s">
        <v>20</v>
      </c>
      <c r="F1535" s="5" t="s">
        <v>21</v>
      </c>
      <c r="G1535" s="5" t="s">
        <v>22</v>
      </c>
      <c r="H1535" s="5">
        <v>16</v>
      </c>
      <c r="I1535" s="7">
        <v>2108.56</v>
      </c>
      <c r="J1535" s="6">
        <v>45898</v>
      </c>
      <c r="K1535">
        <f t="shared" si="23"/>
        <v>33736.959999999999</v>
      </c>
      <c r="L1535" t="str">
        <f>INDEX(Raw_Shipments!L1535:L3963,MATCH(A1535,Raw_Shipments!B1535:B3963))</f>
        <v>No</v>
      </c>
    </row>
    <row r="1536" spans="1:12" x14ac:dyDescent="0.3">
      <c r="A1536" s="2" t="s">
        <v>1685</v>
      </c>
      <c r="B1536" s="3">
        <v>45893</v>
      </c>
      <c r="C1536" s="2" t="s">
        <v>154</v>
      </c>
      <c r="D1536" s="2" t="s">
        <v>45</v>
      </c>
      <c r="E1536" s="2" t="s">
        <v>119</v>
      </c>
      <c r="F1536" s="2" t="s">
        <v>120</v>
      </c>
      <c r="G1536" s="2" t="s">
        <v>22</v>
      </c>
      <c r="H1536" s="2">
        <v>42</v>
      </c>
      <c r="I1536" s="4">
        <v>912.26</v>
      </c>
      <c r="J1536" s="3">
        <v>45898</v>
      </c>
      <c r="K1536">
        <f t="shared" si="23"/>
        <v>38314.92</v>
      </c>
      <c r="L1536" t="str">
        <f>INDEX(Raw_Shipments!L1536:L3964,MATCH(A1536,Raw_Shipments!B1536:B3964))</f>
        <v>No</v>
      </c>
    </row>
    <row r="1537" spans="1:12" x14ac:dyDescent="0.3">
      <c r="A1537" s="5" t="s">
        <v>1686</v>
      </c>
      <c r="B1537" s="6">
        <v>45893</v>
      </c>
      <c r="C1537" s="5" t="s">
        <v>79</v>
      </c>
      <c r="D1537" s="5" t="s">
        <v>25</v>
      </c>
      <c r="E1537" s="5" t="s">
        <v>31</v>
      </c>
      <c r="F1537" s="5" t="s">
        <v>32</v>
      </c>
      <c r="G1537" s="5" t="s">
        <v>33</v>
      </c>
      <c r="H1537" s="5">
        <v>38</v>
      </c>
      <c r="I1537" s="7">
        <v>689</v>
      </c>
      <c r="J1537" s="6">
        <v>45898</v>
      </c>
      <c r="K1537">
        <f t="shared" si="23"/>
        <v>26182</v>
      </c>
      <c r="L1537" t="str">
        <f>INDEX(Raw_Shipments!L1537:L3965,MATCH(A1537,Raw_Shipments!B1537:B3965))</f>
        <v>No</v>
      </c>
    </row>
    <row r="1538" spans="1:12" x14ac:dyDescent="0.3">
      <c r="A1538" s="2" t="s">
        <v>1687</v>
      </c>
      <c r="B1538" s="3">
        <v>45893</v>
      </c>
      <c r="C1538" s="2" t="s">
        <v>152</v>
      </c>
      <c r="D1538" s="2" t="s">
        <v>14</v>
      </c>
      <c r="E1538" s="2" t="s">
        <v>36</v>
      </c>
      <c r="F1538" s="2" t="s">
        <v>37</v>
      </c>
      <c r="G1538" s="2" t="s">
        <v>33</v>
      </c>
      <c r="H1538" s="2">
        <v>33</v>
      </c>
      <c r="I1538" s="4">
        <v>1064.79</v>
      </c>
      <c r="J1538" s="3">
        <v>45899</v>
      </c>
      <c r="K1538">
        <f t="shared" si="23"/>
        <v>35138.07</v>
      </c>
      <c r="L1538" t="str">
        <f>INDEX(Raw_Shipments!L1538:L3966,MATCH(A1538,Raw_Shipments!B1538:B3966))</f>
        <v>No</v>
      </c>
    </row>
    <row r="1539" spans="1:12" x14ac:dyDescent="0.3">
      <c r="A1539" s="5" t="s">
        <v>1688</v>
      </c>
      <c r="B1539" s="6">
        <v>45893</v>
      </c>
      <c r="C1539" s="5" t="s">
        <v>39</v>
      </c>
      <c r="D1539" s="5" t="s">
        <v>45</v>
      </c>
      <c r="E1539" s="5" t="s">
        <v>46</v>
      </c>
      <c r="F1539" s="5" t="s">
        <v>47</v>
      </c>
      <c r="G1539" s="5" t="s">
        <v>42</v>
      </c>
      <c r="H1539" s="5">
        <v>5</v>
      </c>
      <c r="I1539" s="7">
        <v>1833.14</v>
      </c>
      <c r="J1539" s="6">
        <v>45900</v>
      </c>
      <c r="K1539">
        <f t="shared" ref="K1539:K1602" si="24">I1539*H1539</f>
        <v>9165.7000000000007</v>
      </c>
      <c r="L1539" t="str">
        <f>INDEX(Raw_Shipments!L1539:L3967,MATCH(A1539,Raw_Shipments!B1539:B3967))</f>
        <v>No</v>
      </c>
    </row>
    <row r="1540" spans="1:12" x14ac:dyDescent="0.3">
      <c r="A1540" s="2" t="s">
        <v>1689</v>
      </c>
      <c r="B1540" s="3">
        <v>45893</v>
      </c>
      <c r="C1540" s="2" t="s">
        <v>100</v>
      </c>
      <c r="D1540" s="2" t="s">
        <v>30</v>
      </c>
      <c r="E1540" s="2" t="s">
        <v>50</v>
      </c>
      <c r="F1540" s="2" t="s">
        <v>51</v>
      </c>
      <c r="G1540" s="2" t="s">
        <v>42</v>
      </c>
      <c r="H1540" s="2">
        <v>12</v>
      </c>
      <c r="I1540" s="4">
        <v>1952.28</v>
      </c>
      <c r="J1540" s="3">
        <v>45897</v>
      </c>
      <c r="K1540">
        <f t="shared" si="24"/>
        <v>23427.360000000001</v>
      </c>
      <c r="L1540" t="str">
        <f>INDEX(Raw_Shipments!L1540:L3968,MATCH(A1540,Raw_Shipments!B1540:B3968))</f>
        <v>No</v>
      </c>
    </row>
    <row r="1541" spans="1:12" x14ac:dyDescent="0.3">
      <c r="A1541" s="5" t="s">
        <v>1690</v>
      </c>
      <c r="B1541" s="6">
        <v>45894</v>
      </c>
      <c r="C1541" s="5" t="s">
        <v>69</v>
      </c>
      <c r="D1541" s="5" t="s">
        <v>25</v>
      </c>
      <c r="E1541" s="5" t="s">
        <v>58</v>
      </c>
      <c r="F1541" s="5" t="s">
        <v>59</v>
      </c>
      <c r="G1541" s="5" t="s">
        <v>55</v>
      </c>
      <c r="H1541" s="5">
        <v>14</v>
      </c>
      <c r="I1541" s="7">
        <v>1695.1</v>
      </c>
      <c r="J1541" s="6">
        <v>45899</v>
      </c>
      <c r="K1541">
        <f t="shared" si="24"/>
        <v>23731.399999999998</v>
      </c>
      <c r="L1541" t="str">
        <f>INDEX(Raw_Shipments!L1541:L3969,MATCH(A1541,Raw_Shipments!B1541:B3969))</f>
        <v>No</v>
      </c>
    </row>
    <row r="1542" spans="1:12" x14ac:dyDescent="0.3">
      <c r="A1542" s="2" t="s">
        <v>1691</v>
      </c>
      <c r="B1542" s="3">
        <v>45894</v>
      </c>
      <c r="C1542" s="2" t="s">
        <v>166</v>
      </c>
      <c r="D1542" s="2" t="s">
        <v>45</v>
      </c>
      <c r="E1542" s="2" t="s">
        <v>66</v>
      </c>
      <c r="F1542" s="2" t="s">
        <v>67</v>
      </c>
      <c r="G1542" s="2" t="s">
        <v>17</v>
      </c>
      <c r="H1542" s="2">
        <v>9</v>
      </c>
      <c r="I1542" s="4">
        <v>850.8</v>
      </c>
      <c r="J1542" s="3">
        <v>45900</v>
      </c>
      <c r="K1542">
        <f t="shared" si="24"/>
        <v>7657.2</v>
      </c>
      <c r="L1542" t="str">
        <f>INDEX(Raw_Shipments!L1542:L3970,MATCH(A1542,Raw_Shipments!B1542:B3970))</f>
        <v>No</v>
      </c>
    </row>
    <row r="1543" spans="1:12" x14ac:dyDescent="0.3">
      <c r="A1543" s="5" t="s">
        <v>1692</v>
      </c>
      <c r="B1543" s="6">
        <v>45894</v>
      </c>
      <c r="C1543" s="5" t="s">
        <v>527</v>
      </c>
      <c r="D1543" s="5" t="s">
        <v>45</v>
      </c>
      <c r="E1543" s="5" t="s">
        <v>15</v>
      </c>
      <c r="F1543" s="5" t="s">
        <v>16</v>
      </c>
      <c r="G1543" s="5" t="s">
        <v>17</v>
      </c>
      <c r="H1543" s="5">
        <v>14</v>
      </c>
      <c r="I1543" s="7">
        <v>183.06</v>
      </c>
      <c r="J1543" s="6">
        <v>45898</v>
      </c>
      <c r="K1543">
        <f t="shared" si="24"/>
        <v>2562.84</v>
      </c>
      <c r="L1543" t="str">
        <f>INDEX(Raw_Shipments!L1543:L3971,MATCH(A1543,Raw_Shipments!B1543:B3971))</f>
        <v>No</v>
      </c>
    </row>
    <row r="1544" spans="1:12" x14ac:dyDescent="0.3">
      <c r="A1544" s="2" t="s">
        <v>1693</v>
      </c>
      <c r="B1544" s="3">
        <v>45894</v>
      </c>
      <c r="C1544" s="2" t="s">
        <v>96</v>
      </c>
      <c r="D1544" s="2" t="s">
        <v>14</v>
      </c>
      <c r="E1544" s="2" t="s">
        <v>20</v>
      </c>
      <c r="F1544" s="2" t="s">
        <v>21</v>
      </c>
      <c r="G1544" s="2" t="s">
        <v>22</v>
      </c>
      <c r="H1544" s="2">
        <v>5</v>
      </c>
      <c r="I1544" s="4">
        <v>2108.56</v>
      </c>
      <c r="J1544" s="3">
        <v>45904</v>
      </c>
      <c r="K1544">
        <f t="shared" si="24"/>
        <v>10542.8</v>
      </c>
      <c r="L1544" t="str">
        <f>INDEX(Raw_Shipments!L1544:L3972,MATCH(A1544,Raw_Shipments!B1544:B3972))</f>
        <v>Yes</v>
      </c>
    </row>
    <row r="1545" spans="1:12" x14ac:dyDescent="0.3">
      <c r="A1545" s="5" t="s">
        <v>1694</v>
      </c>
      <c r="B1545" s="6">
        <v>45894</v>
      </c>
      <c r="C1545" s="5" t="s">
        <v>39</v>
      </c>
      <c r="D1545" s="5" t="s">
        <v>45</v>
      </c>
      <c r="E1545" s="5" t="s">
        <v>119</v>
      </c>
      <c r="F1545" s="5" t="s">
        <v>120</v>
      </c>
      <c r="G1545" s="5" t="s">
        <v>22</v>
      </c>
      <c r="H1545" s="5">
        <v>54</v>
      </c>
      <c r="I1545" s="7">
        <v>912.26</v>
      </c>
      <c r="J1545" s="6">
        <v>45899</v>
      </c>
      <c r="K1545">
        <f t="shared" si="24"/>
        <v>49262.04</v>
      </c>
      <c r="L1545" t="str">
        <f>INDEX(Raw_Shipments!L1545:L3973,MATCH(A1545,Raw_Shipments!B1545:B3973))</f>
        <v>No</v>
      </c>
    </row>
    <row r="1546" spans="1:12" x14ac:dyDescent="0.3">
      <c r="A1546" s="2" t="s">
        <v>1695</v>
      </c>
      <c r="B1546" s="3">
        <v>45894</v>
      </c>
      <c r="C1546" s="2" t="s">
        <v>96</v>
      </c>
      <c r="D1546" s="2" t="s">
        <v>25</v>
      </c>
      <c r="E1546" s="2" t="s">
        <v>26</v>
      </c>
      <c r="F1546" s="2" t="s">
        <v>27</v>
      </c>
      <c r="G1546" s="2" t="s">
        <v>22</v>
      </c>
      <c r="H1546" s="2">
        <v>16</v>
      </c>
      <c r="I1546" s="4">
        <v>1646.8</v>
      </c>
      <c r="J1546" s="3">
        <v>45897</v>
      </c>
      <c r="K1546">
        <f t="shared" si="24"/>
        <v>26348.799999999999</v>
      </c>
      <c r="L1546" t="str">
        <f>INDEX(Raw_Shipments!L1546:L3974,MATCH(A1546,Raw_Shipments!B1546:B3974))</f>
        <v>No</v>
      </c>
    </row>
    <row r="1547" spans="1:12" x14ac:dyDescent="0.3">
      <c r="A1547" s="5" t="s">
        <v>1696</v>
      </c>
      <c r="B1547" s="6">
        <v>45894</v>
      </c>
      <c r="C1547" s="5" t="s">
        <v>152</v>
      </c>
      <c r="D1547" s="5" t="s">
        <v>45</v>
      </c>
      <c r="E1547" s="5" t="s">
        <v>36</v>
      </c>
      <c r="F1547" s="5" t="s">
        <v>37</v>
      </c>
      <c r="G1547" s="5" t="s">
        <v>33</v>
      </c>
      <c r="H1547" s="5">
        <v>49</v>
      </c>
      <c r="I1547" s="7">
        <v>1064.79</v>
      </c>
      <c r="J1547" s="6">
        <v>45897</v>
      </c>
      <c r="K1547">
        <f t="shared" si="24"/>
        <v>52174.71</v>
      </c>
      <c r="L1547" t="str">
        <f>INDEX(Raw_Shipments!L1547:L3975,MATCH(A1547,Raw_Shipments!B1547:B3975))</f>
        <v>No</v>
      </c>
    </row>
    <row r="1548" spans="1:12" x14ac:dyDescent="0.3">
      <c r="A1548" s="2" t="s">
        <v>1697</v>
      </c>
      <c r="B1548" s="3">
        <v>45894</v>
      </c>
      <c r="C1548" s="2" t="s">
        <v>128</v>
      </c>
      <c r="D1548" s="2" t="s">
        <v>14</v>
      </c>
      <c r="E1548" s="2" t="s">
        <v>46</v>
      </c>
      <c r="F1548" s="2" t="s">
        <v>47</v>
      </c>
      <c r="G1548" s="2" t="s">
        <v>42</v>
      </c>
      <c r="H1548" s="2">
        <v>3</v>
      </c>
      <c r="I1548" s="4">
        <v>1833.14</v>
      </c>
      <c r="J1548" s="3">
        <v>45897</v>
      </c>
      <c r="K1548">
        <f t="shared" si="24"/>
        <v>5499.42</v>
      </c>
      <c r="L1548" t="str">
        <f>INDEX(Raw_Shipments!L1548:L3976,MATCH(A1548,Raw_Shipments!B1548:B3976))</f>
        <v>No</v>
      </c>
    </row>
    <row r="1549" spans="1:12" x14ac:dyDescent="0.3">
      <c r="A1549" s="5" t="s">
        <v>1698</v>
      </c>
      <c r="B1549" s="6">
        <v>45894</v>
      </c>
      <c r="C1549" s="5" t="s">
        <v>203</v>
      </c>
      <c r="D1549" s="5" t="s">
        <v>25</v>
      </c>
      <c r="E1549" s="5" t="s">
        <v>50</v>
      </c>
      <c r="F1549" s="5" t="s">
        <v>51</v>
      </c>
      <c r="G1549" s="5" t="s">
        <v>42</v>
      </c>
      <c r="H1549" s="5">
        <v>13</v>
      </c>
      <c r="I1549" s="7">
        <v>1952.28</v>
      </c>
      <c r="J1549" s="6">
        <v>45899</v>
      </c>
      <c r="K1549">
        <f t="shared" si="24"/>
        <v>25379.64</v>
      </c>
      <c r="L1549" t="str">
        <f>INDEX(Raw_Shipments!L1549:L3977,MATCH(A1549,Raw_Shipments!B1549:B3977))</f>
        <v>No</v>
      </c>
    </row>
    <row r="1550" spans="1:12" x14ac:dyDescent="0.3">
      <c r="A1550" s="2" t="s">
        <v>1699</v>
      </c>
      <c r="B1550" s="3">
        <v>45895</v>
      </c>
      <c r="C1550" s="2" t="s">
        <v>102</v>
      </c>
      <c r="D1550" s="2" t="s">
        <v>30</v>
      </c>
      <c r="E1550" s="2" t="s">
        <v>62</v>
      </c>
      <c r="F1550" s="2" t="s">
        <v>63</v>
      </c>
      <c r="G1550" s="2" t="s">
        <v>55</v>
      </c>
      <c r="H1550" s="2">
        <v>25</v>
      </c>
      <c r="I1550" s="4">
        <v>2555.2199999999998</v>
      </c>
      <c r="J1550" s="3">
        <v>45905</v>
      </c>
      <c r="K1550">
        <f t="shared" si="24"/>
        <v>63880.499999999993</v>
      </c>
      <c r="L1550" t="str">
        <f>INDEX(Raw_Shipments!L1550:L3978,MATCH(A1550,Raw_Shipments!B1550:B3978))</f>
        <v>Yes</v>
      </c>
    </row>
    <row r="1551" spans="1:12" x14ac:dyDescent="0.3">
      <c r="A1551" s="5" t="s">
        <v>1700</v>
      </c>
      <c r="B1551" s="6">
        <v>45895</v>
      </c>
      <c r="C1551" s="5" t="s">
        <v>279</v>
      </c>
      <c r="D1551" s="5" t="s">
        <v>25</v>
      </c>
      <c r="E1551" s="5" t="s">
        <v>97</v>
      </c>
      <c r="F1551" s="5" t="s">
        <v>98</v>
      </c>
      <c r="G1551" s="5" t="s">
        <v>17</v>
      </c>
      <c r="H1551" s="5">
        <v>24</v>
      </c>
      <c r="I1551" s="7">
        <v>1110.6500000000001</v>
      </c>
      <c r="J1551" s="6">
        <v>45901</v>
      </c>
      <c r="K1551">
        <f t="shared" si="24"/>
        <v>26655.600000000002</v>
      </c>
      <c r="L1551" t="str">
        <f>INDEX(Raw_Shipments!L1551:L3979,MATCH(A1551,Raw_Shipments!B1551:B3979))</f>
        <v>No</v>
      </c>
    </row>
    <row r="1552" spans="1:12" x14ac:dyDescent="0.3">
      <c r="A1552" s="2" t="s">
        <v>1701</v>
      </c>
      <c r="B1552" s="3">
        <v>45895</v>
      </c>
      <c r="C1552" s="2" t="s">
        <v>131</v>
      </c>
      <c r="D1552" s="2" t="s">
        <v>30</v>
      </c>
      <c r="E1552" s="2" t="s">
        <v>20</v>
      </c>
      <c r="F1552" s="2" t="s">
        <v>21</v>
      </c>
      <c r="G1552" s="2" t="s">
        <v>22</v>
      </c>
      <c r="H1552" s="2">
        <v>15</v>
      </c>
      <c r="I1552" s="4">
        <v>2108.56</v>
      </c>
      <c r="J1552" s="3">
        <v>45900</v>
      </c>
      <c r="K1552">
        <f t="shared" si="24"/>
        <v>31628.399999999998</v>
      </c>
      <c r="L1552" t="str">
        <f>INDEX(Raw_Shipments!L1552:L3980,MATCH(A1552,Raw_Shipments!B1552:B3980))</f>
        <v>No</v>
      </c>
    </row>
    <row r="1553" spans="1:12" x14ac:dyDescent="0.3">
      <c r="A1553" s="5" t="s">
        <v>1702</v>
      </c>
      <c r="B1553" s="6">
        <v>45895</v>
      </c>
      <c r="C1553" s="5" t="s">
        <v>545</v>
      </c>
      <c r="D1553" s="5" t="s">
        <v>25</v>
      </c>
      <c r="E1553" s="5" t="s">
        <v>119</v>
      </c>
      <c r="F1553" s="5" t="s">
        <v>120</v>
      </c>
      <c r="G1553" s="5" t="s">
        <v>22</v>
      </c>
      <c r="H1553" s="5">
        <v>22</v>
      </c>
      <c r="I1553" s="7">
        <v>912.26</v>
      </c>
      <c r="J1553" s="6">
        <v>45905</v>
      </c>
      <c r="K1553">
        <f t="shared" si="24"/>
        <v>20069.72</v>
      </c>
      <c r="L1553" t="str">
        <f>INDEX(Raw_Shipments!L1553:L3981,MATCH(A1553,Raw_Shipments!B1553:B3981))</f>
        <v>No</v>
      </c>
    </row>
    <row r="1554" spans="1:12" x14ac:dyDescent="0.3">
      <c r="A1554" s="2" t="s">
        <v>1703</v>
      </c>
      <c r="B1554" s="3">
        <v>45895</v>
      </c>
      <c r="C1554" s="2" t="s">
        <v>175</v>
      </c>
      <c r="D1554" s="2" t="s">
        <v>14</v>
      </c>
      <c r="E1554" s="2" t="s">
        <v>86</v>
      </c>
      <c r="F1554" s="2" t="s">
        <v>87</v>
      </c>
      <c r="G1554" s="2" t="s">
        <v>33</v>
      </c>
      <c r="H1554" s="2">
        <v>18</v>
      </c>
      <c r="I1554" s="4">
        <v>815.88</v>
      </c>
      <c r="J1554" s="3">
        <v>45899</v>
      </c>
      <c r="K1554">
        <f t="shared" si="24"/>
        <v>14685.84</v>
      </c>
      <c r="L1554" t="str">
        <f>INDEX(Raw_Shipments!L1554:L3982,MATCH(A1554,Raw_Shipments!B1554:B3982))</f>
        <v>No</v>
      </c>
    </row>
    <row r="1555" spans="1:12" x14ac:dyDescent="0.3">
      <c r="A1555" s="5" t="s">
        <v>1704</v>
      </c>
      <c r="B1555" s="6">
        <v>45895</v>
      </c>
      <c r="C1555" s="5" t="s">
        <v>238</v>
      </c>
      <c r="D1555" s="5" t="s">
        <v>25</v>
      </c>
      <c r="E1555" s="5" t="s">
        <v>50</v>
      </c>
      <c r="F1555" s="5" t="s">
        <v>51</v>
      </c>
      <c r="G1555" s="5" t="s">
        <v>42</v>
      </c>
      <c r="H1555" s="5">
        <v>7</v>
      </c>
      <c r="I1555" s="7">
        <v>1952.28</v>
      </c>
      <c r="J1555" s="6">
        <v>45904</v>
      </c>
      <c r="K1555">
        <f t="shared" si="24"/>
        <v>13665.96</v>
      </c>
      <c r="L1555" t="str">
        <f>INDEX(Raw_Shipments!L1555:L3983,MATCH(A1555,Raw_Shipments!B1555:B3983))</f>
        <v>No</v>
      </c>
    </row>
    <row r="1556" spans="1:12" x14ac:dyDescent="0.3">
      <c r="A1556" s="2" t="s">
        <v>1705</v>
      </c>
      <c r="B1556" s="3">
        <v>45896</v>
      </c>
      <c r="C1556" s="2" t="s">
        <v>420</v>
      </c>
      <c r="D1556" s="2" t="s">
        <v>25</v>
      </c>
      <c r="E1556" s="2" t="s">
        <v>53</v>
      </c>
      <c r="F1556" s="2" t="s">
        <v>54</v>
      </c>
      <c r="G1556" s="2" t="s">
        <v>55</v>
      </c>
      <c r="H1556" s="2">
        <v>49</v>
      </c>
      <c r="I1556" s="4">
        <v>2055.9</v>
      </c>
      <c r="J1556" s="3">
        <v>45905</v>
      </c>
      <c r="K1556">
        <f t="shared" si="24"/>
        <v>100739.1</v>
      </c>
      <c r="L1556" t="str">
        <f>INDEX(Raw_Shipments!L1556:L3984,MATCH(A1556,Raw_Shipments!B1556:B3984))</f>
        <v>No</v>
      </c>
    </row>
    <row r="1557" spans="1:12" x14ac:dyDescent="0.3">
      <c r="A1557" s="5" t="s">
        <v>1706</v>
      </c>
      <c r="B1557" s="6">
        <v>45896</v>
      </c>
      <c r="C1557" s="5" t="s">
        <v>39</v>
      </c>
      <c r="D1557" s="5" t="s">
        <v>25</v>
      </c>
      <c r="E1557" s="5" t="s">
        <v>58</v>
      </c>
      <c r="F1557" s="5" t="s">
        <v>59</v>
      </c>
      <c r="G1557" s="5" t="s">
        <v>55</v>
      </c>
      <c r="H1557" s="5">
        <v>24</v>
      </c>
      <c r="I1557" s="7">
        <v>1695.1</v>
      </c>
      <c r="J1557" s="6">
        <v>45902</v>
      </c>
      <c r="K1557">
        <f t="shared" si="24"/>
        <v>40682.399999999994</v>
      </c>
      <c r="L1557" t="str">
        <f>INDEX(Raw_Shipments!L1557:L3985,MATCH(A1557,Raw_Shipments!B1557:B3985))</f>
        <v>No</v>
      </c>
    </row>
    <row r="1558" spans="1:12" x14ac:dyDescent="0.3">
      <c r="A1558" s="2" t="s">
        <v>1707</v>
      </c>
      <c r="B1558" s="3">
        <v>45896</v>
      </c>
      <c r="C1558" s="2" t="s">
        <v>363</v>
      </c>
      <c r="D1558" s="2" t="s">
        <v>45</v>
      </c>
      <c r="E1558" s="2" t="s">
        <v>62</v>
      </c>
      <c r="F1558" s="2" t="s">
        <v>63</v>
      </c>
      <c r="G1558" s="2" t="s">
        <v>55</v>
      </c>
      <c r="H1558" s="2">
        <v>36</v>
      </c>
      <c r="I1558" s="4">
        <v>2555.2199999999998</v>
      </c>
      <c r="J1558" s="3">
        <v>45904</v>
      </c>
      <c r="K1558">
        <f t="shared" si="24"/>
        <v>91987.92</v>
      </c>
      <c r="L1558" t="str">
        <f>INDEX(Raw_Shipments!L1558:L3986,MATCH(A1558,Raw_Shipments!B1558:B3986))</f>
        <v>No</v>
      </c>
    </row>
    <row r="1559" spans="1:12" x14ac:dyDescent="0.3">
      <c r="A1559" s="5" t="s">
        <v>1708</v>
      </c>
      <c r="B1559" s="6">
        <v>45896</v>
      </c>
      <c r="C1559" s="5" t="s">
        <v>113</v>
      </c>
      <c r="D1559" s="5" t="s">
        <v>45</v>
      </c>
      <c r="E1559" s="5" t="s">
        <v>97</v>
      </c>
      <c r="F1559" s="5" t="s">
        <v>98</v>
      </c>
      <c r="G1559" s="5" t="s">
        <v>17</v>
      </c>
      <c r="H1559" s="5">
        <v>22</v>
      </c>
      <c r="I1559" s="7">
        <v>1110.6500000000001</v>
      </c>
      <c r="J1559" s="6">
        <v>45904</v>
      </c>
      <c r="K1559">
        <f t="shared" si="24"/>
        <v>24434.300000000003</v>
      </c>
      <c r="L1559" t="str">
        <f>INDEX(Raw_Shipments!L1559:L3987,MATCH(A1559,Raw_Shipments!B1559:B3987))</f>
        <v>Yes</v>
      </c>
    </row>
    <row r="1560" spans="1:12" x14ac:dyDescent="0.3">
      <c r="A1560" s="2" t="s">
        <v>1709</v>
      </c>
      <c r="B1560" s="3">
        <v>45896</v>
      </c>
      <c r="C1560" s="2" t="s">
        <v>178</v>
      </c>
      <c r="D1560" s="2" t="s">
        <v>25</v>
      </c>
      <c r="E1560" s="2" t="s">
        <v>15</v>
      </c>
      <c r="F1560" s="2" t="s">
        <v>16</v>
      </c>
      <c r="G1560" s="2" t="s">
        <v>17</v>
      </c>
      <c r="H1560" s="2">
        <v>9</v>
      </c>
      <c r="I1560" s="4">
        <v>183.06</v>
      </c>
      <c r="J1560" s="3">
        <v>45900</v>
      </c>
      <c r="K1560">
        <f t="shared" si="24"/>
        <v>1647.54</v>
      </c>
      <c r="L1560" t="str">
        <f>INDEX(Raw_Shipments!L1560:L3988,MATCH(A1560,Raw_Shipments!B1560:B3988))</f>
        <v>No</v>
      </c>
    </row>
    <row r="1561" spans="1:12" x14ac:dyDescent="0.3">
      <c r="A1561" s="5" t="s">
        <v>1710</v>
      </c>
      <c r="B1561" s="6">
        <v>45896</v>
      </c>
      <c r="C1561" s="5" t="s">
        <v>595</v>
      </c>
      <c r="D1561" s="5" t="s">
        <v>14</v>
      </c>
      <c r="E1561" s="5" t="s">
        <v>46</v>
      </c>
      <c r="F1561" s="5" t="s">
        <v>47</v>
      </c>
      <c r="G1561" s="5" t="s">
        <v>42</v>
      </c>
      <c r="H1561" s="5">
        <v>5</v>
      </c>
      <c r="I1561" s="7">
        <v>1833.14</v>
      </c>
      <c r="J1561" s="6">
        <v>45904</v>
      </c>
      <c r="K1561">
        <f t="shared" si="24"/>
        <v>9165.7000000000007</v>
      </c>
      <c r="L1561" t="str">
        <f>INDEX(Raw_Shipments!L1561:L3989,MATCH(A1561,Raw_Shipments!B1561:B3989))</f>
        <v>No</v>
      </c>
    </row>
    <row r="1562" spans="1:12" x14ac:dyDescent="0.3">
      <c r="A1562" s="2" t="s">
        <v>1711</v>
      </c>
      <c r="B1562" s="3">
        <v>45896</v>
      </c>
      <c r="C1562" s="2" t="s">
        <v>260</v>
      </c>
      <c r="D1562" s="2" t="s">
        <v>45</v>
      </c>
      <c r="E1562" s="2" t="s">
        <v>50</v>
      </c>
      <c r="F1562" s="2" t="s">
        <v>51</v>
      </c>
      <c r="G1562" s="2" t="s">
        <v>42</v>
      </c>
      <c r="H1562" s="2">
        <v>8</v>
      </c>
      <c r="I1562" s="4">
        <v>1952.28</v>
      </c>
      <c r="J1562" s="3">
        <v>45903</v>
      </c>
      <c r="K1562">
        <f t="shared" si="24"/>
        <v>15618.24</v>
      </c>
      <c r="L1562" t="str">
        <f>INDEX(Raw_Shipments!L1562:L3990,MATCH(A1562,Raw_Shipments!B1562:B3990))</f>
        <v>No</v>
      </c>
    </row>
    <row r="1563" spans="1:12" x14ac:dyDescent="0.3">
      <c r="A1563" s="5" t="s">
        <v>1712</v>
      </c>
      <c r="B1563" s="6">
        <v>45897</v>
      </c>
      <c r="C1563" s="5" t="s">
        <v>122</v>
      </c>
      <c r="D1563" s="5" t="s">
        <v>25</v>
      </c>
      <c r="E1563" s="5" t="s">
        <v>53</v>
      </c>
      <c r="F1563" s="5" t="s">
        <v>54</v>
      </c>
      <c r="G1563" s="5" t="s">
        <v>55</v>
      </c>
      <c r="H1563" s="5">
        <v>33</v>
      </c>
      <c r="I1563" s="7">
        <v>2055.9</v>
      </c>
      <c r="J1563" s="6">
        <v>45902</v>
      </c>
      <c r="K1563">
        <f t="shared" si="24"/>
        <v>67844.7</v>
      </c>
      <c r="L1563" t="str">
        <f>INDEX(Raw_Shipments!L1563:L3991,MATCH(A1563,Raw_Shipments!B1563:B3991))</f>
        <v>No</v>
      </c>
    </row>
    <row r="1564" spans="1:12" x14ac:dyDescent="0.3">
      <c r="A1564" s="2" t="s">
        <v>1713</v>
      </c>
      <c r="B1564" s="3">
        <v>45897</v>
      </c>
      <c r="C1564" s="2" t="s">
        <v>156</v>
      </c>
      <c r="D1564" s="2" t="s">
        <v>25</v>
      </c>
      <c r="E1564" s="2" t="s">
        <v>62</v>
      </c>
      <c r="F1564" s="2" t="s">
        <v>63</v>
      </c>
      <c r="G1564" s="2" t="s">
        <v>55</v>
      </c>
      <c r="H1564" s="2">
        <v>38</v>
      </c>
      <c r="I1564" s="4">
        <v>2555.2199999999998</v>
      </c>
      <c r="J1564" s="3">
        <v>45900</v>
      </c>
      <c r="K1564">
        <f t="shared" si="24"/>
        <v>97098.359999999986</v>
      </c>
      <c r="L1564" t="str">
        <f>INDEX(Raw_Shipments!L1564:L3992,MATCH(A1564,Raw_Shipments!B1564:B3992))</f>
        <v>No</v>
      </c>
    </row>
    <row r="1565" spans="1:12" x14ac:dyDescent="0.3">
      <c r="A1565" s="5" t="s">
        <v>1714</v>
      </c>
      <c r="B1565" s="6">
        <v>45897</v>
      </c>
      <c r="C1565" s="5" t="s">
        <v>24</v>
      </c>
      <c r="D1565" s="5" t="s">
        <v>45</v>
      </c>
      <c r="E1565" s="5" t="s">
        <v>66</v>
      </c>
      <c r="F1565" s="5" t="s">
        <v>67</v>
      </c>
      <c r="G1565" s="5" t="s">
        <v>17</v>
      </c>
      <c r="H1565" s="5">
        <v>14</v>
      </c>
      <c r="I1565" s="7">
        <v>850.8</v>
      </c>
      <c r="J1565" s="6">
        <v>45906</v>
      </c>
      <c r="K1565">
        <f t="shared" si="24"/>
        <v>11911.199999999999</v>
      </c>
      <c r="L1565" t="str">
        <f>INDEX(Raw_Shipments!L1565:L3993,MATCH(A1565,Raw_Shipments!B1565:B3993))</f>
        <v>No</v>
      </c>
    </row>
    <row r="1566" spans="1:12" x14ac:dyDescent="0.3">
      <c r="A1566" s="2" t="s">
        <v>1715</v>
      </c>
      <c r="B1566" s="3">
        <v>45897</v>
      </c>
      <c r="C1566" s="2" t="s">
        <v>180</v>
      </c>
      <c r="D1566" s="2" t="s">
        <v>25</v>
      </c>
      <c r="E1566" s="2" t="s">
        <v>97</v>
      </c>
      <c r="F1566" s="2" t="s">
        <v>98</v>
      </c>
      <c r="G1566" s="2" t="s">
        <v>17</v>
      </c>
      <c r="H1566" s="2">
        <v>38</v>
      </c>
      <c r="I1566" s="4">
        <v>1110.6500000000001</v>
      </c>
      <c r="J1566" s="3">
        <v>45906</v>
      </c>
      <c r="K1566">
        <f t="shared" si="24"/>
        <v>42204.700000000004</v>
      </c>
      <c r="L1566" t="str">
        <f>INDEX(Raw_Shipments!L1566:L3994,MATCH(A1566,Raw_Shipments!B1566:B3994))</f>
        <v>Yes</v>
      </c>
    </row>
    <row r="1567" spans="1:12" x14ac:dyDescent="0.3">
      <c r="A1567" s="5" t="s">
        <v>1716</v>
      </c>
      <c r="B1567" s="6">
        <v>45897</v>
      </c>
      <c r="C1567" s="5" t="s">
        <v>115</v>
      </c>
      <c r="D1567" s="5" t="s">
        <v>45</v>
      </c>
      <c r="E1567" s="5" t="s">
        <v>15</v>
      </c>
      <c r="F1567" s="5" t="s">
        <v>16</v>
      </c>
      <c r="G1567" s="5" t="s">
        <v>17</v>
      </c>
      <c r="H1567" s="5">
        <v>14</v>
      </c>
      <c r="I1567" s="7">
        <v>183.06</v>
      </c>
      <c r="J1567" s="6">
        <v>45905</v>
      </c>
      <c r="K1567">
        <f t="shared" si="24"/>
        <v>2562.84</v>
      </c>
      <c r="L1567" t="str">
        <f>INDEX(Raw_Shipments!L1567:L3995,MATCH(A1567,Raw_Shipments!B1567:B3995))</f>
        <v>No</v>
      </c>
    </row>
    <row r="1568" spans="1:12" x14ac:dyDescent="0.3">
      <c r="A1568" s="2" t="s">
        <v>1717</v>
      </c>
      <c r="B1568" s="3">
        <v>45897</v>
      </c>
      <c r="C1568" s="2" t="s">
        <v>337</v>
      </c>
      <c r="D1568" s="2" t="s">
        <v>45</v>
      </c>
      <c r="E1568" s="2" t="s">
        <v>119</v>
      </c>
      <c r="F1568" s="2" t="s">
        <v>120</v>
      </c>
      <c r="G1568" s="2" t="s">
        <v>22</v>
      </c>
      <c r="H1568" s="2">
        <v>29</v>
      </c>
      <c r="I1568" s="4">
        <v>912.26</v>
      </c>
      <c r="J1568" s="3">
        <v>45907</v>
      </c>
      <c r="K1568">
        <f t="shared" si="24"/>
        <v>26455.54</v>
      </c>
      <c r="L1568" t="str">
        <f>INDEX(Raw_Shipments!L1568:L3996,MATCH(A1568,Raw_Shipments!B1568:B3996))</f>
        <v>Yes</v>
      </c>
    </row>
    <row r="1569" spans="1:12" x14ac:dyDescent="0.3">
      <c r="A1569" s="5" t="s">
        <v>1718</v>
      </c>
      <c r="B1569" s="6">
        <v>45897</v>
      </c>
      <c r="C1569" s="5" t="s">
        <v>141</v>
      </c>
      <c r="D1569" s="5" t="s">
        <v>45</v>
      </c>
      <c r="E1569" s="5" t="s">
        <v>36</v>
      </c>
      <c r="F1569" s="5" t="s">
        <v>37</v>
      </c>
      <c r="G1569" s="5" t="s">
        <v>33</v>
      </c>
      <c r="H1569" s="5">
        <v>30</v>
      </c>
      <c r="I1569" s="7">
        <v>1064.79</v>
      </c>
      <c r="J1569" s="6">
        <v>45903</v>
      </c>
      <c r="K1569">
        <f t="shared" si="24"/>
        <v>31943.699999999997</v>
      </c>
      <c r="L1569" t="str">
        <f>INDEX(Raw_Shipments!L1569:L3997,MATCH(A1569,Raw_Shipments!B1569:B3997))</f>
        <v>No</v>
      </c>
    </row>
    <row r="1570" spans="1:12" x14ac:dyDescent="0.3">
      <c r="A1570" s="2" t="s">
        <v>1719</v>
      </c>
      <c r="B1570" s="3">
        <v>45897</v>
      </c>
      <c r="C1570" s="2" t="s">
        <v>248</v>
      </c>
      <c r="D1570" s="2" t="s">
        <v>14</v>
      </c>
      <c r="E1570" s="2" t="s">
        <v>86</v>
      </c>
      <c r="F1570" s="2" t="s">
        <v>87</v>
      </c>
      <c r="G1570" s="2" t="s">
        <v>33</v>
      </c>
      <c r="H1570" s="2">
        <v>44</v>
      </c>
      <c r="I1570" s="4">
        <v>815.88</v>
      </c>
      <c r="J1570" s="3">
        <v>45906</v>
      </c>
      <c r="K1570">
        <f t="shared" si="24"/>
        <v>35898.720000000001</v>
      </c>
      <c r="L1570" t="str">
        <f>INDEX(Raw_Shipments!L1570:L3998,MATCH(A1570,Raw_Shipments!B1570:B3998))</f>
        <v>Yes</v>
      </c>
    </row>
    <row r="1571" spans="1:12" x14ac:dyDescent="0.3">
      <c r="A1571" s="5" t="s">
        <v>1720</v>
      </c>
      <c r="B1571" s="6">
        <v>45897</v>
      </c>
      <c r="C1571" s="5" t="s">
        <v>152</v>
      </c>
      <c r="D1571" s="5" t="s">
        <v>45</v>
      </c>
      <c r="E1571" s="5" t="s">
        <v>40</v>
      </c>
      <c r="F1571" s="5" t="s">
        <v>41</v>
      </c>
      <c r="G1571" s="5" t="s">
        <v>42</v>
      </c>
      <c r="H1571" s="5">
        <v>25</v>
      </c>
      <c r="I1571" s="7">
        <v>2445.11</v>
      </c>
      <c r="J1571" s="6">
        <v>45905</v>
      </c>
      <c r="K1571">
        <f t="shared" si="24"/>
        <v>61127.75</v>
      </c>
      <c r="L1571" t="str">
        <f>INDEX(Raw_Shipments!L1571:L3999,MATCH(A1571,Raw_Shipments!B1571:B3999))</f>
        <v>No</v>
      </c>
    </row>
    <row r="1572" spans="1:12" x14ac:dyDescent="0.3">
      <c r="A1572" s="2" t="s">
        <v>1721</v>
      </c>
      <c r="B1572" s="3">
        <v>45898</v>
      </c>
      <c r="C1572" s="2" t="s">
        <v>81</v>
      </c>
      <c r="D1572" s="2" t="s">
        <v>25</v>
      </c>
      <c r="E1572" s="2" t="s">
        <v>53</v>
      </c>
      <c r="F1572" s="2" t="s">
        <v>54</v>
      </c>
      <c r="G1572" s="2" t="s">
        <v>55</v>
      </c>
      <c r="H1572" s="2">
        <v>34</v>
      </c>
      <c r="I1572" s="4">
        <v>2055.9</v>
      </c>
      <c r="J1572" s="3">
        <v>45905</v>
      </c>
      <c r="K1572">
        <f t="shared" si="24"/>
        <v>69900.600000000006</v>
      </c>
      <c r="L1572" t="str">
        <f>INDEX(Raw_Shipments!L1572:L4000,MATCH(A1572,Raw_Shipments!B1572:B4000))</f>
        <v>No</v>
      </c>
    </row>
    <row r="1573" spans="1:12" x14ac:dyDescent="0.3">
      <c r="A1573" s="5" t="s">
        <v>1722</v>
      </c>
      <c r="B1573" s="6">
        <v>45898</v>
      </c>
      <c r="C1573" s="5" t="s">
        <v>203</v>
      </c>
      <c r="D1573" s="5" t="s">
        <v>14</v>
      </c>
      <c r="E1573" s="5" t="s">
        <v>58</v>
      </c>
      <c r="F1573" s="5" t="s">
        <v>59</v>
      </c>
      <c r="G1573" s="5" t="s">
        <v>55</v>
      </c>
      <c r="H1573" s="5">
        <v>14</v>
      </c>
      <c r="I1573" s="7">
        <v>1695.1</v>
      </c>
      <c r="J1573" s="6">
        <v>45907</v>
      </c>
      <c r="K1573">
        <f t="shared" si="24"/>
        <v>23731.399999999998</v>
      </c>
      <c r="L1573" t="str">
        <f>INDEX(Raw_Shipments!L1573:L4001,MATCH(A1573,Raw_Shipments!B1573:B4001))</f>
        <v>No</v>
      </c>
    </row>
    <row r="1574" spans="1:12" x14ac:dyDescent="0.3">
      <c r="A1574" s="2" t="s">
        <v>1723</v>
      </c>
      <c r="B1574" s="3">
        <v>45898</v>
      </c>
      <c r="C1574" s="2" t="s">
        <v>144</v>
      </c>
      <c r="D1574" s="2" t="s">
        <v>30</v>
      </c>
      <c r="E1574" s="2" t="s">
        <v>97</v>
      </c>
      <c r="F1574" s="2" t="s">
        <v>98</v>
      </c>
      <c r="G1574" s="2" t="s">
        <v>17</v>
      </c>
      <c r="H1574" s="2">
        <v>25</v>
      </c>
      <c r="I1574" s="4">
        <v>1110.6500000000001</v>
      </c>
      <c r="J1574" s="3">
        <v>45907</v>
      </c>
      <c r="K1574">
        <f t="shared" si="24"/>
        <v>27766.250000000004</v>
      </c>
      <c r="L1574" t="str">
        <f>INDEX(Raw_Shipments!L1574:L4002,MATCH(A1574,Raw_Shipments!B1574:B4002))</f>
        <v>Yes</v>
      </c>
    </row>
    <row r="1575" spans="1:12" x14ac:dyDescent="0.3">
      <c r="A1575" s="5" t="s">
        <v>1724</v>
      </c>
      <c r="B1575" s="6">
        <v>45898</v>
      </c>
      <c r="C1575" s="5" t="s">
        <v>39</v>
      </c>
      <c r="D1575" s="5" t="s">
        <v>30</v>
      </c>
      <c r="E1575" s="5" t="s">
        <v>119</v>
      </c>
      <c r="F1575" s="5" t="s">
        <v>120</v>
      </c>
      <c r="G1575" s="5" t="s">
        <v>22</v>
      </c>
      <c r="H1575" s="5">
        <v>47</v>
      </c>
      <c r="I1575" s="7">
        <v>912.26</v>
      </c>
      <c r="J1575" s="6">
        <v>45908</v>
      </c>
      <c r="K1575">
        <f t="shared" si="24"/>
        <v>42876.22</v>
      </c>
      <c r="L1575" t="str">
        <f>INDEX(Raw_Shipments!L1575:L4003,MATCH(A1575,Raw_Shipments!B1575:B4003))</f>
        <v>No</v>
      </c>
    </row>
    <row r="1576" spans="1:12" x14ac:dyDescent="0.3">
      <c r="A1576" s="2" t="s">
        <v>1725</v>
      </c>
      <c r="B1576" s="3">
        <v>45898</v>
      </c>
      <c r="C1576" s="2" t="s">
        <v>343</v>
      </c>
      <c r="D1576" s="2" t="s">
        <v>25</v>
      </c>
      <c r="E1576" s="2" t="s">
        <v>31</v>
      </c>
      <c r="F1576" s="2" t="s">
        <v>32</v>
      </c>
      <c r="G1576" s="2" t="s">
        <v>33</v>
      </c>
      <c r="H1576" s="2">
        <v>37</v>
      </c>
      <c r="I1576" s="4">
        <v>689</v>
      </c>
      <c r="J1576" s="3">
        <v>45905</v>
      </c>
      <c r="K1576">
        <f t="shared" si="24"/>
        <v>25493</v>
      </c>
      <c r="L1576" t="str">
        <f>INDEX(Raw_Shipments!L1576:L4004,MATCH(A1576,Raw_Shipments!B1576:B4004))</f>
        <v>No</v>
      </c>
    </row>
    <row r="1577" spans="1:12" x14ac:dyDescent="0.3">
      <c r="A1577" s="5" t="s">
        <v>1726</v>
      </c>
      <c r="B1577" s="6">
        <v>45898</v>
      </c>
      <c r="C1577" s="5" t="s">
        <v>39</v>
      </c>
      <c r="D1577" s="5" t="s">
        <v>14</v>
      </c>
      <c r="E1577" s="5" t="s">
        <v>86</v>
      </c>
      <c r="F1577" s="5" t="s">
        <v>87</v>
      </c>
      <c r="G1577" s="5" t="s">
        <v>33</v>
      </c>
      <c r="H1577" s="5">
        <v>19</v>
      </c>
      <c r="I1577" s="7">
        <v>815.88</v>
      </c>
      <c r="J1577" s="6">
        <v>45904</v>
      </c>
      <c r="K1577">
        <f t="shared" si="24"/>
        <v>15501.72</v>
      </c>
      <c r="L1577" t="str">
        <f>INDEX(Raw_Shipments!L1577:L4005,MATCH(A1577,Raw_Shipments!B1577:B4005))</f>
        <v>No</v>
      </c>
    </row>
    <row r="1578" spans="1:12" x14ac:dyDescent="0.3">
      <c r="A1578" s="2" t="s">
        <v>1727</v>
      </c>
      <c r="B1578" s="3">
        <v>45898</v>
      </c>
      <c r="C1578" s="2" t="s">
        <v>156</v>
      </c>
      <c r="D1578" s="2" t="s">
        <v>30</v>
      </c>
      <c r="E1578" s="2" t="s">
        <v>46</v>
      </c>
      <c r="F1578" s="2" t="s">
        <v>47</v>
      </c>
      <c r="G1578" s="2" t="s">
        <v>42</v>
      </c>
      <c r="H1578" s="2">
        <v>5</v>
      </c>
      <c r="I1578" s="4">
        <v>1833.14</v>
      </c>
      <c r="J1578" s="3">
        <v>45904</v>
      </c>
      <c r="K1578">
        <f t="shared" si="24"/>
        <v>9165.7000000000007</v>
      </c>
      <c r="L1578" t="str">
        <f>INDEX(Raw_Shipments!L1578:L4006,MATCH(A1578,Raw_Shipments!B1578:B4006))</f>
        <v>No</v>
      </c>
    </row>
    <row r="1579" spans="1:12" x14ac:dyDescent="0.3">
      <c r="A1579" s="5" t="s">
        <v>1728</v>
      </c>
      <c r="B1579" s="6">
        <v>45898</v>
      </c>
      <c r="C1579" s="5" t="s">
        <v>232</v>
      </c>
      <c r="D1579" s="5" t="s">
        <v>14</v>
      </c>
      <c r="E1579" s="5" t="s">
        <v>50</v>
      </c>
      <c r="F1579" s="5" t="s">
        <v>51</v>
      </c>
      <c r="G1579" s="5" t="s">
        <v>42</v>
      </c>
      <c r="H1579" s="5">
        <v>9</v>
      </c>
      <c r="I1579" s="7">
        <v>1952.28</v>
      </c>
      <c r="J1579" s="6">
        <v>45902</v>
      </c>
      <c r="K1579">
        <f t="shared" si="24"/>
        <v>17570.52</v>
      </c>
      <c r="L1579" t="str">
        <f>INDEX(Raw_Shipments!L1579:L4007,MATCH(A1579,Raw_Shipments!B1579:B4007))</f>
        <v>No</v>
      </c>
    </row>
    <row r="1580" spans="1:12" x14ac:dyDescent="0.3">
      <c r="A1580" s="2" t="s">
        <v>1729</v>
      </c>
      <c r="B1580" s="3">
        <v>45899</v>
      </c>
      <c r="C1580" s="2" t="s">
        <v>331</v>
      </c>
      <c r="D1580" s="2" t="s">
        <v>45</v>
      </c>
      <c r="E1580" s="2" t="s">
        <v>66</v>
      </c>
      <c r="F1580" s="2" t="s">
        <v>67</v>
      </c>
      <c r="G1580" s="2" t="s">
        <v>17</v>
      </c>
      <c r="H1580" s="2">
        <v>21</v>
      </c>
      <c r="I1580" s="4">
        <v>850.8</v>
      </c>
      <c r="J1580" s="3">
        <v>45904</v>
      </c>
      <c r="K1580">
        <f t="shared" si="24"/>
        <v>17866.8</v>
      </c>
      <c r="L1580" t="str">
        <f>INDEX(Raw_Shipments!L1580:L4008,MATCH(A1580,Raw_Shipments!B1580:B4008))</f>
        <v>No</v>
      </c>
    </row>
    <row r="1581" spans="1:12" x14ac:dyDescent="0.3">
      <c r="A1581" s="5" t="s">
        <v>1730</v>
      </c>
      <c r="B1581" s="6">
        <v>45899</v>
      </c>
      <c r="C1581" s="5" t="s">
        <v>227</v>
      </c>
      <c r="D1581" s="5" t="s">
        <v>30</v>
      </c>
      <c r="E1581" s="5" t="s">
        <v>15</v>
      </c>
      <c r="F1581" s="5" t="s">
        <v>16</v>
      </c>
      <c r="G1581" s="5" t="s">
        <v>17</v>
      </c>
      <c r="H1581" s="5">
        <v>11</v>
      </c>
      <c r="I1581" s="7">
        <v>183.06</v>
      </c>
      <c r="J1581" s="6">
        <v>45907</v>
      </c>
      <c r="K1581">
        <f t="shared" si="24"/>
        <v>2013.66</v>
      </c>
      <c r="L1581" t="str">
        <f>INDEX(Raw_Shipments!L1581:L4009,MATCH(A1581,Raw_Shipments!B1581:B4009))</f>
        <v>Yes</v>
      </c>
    </row>
    <row r="1582" spans="1:12" x14ac:dyDescent="0.3">
      <c r="A1582" s="2" t="s">
        <v>1731</v>
      </c>
      <c r="B1582" s="3">
        <v>45899</v>
      </c>
      <c r="C1582" s="2" t="s">
        <v>191</v>
      </c>
      <c r="D1582" s="2" t="s">
        <v>45</v>
      </c>
      <c r="E1582" s="2" t="s">
        <v>31</v>
      </c>
      <c r="F1582" s="2" t="s">
        <v>32</v>
      </c>
      <c r="G1582" s="2" t="s">
        <v>33</v>
      </c>
      <c r="H1582" s="2">
        <v>37</v>
      </c>
      <c r="I1582" s="4">
        <v>689</v>
      </c>
      <c r="J1582" s="3">
        <v>45906</v>
      </c>
      <c r="K1582">
        <f t="shared" si="24"/>
        <v>25493</v>
      </c>
      <c r="L1582" t="str">
        <f>INDEX(Raw_Shipments!L1582:L4010,MATCH(A1582,Raw_Shipments!B1582:B4010))</f>
        <v>No</v>
      </c>
    </row>
    <row r="1583" spans="1:12" x14ac:dyDescent="0.3">
      <c r="A1583" s="5" t="s">
        <v>1732</v>
      </c>
      <c r="B1583" s="6">
        <v>45899</v>
      </c>
      <c r="C1583" s="5" t="s">
        <v>89</v>
      </c>
      <c r="D1583" s="5" t="s">
        <v>45</v>
      </c>
      <c r="E1583" s="5" t="s">
        <v>36</v>
      </c>
      <c r="F1583" s="5" t="s">
        <v>37</v>
      </c>
      <c r="G1583" s="5" t="s">
        <v>33</v>
      </c>
      <c r="H1583" s="5">
        <v>46</v>
      </c>
      <c r="I1583" s="7">
        <v>1064.79</v>
      </c>
      <c r="J1583" s="6">
        <v>45903</v>
      </c>
      <c r="K1583">
        <f t="shared" si="24"/>
        <v>48980.34</v>
      </c>
      <c r="L1583" t="str">
        <f>INDEX(Raw_Shipments!L1583:L4011,MATCH(A1583,Raw_Shipments!B1583:B4011))</f>
        <v>No</v>
      </c>
    </row>
    <row r="1584" spans="1:12" x14ac:dyDescent="0.3">
      <c r="A1584" s="2" t="s">
        <v>1733</v>
      </c>
      <c r="B1584" s="3">
        <v>45899</v>
      </c>
      <c r="C1584" s="2" t="s">
        <v>220</v>
      </c>
      <c r="D1584" s="2" t="s">
        <v>30</v>
      </c>
      <c r="E1584" s="2" t="s">
        <v>86</v>
      </c>
      <c r="F1584" s="2" t="s">
        <v>87</v>
      </c>
      <c r="G1584" s="2" t="s">
        <v>33</v>
      </c>
      <c r="H1584" s="2">
        <v>30</v>
      </c>
      <c r="I1584" s="4">
        <v>815.88</v>
      </c>
      <c r="J1584" s="3">
        <v>45902</v>
      </c>
      <c r="K1584">
        <f t="shared" si="24"/>
        <v>24476.400000000001</v>
      </c>
      <c r="L1584" t="str">
        <f>INDEX(Raw_Shipments!L1584:L4012,MATCH(A1584,Raw_Shipments!B1584:B4012))</f>
        <v>No</v>
      </c>
    </row>
    <row r="1585" spans="1:12" x14ac:dyDescent="0.3">
      <c r="A1585" s="5" t="s">
        <v>1734</v>
      </c>
      <c r="B1585" s="6">
        <v>45899</v>
      </c>
      <c r="C1585" s="5" t="s">
        <v>217</v>
      </c>
      <c r="D1585" s="5" t="s">
        <v>45</v>
      </c>
      <c r="E1585" s="5" t="s">
        <v>40</v>
      </c>
      <c r="F1585" s="5" t="s">
        <v>41</v>
      </c>
      <c r="G1585" s="5" t="s">
        <v>42</v>
      </c>
      <c r="H1585" s="5">
        <v>22</v>
      </c>
      <c r="I1585" s="7">
        <v>2445.11</v>
      </c>
      <c r="J1585" s="6">
        <v>45903</v>
      </c>
      <c r="K1585">
        <f t="shared" si="24"/>
        <v>53792.420000000006</v>
      </c>
      <c r="L1585" t="str">
        <f>INDEX(Raw_Shipments!L1585:L4013,MATCH(A1585,Raw_Shipments!B1585:B4013))</f>
        <v>No</v>
      </c>
    </row>
    <row r="1586" spans="1:12" x14ac:dyDescent="0.3">
      <c r="A1586" s="2" t="s">
        <v>1735</v>
      </c>
      <c r="B1586" s="3">
        <v>45899</v>
      </c>
      <c r="C1586" s="2" t="s">
        <v>418</v>
      </c>
      <c r="D1586" s="2" t="s">
        <v>25</v>
      </c>
      <c r="E1586" s="2" t="s">
        <v>46</v>
      </c>
      <c r="F1586" s="2" t="s">
        <v>47</v>
      </c>
      <c r="G1586" s="2" t="s">
        <v>42</v>
      </c>
      <c r="H1586" s="2">
        <v>7</v>
      </c>
      <c r="I1586" s="4">
        <v>1833.14</v>
      </c>
      <c r="J1586" s="3">
        <v>45908</v>
      </c>
      <c r="K1586">
        <f t="shared" si="24"/>
        <v>12831.980000000001</v>
      </c>
      <c r="L1586" t="str">
        <f>INDEX(Raw_Shipments!L1586:L4014,MATCH(A1586,Raw_Shipments!B1586:B4014))</f>
        <v>No</v>
      </c>
    </row>
    <row r="1587" spans="1:12" x14ac:dyDescent="0.3">
      <c r="A1587" s="5" t="s">
        <v>1736</v>
      </c>
      <c r="B1587" s="6">
        <v>45899</v>
      </c>
      <c r="C1587" s="5" t="s">
        <v>83</v>
      </c>
      <c r="D1587" s="5" t="s">
        <v>45</v>
      </c>
      <c r="E1587" s="5" t="s">
        <v>50</v>
      </c>
      <c r="F1587" s="5" t="s">
        <v>51</v>
      </c>
      <c r="G1587" s="5" t="s">
        <v>42</v>
      </c>
      <c r="H1587" s="5">
        <v>12</v>
      </c>
      <c r="I1587" s="7">
        <v>1952.28</v>
      </c>
      <c r="J1587" s="6">
        <v>45906</v>
      </c>
      <c r="K1587">
        <f t="shared" si="24"/>
        <v>23427.360000000001</v>
      </c>
      <c r="L1587" t="str">
        <f>INDEX(Raw_Shipments!L1587:L4015,MATCH(A1587,Raw_Shipments!B1587:B4015))</f>
        <v>No</v>
      </c>
    </row>
    <row r="1588" spans="1:12" x14ac:dyDescent="0.3">
      <c r="A1588" s="2" t="s">
        <v>1737</v>
      </c>
      <c r="B1588" s="3">
        <v>45900</v>
      </c>
      <c r="C1588" s="2" t="s">
        <v>238</v>
      </c>
      <c r="D1588" s="2" t="s">
        <v>14</v>
      </c>
      <c r="E1588" s="2" t="s">
        <v>53</v>
      </c>
      <c r="F1588" s="2" t="s">
        <v>54</v>
      </c>
      <c r="G1588" s="2" t="s">
        <v>55</v>
      </c>
      <c r="H1588" s="2">
        <v>13</v>
      </c>
      <c r="I1588" s="4">
        <v>2055.9</v>
      </c>
      <c r="J1588" s="3">
        <v>45906</v>
      </c>
      <c r="K1588">
        <f t="shared" si="24"/>
        <v>26726.7</v>
      </c>
      <c r="L1588" t="str">
        <f>INDEX(Raw_Shipments!L1588:L4016,MATCH(A1588,Raw_Shipments!B1588:B4016))</f>
        <v>No</v>
      </c>
    </row>
    <row r="1589" spans="1:12" x14ac:dyDescent="0.3">
      <c r="A1589" s="5" t="s">
        <v>1738</v>
      </c>
      <c r="B1589" s="6">
        <v>45900</v>
      </c>
      <c r="C1589" s="5" t="s">
        <v>304</v>
      </c>
      <c r="D1589" s="5" t="s">
        <v>30</v>
      </c>
      <c r="E1589" s="5" t="s">
        <v>58</v>
      </c>
      <c r="F1589" s="5" t="s">
        <v>59</v>
      </c>
      <c r="G1589" s="5" t="s">
        <v>55</v>
      </c>
      <c r="H1589" s="5">
        <v>26</v>
      </c>
      <c r="I1589" s="7">
        <v>1695.1</v>
      </c>
      <c r="J1589" s="6">
        <v>45907</v>
      </c>
      <c r="K1589">
        <f t="shared" si="24"/>
        <v>44072.6</v>
      </c>
      <c r="L1589" t="str">
        <f>INDEX(Raw_Shipments!L1589:L4017,MATCH(A1589,Raw_Shipments!B1589:B4017))</f>
        <v>No</v>
      </c>
    </row>
    <row r="1590" spans="1:12" x14ac:dyDescent="0.3">
      <c r="A1590" s="2" t="s">
        <v>1739</v>
      </c>
      <c r="B1590" s="3">
        <v>45900</v>
      </c>
      <c r="C1590" s="2" t="s">
        <v>248</v>
      </c>
      <c r="D1590" s="2" t="s">
        <v>45</v>
      </c>
      <c r="E1590" s="2" t="s">
        <v>66</v>
      </c>
      <c r="F1590" s="2" t="s">
        <v>67</v>
      </c>
      <c r="G1590" s="2" t="s">
        <v>17</v>
      </c>
      <c r="H1590" s="2">
        <v>17</v>
      </c>
      <c r="I1590" s="4">
        <v>850.8</v>
      </c>
      <c r="J1590" s="3">
        <v>45904</v>
      </c>
      <c r="K1590">
        <f t="shared" si="24"/>
        <v>14463.599999999999</v>
      </c>
      <c r="L1590" t="str">
        <f>INDEX(Raw_Shipments!L1590:L4018,MATCH(A1590,Raw_Shipments!B1590:B4018))</f>
        <v>No</v>
      </c>
    </row>
    <row r="1591" spans="1:12" x14ac:dyDescent="0.3">
      <c r="A1591" s="5" t="s">
        <v>1740</v>
      </c>
      <c r="B1591" s="6">
        <v>45900</v>
      </c>
      <c r="C1591" s="5" t="s">
        <v>191</v>
      </c>
      <c r="D1591" s="5" t="s">
        <v>25</v>
      </c>
      <c r="E1591" s="5" t="s">
        <v>97</v>
      </c>
      <c r="F1591" s="5" t="s">
        <v>98</v>
      </c>
      <c r="G1591" s="5" t="s">
        <v>17</v>
      </c>
      <c r="H1591" s="5">
        <v>29</v>
      </c>
      <c r="I1591" s="7">
        <v>1110.6500000000001</v>
      </c>
      <c r="J1591" s="6">
        <v>45903</v>
      </c>
      <c r="K1591">
        <f t="shared" si="24"/>
        <v>32208.850000000002</v>
      </c>
      <c r="L1591" t="str">
        <f>INDEX(Raw_Shipments!L1591:L4019,MATCH(A1591,Raw_Shipments!B1591:B4019))</f>
        <v>No</v>
      </c>
    </row>
    <row r="1592" spans="1:12" x14ac:dyDescent="0.3">
      <c r="A1592" s="2" t="s">
        <v>1741</v>
      </c>
      <c r="B1592" s="3">
        <v>45900</v>
      </c>
      <c r="C1592" s="2" t="s">
        <v>166</v>
      </c>
      <c r="D1592" s="2" t="s">
        <v>30</v>
      </c>
      <c r="E1592" s="2" t="s">
        <v>15</v>
      </c>
      <c r="F1592" s="2" t="s">
        <v>16</v>
      </c>
      <c r="G1592" s="2" t="s">
        <v>17</v>
      </c>
      <c r="H1592" s="2">
        <v>10</v>
      </c>
      <c r="I1592" s="4">
        <v>183.06</v>
      </c>
      <c r="J1592" s="3">
        <v>45909</v>
      </c>
      <c r="K1592">
        <f t="shared" si="24"/>
        <v>1830.6</v>
      </c>
      <c r="L1592" t="str">
        <f>INDEX(Raw_Shipments!L1592:L4020,MATCH(A1592,Raw_Shipments!B1592:B4020))</f>
        <v>Yes</v>
      </c>
    </row>
    <row r="1593" spans="1:12" x14ac:dyDescent="0.3">
      <c r="A1593" s="5" t="s">
        <v>1742</v>
      </c>
      <c r="B1593" s="6">
        <v>45900</v>
      </c>
      <c r="C1593" s="5" t="s">
        <v>337</v>
      </c>
      <c r="D1593" s="5" t="s">
        <v>14</v>
      </c>
      <c r="E1593" s="5" t="s">
        <v>20</v>
      </c>
      <c r="F1593" s="5" t="s">
        <v>21</v>
      </c>
      <c r="G1593" s="5" t="s">
        <v>22</v>
      </c>
      <c r="H1593" s="5">
        <v>13</v>
      </c>
      <c r="I1593" s="7">
        <v>2108.56</v>
      </c>
      <c r="J1593" s="6">
        <v>45907</v>
      </c>
      <c r="K1593">
        <f t="shared" si="24"/>
        <v>27411.279999999999</v>
      </c>
      <c r="L1593" t="str">
        <f>INDEX(Raw_Shipments!L1593:L4021,MATCH(A1593,Raw_Shipments!B1593:B4021))</f>
        <v>No</v>
      </c>
    </row>
    <row r="1594" spans="1:12" x14ac:dyDescent="0.3">
      <c r="A1594" s="2" t="s">
        <v>1743</v>
      </c>
      <c r="B1594" s="3">
        <v>45900</v>
      </c>
      <c r="C1594" s="2" t="s">
        <v>272</v>
      </c>
      <c r="D1594" s="2" t="s">
        <v>45</v>
      </c>
      <c r="E1594" s="2" t="s">
        <v>119</v>
      </c>
      <c r="F1594" s="2" t="s">
        <v>120</v>
      </c>
      <c r="G1594" s="2" t="s">
        <v>22</v>
      </c>
      <c r="H1594" s="2">
        <v>46</v>
      </c>
      <c r="I1594" s="4">
        <v>912.26</v>
      </c>
      <c r="J1594" s="3">
        <v>45907</v>
      </c>
      <c r="K1594">
        <f t="shared" si="24"/>
        <v>41963.96</v>
      </c>
      <c r="L1594" t="str">
        <f>INDEX(Raw_Shipments!L1594:L4022,MATCH(A1594,Raw_Shipments!B1594:B4022))</f>
        <v>Yes</v>
      </c>
    </row>
    <row r="1595" spans="1:12" x14ac:dyDescent="0.3">
      <c r="A1595" s="5" t="s">
        <v>1744</v>
      </c>
      <c r="B1595" s="6">
        <v>45900</v>
      </c>
      <c r="C1595" s="5" t="s">
        <v>442</v>
      </c>
      <c r="D1595" s="5" t="s">
        <v>25</v>
      </c>
      <c r="E1595" s="5" t="s">
        <v>26</v>
      </c>
      <c r="F1595" s="5" t="s">
        <v>27</v>
      </c>
      <c r="G1595" s="5" t="s">
        <v>22</v>
      </c>
      <c r="H1595" s="5">
        <v>28</v>
      </c>
      <c r="I1595" s="7">
        <v>1646.8</v>
      </c>
      <c r="J1595" s="6">
        <v>45910</v>
      </c>
      <c r="K1595">
        <f t="shared" si="24"/>
        <v>46110.400000000001</v>
      </c>
      <c r="L1595" t="str">
        <f>INDEX(Raw_Shipments!L1595:L4023,MATCH(A1595,Raw_Shipments!B1595:B4023))</f>
        <v>No</v>
      </c>
    </row>
    <row r="1596" spans="1:12" x14ac:dyDescent="0.3">
      <c r="A1596" s="2" t="s">
        <v>1745</v>
      </c>
      <c r="B1596" s="3">
        <v>45900</v>
      </c>
      <c r="C1596" s="2" t="s">
        <v>79</v>
      </c>
      <c r="D1596" s="2" t="s">
        <v>14</v>
      </c>
      <c r="E1596" s="2" t="s">
        <v>86</v>
      </c>
      <c r="F1596" s="2" t="s">
        <v>87</v>
      </c>
      <c r="G1596" s="2" t="s">
        <v>33</v>
      </c>
      <c r="H1596" s="2">
        <v>24</v>
      </c>
      <c r="I1596" s="4">
        <v>815.88</v>
      </c>
      <c r="J1596" s="3">
        <v>45908</v>
      </c>
      <c r="K1596">
        <f t="shared" si="24"/>
        <v>19581.12</v>
      </c>
      <c r="L1596" t="str">
        <f>INDEX(Raw_Shipments!L1596:L4024,MATCH(A1596,Raw_Shipments!B1596:B4024))</f>
        <v>Yes</v>
      </c>
    </row>
    <row r="1597" spans="1:12" x14ac:dyDescent="0.3">
      <c r="A1597" s="5" t="s">
        <v>1746</v>
      </c>
      <c r="B1597" s="6">
        <v>45900</v>
      </c>
      <c r="C1597" s="5" t="s">
        <v>107</v>
      </c>
      <c r="D1597" s="5" t="s">
        <v>25</v>
      </c>
      <c r="E1597" s="5" t="s">
        <v>50</v>
      </c>
      <c r="F1597" s="5" t="s">
        <v>51</v>
      </c>
      <c r="G1597" s="5" t="s">
        <v>42</v>
      </c>
      <c r="H1597" s="5">
        <v>7</v>
      </c>
      <c r="I1597" s="7">
        <v>1952.28</v>
      </c>
      <c r="J1597" s="6">
        <v>45903</v>
      </c>
      <c r="K1597">
        <f t="shared" si="24"/>
        <v>13665.96</v>
      </c>
      <c r="L1597" t="str">
        <f>INDEX(Raw_Shipments!L1597:L4025,MATCH(A1597,Raw_Shipments!B1597:B4025))</f>
        <v>No</v>
      </c>
    </row>
    <row r="1598" spans="1:12" x14ac:dyDescent="0.3">
      <c r="A1598" s="2" t="s">
        <v>1747</v>
      </c>
      <c r="B1598" s="3">
        <v>45901</v>
      </c>
      <c r="C1598" s="2" t="s">
        <v>220</v>
      </c>
      <c r="D1598" s="2" t="s">
        <v>45</v>
      </c>
      <c r="E1598" s="2" t="s">
        <v>58</v>
      </c>
      <c r="F1598" s="2" t="s">
        <v>59</v>
      </c>
      <c r="G1598" s="2" t="s">
        <v>55</v>
      </c>
      <c r="H1598" s="2">
        <v>17</v>
      </c>
      <c r="I1598" s="4">
        <v>1695.1</v>
      </c>
      <c r="J1598" s="3">
        <v>45909</v>
      </c>
      <c r="K1598">
        <f t="shared" si="24"/>
        <v>28816.699999999997</v>
      </c>
      <c r="L1598" t="str">
        <f>INDEX(Raw_Shipments!L1598:L4026,MATCH(A1598,Raw_Shipments!B1598:B4026))</f>
        <v>No</v>
      </c>
    </row>
    <row r="1599" spans="1:12" x14ac:dyDescent="0.3">
      <c r="A1599" s="5" t="s">
        <v>1748</v>
      </c>
      <c r="B1599" s="6">
        <v>45901</v>
      </c>
      <c r="C1599" s="5" t="s">
        <v>104</v>
      </c>
      <c r="D1599" s="5" t="s">
        <v>45</v>
      </c>
      <c r="E1599" s="5" t="s">
        <v>66</v>
      </c>
      <c r="F1599" s="5" t="s">
        <v>67</v>
      </c>
      <c r="G1599" s="5" t="s">
        <v>17</v>
      </c>
      <c r="H1599" s="5">
        <v>13</v>
      </c>
      <c r="I1599" s="7">
        <v>850.8</v>
      </c>
      <c r="J1599" s="6">
        <v>45905</v>
      </c>
      <c r="K1599">
        <f t="shared" si="24"/>
        <v>11060.4</v>
      </c>
      <c r="L1599" t="str">
        <f>INDEX(Raw_Shipments!L1599:L4027,MATCH(A1599,Raw_Shipments!B1599:B4027))</f>
        <v>No</v>
      </c>
    </row>
    <row r="1600" spans="1:12" x14ac:dyDescent="0.3">
      <c r="A1600" s="2" t="s">
        <v>1749</v>
      </c>
      <c r="B1600" s="3">
        <v>45901</v>
      </c>
      <c r="C1600" s="2" t="s">
        <v>442</v>
      </c>
      <c r="D1600" s="2" t="s">
        <v>25</v>
      </c>
      <c r="E1600" s="2" t="s">
        <v>26</v>
      </c>
      <c r="F1600" s="2" t="s">
        <v>27</v>
      </c>
      <c r="G1600" s="2" t="s">
        <v>22</v>
      </c>
      <c r="H1600" s="2">
        <v>21</v>
      </c>
      <c r="I1600" s="4">
        <v>1646.8</v>
      </c>
      <c r="J1600" s="3">
        <v>45908</v>
      </c>
      <c r="K1600">
        <f t="shared" si="24"/>
        <v>34582.799999999996</v>
      </c>
      <c r="L1600" t="str">
        <f>INDEX(Raw_Shipments!L1600:L4028,MATCH(A1600,Raw_Shipments!B1600:B4028))</f>
        <v>No</v>
      </c>
    </row>
    <row r="1601" spans="1:12" x14ac:dyDescent="0.3">
      <c r="A1601" s="5" t="s">
        <v>1750</v>
      </c>
      <c r="B1601" s="6">
        <v>45901</v>
      </c>
      <c r="C1601" s="5" t="s">
        <v>93</v>
      </c>
      <c r="D1601" s="5" t="s">
        <v>25</v>
      </c>
      <c r="E1601" s="5" t="s">
        <v>40</v>
      </c>
      <c r="F1601" s="5" t="s">
        <v>41</v>
      </c>
      <c r="G1601" s="5" t="s">
        <v>42</v>
      </c>
      <c r="H1601" s="5">
        <v>29</v>
      </c>
      <c r="I1601" s="7">
        <v>2445.11</v>
      </c>
      <c r="J1601" s="6">
        <v>45911</v>
      </c>
      <c r="K1601">
        <f t="shared" si="24"/>
        <v>70908.19</v>
      </c>
      <c r="L1601" t="str">
        <f>INDEX(Raw_Shipments!L1601:L4029,MATCH(A1601,Raw_Shipments!B1601:B4029))</f>
        <v>No</v>
      </c>
    </row>
    <row r="1602" spans="1:12" x14ac:dyDescent="0.3">
      <c r="A1602" s="2" t="s">
        <v>1751</v>
      </c>
      <c r="B1602" s="3">
        <v>45902</v>
      </c>
      <c r="C1602" s="2" t="s">
        <v>100</v>
      </c>
      <c r="D1602" s="2" t="s">
        <v>25</v>
      </c>
      <c r="E1602" s="2" t="s">
        <v>53</v>
      </c>
      <c r="F1602" s="2" t="s">
        <v>54</v>
      </c>
      <c r="G1602" s="2" t="s">
        <v>55</v>
      </c>
      <c r="H1602" s="2">
        <v>26</v>
      </c>
      <c r="I1602" s="4">
        <v>2055.9</v>
      </c>
      <c r="J1602" s="3">
        <v>45912</v>
      </c>
      <c r="K1602">
        <f t="shared" si="24"/>
        <v>53453.4</v>
      </c>
      <c r="L1602" t="str">
        <f>INDEX(Raw_Shipments!L1602:L4030,MATCH(A1602,Raw_Shipments!B1602:B4030))</f>
        <v>Yes</v>
      </c>
    </row>
    <row r="1603" spans="1:12" x14ac:dyDescent="0.3">
      <c r="A1603" s="5" t="s">
        <v>1752</v>
      </c>
      <c r="B1603" s="6">
        <v>45902</v>
      </c>
      <c r="C1603" s="5" t="s">
        <v>248</v>
      </c>
      <c r="D1603" s="5" t="s">
        <v>14</v>
      </c>
      <c r="E1603" s="5" t="s">
        <v>66</v>
      </c>
      <c r="F1603" s="5" t="s">
        <v>67</v>
      </c>
      <c r="G1603" s="5" t="s">
        <v>17</v>
      </c>
      <c r="H1603" s="5">
        <v>19</v>
      </c>
      <c r="I1603" s="7">
        <v>850.8</v>
      </c>
      <c r="J1603" s="6">
        <v>45911</v>
      </c>
      <c r="K1603">
        <f t="shared" ref="K1603:K1666" si="25">I1603*H1603</f>
        <v>16165.199999999999</v>
      </c>
      <c r="L1603" t="str">
        <f>INDEX(Raw_Shipments!L1603:L4031,MATCH(A1603,Raw_Shipments!B1603:B4031))</f>
        <v>No</v>
      </c>
    </row>
    <row r="1604" spans="1:12" x14ac:dyDescent="0.3">
      <c r="A1604" s="2" t="s">
        <v>1753</v>
      </c>
      <c r="B1604" s="3">
        <v>45902</v>
      </c>
      <c r="C1604" s="2" t="s">
        <v>356</v>
      </c>
      <c r="D1604" s="2" t="s">
        <v>14</v>
      </c>
      <c r="E1604" s="2" t="s">
        <v>97</v>
      </c>
      <c r="F1604" s="2" t="s">
        <v>98</v>
      </c>
      <c r="G1604" s="2" t="s">
        <v>17</v>
      </c>
      <c r="H1604" s="2">
        <v>39</v>
      </c>
      <c r="I1604" s="4">
        <v>1110.6500000000001</v>
      </c>
      <c r="J1604" s="3">
        <v>45911</v>
      </c>
      <c r="K1604">
        <f t="shared" si="25"/>
        <v>43315.350000000006</v>
      </c>
      <c r="L1604" t="str">
        <f>INDEX(Raw_Shipments!L1604:L4032,MATCH(A1604,Raw_Shipments!B1604:B4032))</f>
        <v>Yes</v>
      </c>
    </row>
    <row r="1605" spans="1:12" x14ac:dyDescent="0.3">
      <c r="A1605" s="5" t="s">
        <v>1754</v>
      </c>
      <c r="B1605" s="6">
        <v>45902</v>
      </c>
      <c r="C1605" s="5" t="s">
        <v>144</v>
      </c>
      <c r="D1605" s="5" t="s">
        <v>45</v>
      </c>
      <c r="E1605" s="5" t="s">
        <v>20</v>
      </c>
      <c r="F1605" s="5" t="s">
        <v>21</v>
      </c>
      <c r="G1605" s="5" t="s">
        <v>22</v>
      </c>
      <c r="H1605" s="5">
        <v>15</v>
      </c>
      <c r="I1605" s="7">
        <v>2108.56</v>
      </c>
      <c r="J1605" s="6">
        <v>45911</v>
      </c>
      <c r="K1605">
        <f t="shared" si="25"/>
        <v>31628.399999999998</v>
      </c>
      <c r="L1605" t="str">
        <f>INDEX(Raw_Shipments!L1605:L4033,MATCH(A1605,Raw_Shipments!B1605:B4033))</f>
        <v>Yes</v>
      </c>
    </row>
    <row r="1606" spans="1:12" x14ac:dyDescent="0.3">
      <c r="A1606" s="2" t="s">
        <v>1755</v>
      </c>
      <c r="B1606" s="3">
        <v>45902</v>
      </c>
      <c r="C1606" s="2" t="s">
        <v>44</v>
      </c>
      <c r="D1606" s="2" t="s">
        <v>25</v>
      </c>
      <c r="E1606" s="2" t="s">
        <v>86</v>
      </c>
      <c r="F1606" s="2" t="s">
        <v>87</v>
      </c>
      <c r="G1606" s="2" t="s">
        <v>33</v>
      </c>
      <c r="H1606" s="2">
        <v>37</v>
      </c>
      <c r="I1606" s="4">
        <v>815.88</v>
      </c>
      <c r="J1606" s="3">
        <v>45909</v>
      </c>
      <c r="K1606">
        <f t="shared" si="25"/>
        <v>30187.56</v>
      </c>
      <c r="L1606" t="str">
        <f>INDEX(Raw_Shipments!L1606:L4034,MATCH(A1606,Raw_Shipments!B1606:B4034))</f>
        <v>No</v>
      </c>
    </row>
    <row r="1607" spans="1:12" x14ac:dyDescent="0.3">
      <c r="A1607" s="5" t="s">
        <v>1756</v>
      </c>
      <c r="B1607" s="6">
        <v>45902</v>
      </c>
      <c r="C1607" s="5" t="s">
        <v>29</v>
      </c>
      <c r="D1607" s="5" t="s">
        <v>25</v>
      </c>
      <c r="E1607" s="5" t="s">
        <v>46</v>
      </c>
      <c r="F1607" s="5" t="s">
        <v>47</v>
      </c>
      <c r="G1607" s="5" t="s">
        <v>42</v>
      </c>
      <c r="H1607" s="5">
        <v>5</v>
      </c>
      <c r="I1607" s="7">
        <v>1833.14</v>
      </c>
      <c r="J1607" s="6">
        <v>45911</v>
      </c>
      <c r="K1607">
        <f t="shared" si="25"/>
        <v>9165.7000000000007</v>
      </c>
      <c r="L1607" t="str">
        <f>INDEX(Raw_Shipments!L1607:L4035,MATCH(A1607,Raw_Shipments!B1607:B4035))</f>
        <v>No</v>
      </c>
    </row>
    <row r="1608" spans="1:12" x14ac:dyDescent="0.3">
      <c r="A1608" s="2" t="s">
        <v>1757</v>
      </c>
      <c r="B1608" s="3">
        <v>45902</v>
      </c>
      <c r="C1608" s="2" t="s">
        <v>102</v>
      </c>
      <c r="D1608" s="2" t="s">
        <v>30</v>
      </c>
      <c r="E1608" s="2" t="s">
        <v>50</v>
      </c>
      <c r="F1608" s="2" t="s">
        <v>51</v>
      </c>
      <c r="G1608" s="2" t="s">
        <v>42</v>
      </c>
      <c r="H1608" s="2">
        <v>4</v>
      </c>
      <c r="I1608" s="4">
        <v>1952.28</v>
      </c>
      <c r="J1608" s="3">
        <v>45906</v>
      </c>
      <c r="K1608">
        <f t="shared" si="25"/>
        <v>7809.12</v>
      </c>
      <c r="L1608" t="str">
        <f>INDEX(Raw_Shipments!L1608:L4036,MATCH(A1608,Raw_Shipments!B1608:B4036))</f>
        <v>No</v>
      </c>
    </row>
    <row r="1609" spans="1:12" x14ac:dyDescent="0.3">
      <c r="A1609" s="5" t="s">
        <v>1758</v>
      </c>
      <c r="B1609" s="6">
        <v>45903</v>
      </c>
      <c r="C1609" s="5" t="s">
        <v>170</v>
      </c>
      <c r="D1609" s="5" t="s">
        <v>30</v>
      </c>
      <c r="E1609" s="5" t="s">
        <v>62</v>
      </c>
      <c r="F1609" s="5" t="s">
        <v>63</v>
      </c>
      <c r="G1609" s="5" t="s">
        <v>55</v>
      </c>
      <c r="H1609" s="5">
        <v>26</v>
      </c>
      <c r="I1609" s="7">
        <v>2555.2199999999998</v>
      </c>
      <c r="J1609" s="6">
        <v>45907</v>
      </c>
      <c r="K1609">
        <f t="shared" si="25"/>
        <v>66435.72</v>
      </c>
      <c r="L1609" t="str">
        <f>INDEX(Raw_Shipments!L1609:L4037,MATCH(A1609,Raw_Shipments!B1609:B4037))</f>
        <v>No</v>
      </c>
    </row>
    <row r="1610" spans="1:12" x14ac:dyDescent="0.3">
      <c r="A1610" s="2" t="s">
        <v>1759</v>
      </c>
      <c r="B1610" s="3">
        <v>45903</v>
      </c>
      <c r="C1610" s="2" t="s">
        <v>75</v>
      </c>
      <c r="D1610" s="2" t="s">
        <v>14</v>
      </c>
      <c r="E1610" s="2" t="s">
        <v>97</v>
      </c>
      <c r="F1610" s="2" t="s">
        <v>98</v>
      </c>
      <c r="G1610" s="2" t="s">
        <v>17</v>
      </c>
      <c r="H1610" s="2">
        <v>22</v>
      </c>
      <c r="I1610" s="4">
        <v>1110.6500000000001</v>
      </c>
      <c r="J1610" s="3">
        <v>45910</v>
      </c>
      <c r="K1610">
        <f t="shared" si="25"/>
        <v>24434.300000000003</v>
      </c>
      <c r="L1610" t="str">
        <f>INDEX(Raw_Shipments!L1610:L4038,MATCH(A1610,Raw_Shipments!B1610:B4038))</f>
        <v>Yes</v>
      </c>
    </row>
    <row r="1611" spans="1:12" x14ac:dyDescent="0.3">
      <c r="A1611" s="5" t="s">
        <v>1760</v>
      </c>
      <c r="B1611" s="6">
        <v>45903</v>
      </c>
      <c r="C1611" s="5" t="s">
        <v>222</v>
      </c>
      <c r="D1611" s="5" t="s">
        <v>25</v>
      </c>
      <c r="E1611" s="5" t="s">
        <v>15</v>
      </c>
      <c r="F1611" s="5" t="s">
        <v>16</v>
      </c>
      <c r="G1611" s="5" t="s">
        <v>17</v>
      </c>
      <c r="H1611" s="5">
        <v>8</v>
      </c>
      <c r="I1611" s="7">
        <v>183.06</v>
      </c>
      <c r="J1611" s="6">
        <v>45910</v>
      </c>
      <c r="K1611">
        <f t="shared" si="25"/>
        <v>1464.48</v>
      </c>
      <c r="L1611" t="str">
        <f>INDEX(Raw_Shipments!L1611:L4039,MATCH(A1611,Raw_Shipments!B1611:B4039))</f>
        <v>No</v>
      </c>
    </row>
    <row r="1612" spans="1:12" x14ac:dyDescent="0.3">
      <c r="A1612" s="2" t="s">
        <v>1761</v>
      </c>
      <c r="B1612" s="3">
        <v>45903</v>
      </c>
      <c r="C1612" s="2" t="s">
        <v>141</v>
      </c>
      <c r="D1612" s="2" t="s">
        <v>30</v>
      </c>
      <c r="E1612" s="2" t="s">
        <v>20</v>
      </c>
      <c r="F1612" s="2" t="s">
        <v>21</v>
      </c>
      <c r="G1612" s="2" t="s">
        <v>22</v>
      </c>
      <c r="H1612" s="2">
        <v>17</v>
      </c>
      <c r="I1612" s="4">
        <v>2108.56</v>
      </c>
      <c r="J1612" s="3">
        <v>45907</v>
      </c>
      <c r="K1612">
        <f t="shared" si="25"/>
        <v>35845.519999999997</v>
      </c>
      <c r="L1612" t="str">
        <f>INDEX(Raw_Shipments!L1612:L4040,MATCH(A1612,Raw_Shipments!B1612:B4040))</f>
        <v>Yes</v>
      </c>
    </row>
    <row r="1613" spans="1:12" x14ac:dyDescent="0.3">
      <c r="A1613" s="5" t="s">
        <v>1762</v>
      </c>
      <c r="B1613" s="6">
        <v>45903</v>
      </c>
      <c r="C1613" s="5" t="s">
        <v>183</v>
      </c>
      <c r="D1613" s="5" t="s">
        <v>45</v>
      </c>
      <c r="E1613" s="5" t="s">
        <v>119</v>
      </c>
      <c r="F1613" s="5" t="s">
        <v>120</v>
      </c>
      <c r="G1613" s="5" t="s">
        <v>22</v>
      </c>
      <c r="H1613" s="5">
        <v>43</v>
      </c>
      <c r="I1613" s="7">
        <v>912.26</v>
      </c>
      <c r="J1613" s="6">
        <v>45912</v>
      </c>
      <c r="K1613">
        <f t="shared" si="25"/>
        <v>39227.18</v>
      </c>
      <c r="L1613" t="str">
        <f>INDEX(Raw_Shipments!L1613:L4041,MATCH(A1613,Raw_Shipments!B1613:B4041))</f>
        <v>No</v>
      </c>
    </row>
    <row r="1614" spans="1:12" x14ac:dyDescent="0.3">
      <c r="A1614" s="2" t="s">
        <v>1763</v>
      </c>
      <c r="B1614" s="3">
        <v>45903</v>
      </c>
      <c r="C1614" s="2" t="s">
        <v>250</v>
      </c>
      <c r="D1614" s="2" t="s">
        <v>25</v>
      </c>
      <c r="E1614" s="2" t="s">
        <v>26</v>
      </c>
      <c r="F1614" s="2" t="s">
        <v>27</v>
      </c>
      <c r="G1614" s="2" t="s">
        <v>22</v>
      </c>
      <c r="H1614" s="2">
        <v>28</v>
      </c>
      <c r="I1614" s="4">
        <v>1646.8</v>
      </c>
      <c r="J1614" s="3">
        <v>45908</v>
      </c>
      <c r="K1614">
        <f t="shared" si="25"/>
        <v>46110.400000000001</v>
      </c>
      <c r="L1614" t="str">
        <f>INDEX(Raw_Shipments!L1614:L4042,MATCH(A1614,Raw_Shipments!B1614:B4042))</f>
        <v>No</v>
      </c>
    </row>
    <row r="1615" spans="1:12" x14ac:dyDescent="0.3">
      <c r="A1615" s="5" t="s">
        <v>1764</v>
      </c>
      <c r="B1615" s="6">
        <v>45903</v>
      </c>
      <c r="C1615" s="5" t="s">
        <v>102</v>
      </c>
      <c r="D1615" s="5" t="s">
        <v>45</v>
      </c>
      <c r="E1615" s="5" t="s">
        <v>31</v>
      </c>
      <c r="F1615" s="5" t="s">
        <v>32</v>
      </c>
      <c r="G1615" s="5" t="s">
        <v>33</v>
      </c>
      <c r="H1615" s="5">
        <v>59</v>
      </c>
      <c r="I1615" s="7">
        <v>689</v>
      </c>
      <c r="J1615" s="6">
        <v>45909</v>
      </c>
      <c r="K1615">
        <f t="shared" si="25"/>
        <v>40651</v>
      </c>
      <c r="L1615" t="str">
        <f>INDEX(Raw_Shipments!L1615:L4043,MATCH(A1615,Raw_Shipments!B1615:B4043))</f>
        <v>Yes</v>
      </c>
    </row>
    <row r="1616" spans="1:12" x14ac:dyDescent="0.3">
      <c r="A1616" s="2" t="s">
        <v>1765</v>
      </c>
      <c r="B1616" s="3">
        <v>45903</v>
      </c>
      <c r="C1616" s="2" t="s">
        <v>44</v>
      </c>
      <c r="D1616" s="2" t="s">
        <v>30</v>
      </c>
      <c r="E1616" s="2" t="s">
        <v>36</v>
      </c>
      <c r="F1616" s="2" t="s">
        <v>37</v>
      </c>
      <c r="G1616" s="2" t="s">
        <v>33</v>
      </c>
      <c r="H1616" s="2">
        <v>69</v>
      </c>
      <c r="I1616" s="4">
        <v>1064.79</v>
      </c>
      <c r="J1616" s="3">
        <v>45909</v>
      </c>
      <c r="K1616">
        <f t="shared" si="25"/>
        <v>73470.509999999995</v>
      </c>
      <c r="L1616" t="str">
        <f>INDEX(Raw_Shipments!L1616:L4044,MATCH(A1616,Raw_Shipments!B1616:B4044))</f>
        <v>No</v>
      </c>
    </row>
    <row r="1617" spans="1:12" x14ac:dyDescent="0.3">
      <c r="A1617" s="5" t="s">
        <v>1766</v>
      </c>
      <c r="B1617" s="6">
        <v>45903</v>
      </c>
      <c r="C1617" s="5" t="s">
        <v>77</v>
      </c>
      <c r="D1617" s="5" t="s">
        <v>25</v>
      </c>
      <c r="E1617" s="5" t="s">
        <v>86</v>
      </c>
      <c r="F1617" s="5" t="s">
        <v>87</v>
      </c>
      <c r="G1617" s="5" t="s">
        <v>33</v>
      </c>
      <c r="H1617" s="5">
        <v>30</v>
      </c>
      <c r="I1617" s="7">
        <v>815.88</v>
      </c>
      <c r="J1617" s="6">
        <v>45907</v>
      </c>
      <c r="K1617">
        <f t="shared" si="25"/>
        <v>24476.400000000001</v>
      </c>
      <c r="L1617" t="str">
        <f>INDEX(Raw_Shipments!L1617:L4045,MATCH(A1617,Raw_Shipments!B1617:B4045))</f>
        <v>No</v>
      </c>
    </row>
    <row r="1618" spans="1:12" x14ac:dyDescent="0.3">
      <c r="A1618" s="2" t="s">
        <v>1767</v>
      </c>
      <c r="B1618" s="3">
        <v>45903</v>
      </c>
      <c r="C1618" s="2" t="s">
        <v>279</v>
      </c>
      <c r="D1618" s="2" t="s">
        <v>14</v>
      </c>
      <c r="E1618" s="2" t="s">
        <v>46</v>
      </c>
      <c r="F1618" s="2" t="s">
        <v>47</v>
      </c>
      <c r="G1618" s="2" t="s">
        <v>42</v>
      </c>
      <c r="H1618" s="2">
        <v>2</v>
      </c>
      <c r="I1618" s="4">
        <v>1833.14</v>
      </c>
      <c r="J1618" s="3">
        <v>45908</v>
      </c>
      <c r="K1618">
        <f t="shared" si="25"/>
        <v>3666.28</v>
      </c>
      <c r="L1618" t="str">
        <f>INDEX(Raw_Shipments!L1618:L4046,MATCH(A1618,Raw_Shipments!B1618:B4046))</f>
        <v>No</v>
      </c>
    </row>
    <row r="1619" spans="1:12" x14ac:dyDescent="0.3">
      <c r="A1619" s="5" t="s">
        <v>1768</v>
      </c>
      <c r="B1619" s="6">
        <v>45903</v>
      </c>
      <c r="C1619" s="5" t="s">
        <v>217</v>
      </c>
      <c r="D1619" s="5" t="s">
        <v>14</v>
      </c>
      <c r="E1619" s="5" t="s">
        <v>50</v>
      </c>
      <c r="F1619" s="5" t="s">
        <v>51</v>
      </c>
      <c r="G1619" s="5" t="s">
        <v>42</v>
      </c>
      <c r="H1619" s="5">
        <v>11</v>
      </c>
      <c r="I1619" s="7">
        <v>1952.28</v>
      </c>
      <c r="J1619" s="6">
        <v>45912</v>
      </c>
      <c r="K1619">
        <f t="shared" si="25"/>
        <v>21475.079999999998</v>
      </c>
      <c r="L1619" t="str">
        <f>INDEX(Raw_Shipments!L1619:L4047,MATCH(A1619,Raw_Shipments!B1619:B4047))</f>
        <v>No</v>
      </c>
    </row>
    <row r="1620" spans="1:12" x14ac:dyDescent="0.3">
      <c r="A1620" s="2" t="s">
        <v>1769</v>
      </c>
      <c r="B1620" s="3">
        <v>45904</v>
      </c>
      <c r="C1620" s="2" t="s">
        <v>234</v>
      </c>
      <c r="D1620" s="2" t="s">
        <v>14</v>
      </c>
      <c r="E1620" s="2" t="s">
        <v>53</v>
      </c>
      <c r="F1620" s="2" t="s">
        <v>54</v>
      </c>
      <c r="G1620" s="2" t="s">
        <v>55</v>
      </c>
      <c r="H1620" s="2">
        <v>46</v>
      </c>
      <c r="I1620" s="4">
        <v>2055.9</v>
      </c>
      <c r="J1620" s="3">
        <v>45914</v>
      </c>
      <c r="K1620">
        <f t="shared" si="25"/>
        <v>94571.400000000009</v>
      </c>
      <c r="L1620" t="str">
        <f>INDEX(Raw_Shipments!L1620:L4048,MATCH(A1620,Raw_Shipments!B1620:B4048))</f>
        <v>No</v>
      </c>
    </row>
    <row r="1621" spans="1:12" x14ac:dyDescent="0.3">
      <c r="A1621" s="5" t="s">
        <v>1770</v>
      </c>
      <c r="B1621" s="6">
        <v>45904</v>
      </c>
      <c r="C1621" s="5" t="s">
        <v>229</v>
      </c>
      <c r="D1621" s="5" t="s">
        <v>14</v>
      </c>
      <c r="E1621" s="5" t="s">
        <v>58</v>
      </c>
      <c r="F1621" s="5" t="s">
        <v>59</v>
      </c>
      <c r="G1621" s="5" t="s">
        <v>55</v>
      </c>
      <c r="H1621" s="5">
        <v>21</v>
      </c>
      <c r="I1621" s="7">
        <v>1695.1</v>
      </c>
      <c r="J1621" s="6">
        <v>45913</v>
      </c>
      <c r="K1621">
        <f t="shared" si="25"/>
        <v>35597.1</v>
      </c>
      <c r="L1621" t="str">
        <f>INDEX(Raw_Shipments!L1621:L4049,MATCH(A1621,Raw_Shipments!B1621:B4049))</f>
        <v>Yes</v>
      </c>
    </row>
    <row r="1622" spans="1:12" x14ac:dyDescent="0.3">
      <c r="A1622" s="2" t="s">
        <v>1771</v>
      </c>
      <c r="B1622" s="3">
        <v>45904</v>
      </c>
      <c r="C1622" s="2" t="s">
        <v>156</v>
      </c>
      <c r="D1622" s="2" t="s">
        <v>45</v>
      </c>
      <c r="E1622" s="2" t="s">
        <v>20</v>
      </c>
      <c r="F1622" s="2" t="s">
        <v>21</v>
      </c>
      <c r="G1622" s="2" t="s">
        <v>22</v>
      </c>
      <c r="H1622" s="2">
        <v>10</v>
      </c>
      <c r="I1622" s="4">
        <v>2108.56</v>
      </c>
      <c r="J1622" s="3">
        <v>45913</v>
      </c>
      <c r="K1622">
        <f t="shared" si="25"/>
        <v>21085.599999999999</v>
      </c>
      <c r="L1622" t="str">
        <f>INDEX(Raw_Shipments!L1622:L4050,MATCH(A1622,Raw_Shipments!B1622:B4050))</f>
        <v>No</v>
      </c>
    </row>
    <row r="1623" spans="1:12" x14ac:dyDescent="0.3">
      <c r="A1623" s="5" t="s">
        <v>1772</v>
      </c>
      <c r="B1623" s="6">
        <v>45904</v>
      </c>
      <c r="C1623" s="5" t="s">
        <v>250</v>
      </c>
      <c r="D1623" s="5" t="s">
        <v>14</v>
      </c>
      <c r="E1623" s="5" t="s">
        <v>26</v>
      </c>
      <c r="F1623" s="5" t="s">
        <v>27</v>
      </c>
      <c r="G1623" s="5" t="s">
        <v>22</v>
      </c>
      <c r="H1623" s="5">
        <v>25</v>
      </c>
      <c r="I1623" s="7">
        <v>1646.8</v>
      </c>
      <c r="J1623" s="6">
        <v>45913</v>
      </c>
      <c r="K1623">
        <f t="shared" si="25"/>
        <v>41170</v>
      </c>
      <c r="L1623" t="str">
        <f>INDEX(Raw_Shipments!L1623:L4051,MATCH(A1623,Raw_Shipments!B1623:B4051))</f>
        <v>No</v>
      </c>
    </row>
    <row r="1624" spans="1:12" x14ac:dyDescent="0.3">
      <c r="A1624" s="2" t="s">
        <v>1773</v>
      </c>
      <c r="B1624" s="3">
        <v>45904</v>
      </c>
      <c r="C1624" s="2" t="s">
        <v>75</v>
      </c>
      <c r="D1624" s="2" t="s">
        <v>25</v>
      </c>
      <c r="E1624" s="2" t="s">
        <v>36</v>
      </c>
      <c r="F1624" s="2" t="s">
        <v>37</v>
      </c>
      <c r="G1624" s="2" t="s">
        <v>33</v>
      </c>
      <c r="H1624" s="2">
        <v>39</v>
      </c>
      <c r="I1624" s="4">
        <v>1064.79</v>
      </c>
      <c r="J1624" s="3">
        <v>45909</v>
      </c>
      <c r="K1624">
        <f t="shared" si="25"/>
        <v>41526.81</v>
      </c>
      <c r="L1624" t="str">
        <f>INDEX(Raw_Shipments!L1624:L4052,MATCH(A1624,Raw_Shipments!B1624:B4052))</f>
        <v>No</v>
      </c>
    </row>
    <row r="1625" spans="1:12" x14ac:dyDescent="0.3">
      <c r="A1625" s="5" t="s">
        <v>1774</v>
      </c>
      <c r="B1625" s="6">
        <v>45904</v>
      </c>
      <c r="C1625" s="5" t="s">
        <v>268</v>
      </c>
      <c r="D1625" s="5" t="s">
        <v>30</v>
      </c>
      <c r="E1625" s="5" t="s">
        <v>86</v>
      </c>
      <c r="F1625" s="5" t="s">
        <v>87</v>
      </c>
      <c r="G1625" s="5" t="s">
        <v>33</v>
      </c>
      <c r="H1625" s="5">
        <v>37</v>
      </c>
      <c r="I1625" s="7">
        <v>815.88</v>
      </c>
      <c r="J1625" s="6">
        <v>45913</v>
      </c>
      <c r="K1625">
        <f t="shared" si="25"/>
        <v>30187.56</v>
      </c>
      <c r="L1625" t="str">
        <f>INDEX(Raw_Shipments!L1625:L4053,MATCH(A1625,Raw_Shipments!B1625:B4053))</f>
        <v>No</v>
      </c>
    </row>
    <row r="1626" spans="1:12" x14ac:dyDescent="0.3">
      <c r="A1626" s="2" t="s">
        <v>1775</v>
      </c>
      <c r="B1626" s="3">
        <v>45905</v>
      </c>
      <c r="C1626" s="2" t="s">
        <v>146</v>
      </c>
      <c r="D1626" s="2" t="s">
        <v>45</v>
      </c>
      <c r="E1626" s="2" t="s">
        <v>62</v>
      </c>
      <c r="F1626" s="2" t="s">
        <v>63</v>
      </c>
      <c r="G1626" s="2" t="s">
        <v>55</v>
      </c>
      <c r="H1626" s="2">
        <v>31</v>
      </c>
      <c r="I1626" s="4">
        <v>2555.2199999999998</v>
      </c>
      <c r="J1626" s="3">
        <v>45909</v>
      </c>
      <c r="K1626">
        <f t="shared" si="25"/>
        <v>79211.819999999992</v>
      </c>
      <c r="L1626" t="str">
        <f>INDEX(Raw_Shipments!L1626:L4054,MATCH(A1626,Raw_Shipments!B1626:B4054))</f>
        <v>No</v>
      </c>
    </row>
    <row r="1627" spans="1:12" x14ac:dyDescent="0.3">
      <c r="A1627" s="5" t="s">
        <v>1776</v>
      </c>
      <c r="B1627" s="6">
        <v>45905</v>
      </c>
      <c r="C1627" s="5" t="s">
        <v>431</v>
      </c>
      <c r="D1627" s="5" t="s">
        <v>14</v>
      </c>
      <c r="E1627" s="5" t="s">
        <v>119</v>
      </c>
      <c r="F1627" s="5" t="s">
        <v>120</v>
      </c>
      <c r="G1627" s="5" t="s">
        <v>22</v>
      </c>
      <c r="H1627" s="5">
        <v>80</v>
      </c>
      <c r="I1627" s="7">
        <v>912.26</v>
      </c>
      <c r="J1627" s="6">
        <v>45908</v>
      </c>
      <c r="K1627">
        <f t="shared" si="25"/>
        <v>72980.800000000003</v>
      </c>
      <c r="L1627" t="str">
        <f>INDEX(Raw_Shipments!L1627:L4055,MATCH(A1627,Raw_Shipments!B1627:B4055))</f>
        <v>No</v>
      </c>
    </row>
    <row r="1628" spans="1:12" x14ac:dyDescent="0.3">
      <c r="A1628" s="2" t="s">
        <v>1777</v>
      </c>
      <c r="B1628" s="3">
        <v>45905</v>
      </c>
      <c r="C1628" s="2" t="s">
        <v>451</v>
      </c>
      <c r="D1628" s="2" t="s">
        <v>25</v>
      </c>
      <c r="E1628" s="2" t="s">
        <v>86</v>
      </c>
      <c r="F1628" s="2" t="s">
        <v>87</v>
      </c>
      <c r="G1628" s="2" t="s">
        <v>33</v>
      </c>
      <c r="H1628" s="2">
        <v>36</v>
      </c>
      <c r="I1628" s="4">
        <v>815.88</v>
      </c>
      <c r="J1628" s="3">
        <v>45910</v>
      </c>
      <c r="K1628">
        <f t="shared" si="25"/>
        <v>29371.68</v>
      </c>
      <c r="L1628" t="str">
        <f>INDEX(Raw_Shipments!L1628:L4056,MATCH(A1628,Raw_Shipments!B1628:B4056))</f>
        <v>Yes</v>
      </c>
    </row>
    <row r="1629" spans="1:12" x14ac:dyDescent="0.3">
      <c r="A1629" s="5" t="s">
        <v>1778</v>
      </c>
      <c r="B1629" s="6">
        <v>45906</v>
      </c>
      <c r="C1629" s="5" t="s">
        <v>125</v>
      </c>
      <c r="D1629" s="5" t="s">
        <v>14</v>
      </c>
      <c r="E1629" s="5" t="s">
        <v>58</v>
      </c>
      <c r="F1629" s="5" t="s">
        <v>59</v>
      </c>
      <c r="G1629" s="5" t="s">
        <v>55</v>
      </c>
      <c r="H1629" s="5">
        <v>12</v>
      </c>
      <c r="I1629" s="7">
        <v>1695.1</v>
      </c>
      <c r="J1629" s="6">
        <v>45910</v>
      </c>
      <c r="K1629">
        <f t="shared" si="25"/>
        <v>20341.199999999997</v>
      </c>
      <c r="L1629" t="str">
        <f>INDEX(Raw_Shipments!L1629:L4057,MATCH(A1629,Raw_Shipments!B1629:B4057))</f>
        <v>No</v>
      </c>
    </row>
    <row r="1630" spans="1:12" x14ac:dyDescent="0.3">
      <c r="A1630" s="2" t="s">
        <v>1779</v>
      </c>
      <c r="B1630" s="3">
        <v>45906</v>
      </c>
      <c r="C1630" s="2" t="s">
        <v>154</v>
      </c>
      <c r="D1630" s="2" t="s">
        <v>30</v>
      </c>
      <c r="E1630" s="2" t="s">
        <v>66</v>
      </c>
      <c r="F1630" s="2" t="s">
        <v>67</v>
      </c>
      <c r="G1630" s="2" t="s">
        <v>17</v>
      </c>
      <c r="H1630" s="2">
        <v>16</v>
      </c>
      <c r="I1630" s="4">
        <v>850.8</v>
      </c>
      <c r="J1630" s="3">
        <v>45916</v>
      </c>
      <c r="K1630">
        <f t="shared" si="25"/>
        <v>13612.8</v>
      </c>
      <c r="L1630" t="str">
        <f>INDEX(Raw_Shipments!L1630:L4058,MATCH(A1630,Raw_Shipments!B1630:B4058))</f>
        <v>No</v>
      </c>
    </row>
    <row r="1631" spans="1:12" x14ac:dyDescent="0.3">
      <c r="A1631" s="5" t="s">
        <v>1780</v>
      </c>
      <c r="B1631" s="6">
        <v>45906</v>
      </c>
      <c r="C1631" s="5" t="s">
        <v>451</v>
      </c>
      <c r="D1631" s="5" t="s">
        <v>30</v>
      </c>
      <c r="E1631" s="5" t="s">
        <v>97</v>
      </c>
      <c r="F1631" s="5" t="s">
        <v>98</v>
      </c>
      <c r="G1631" s="5" t="s">
        <v>17</v>
      </c>
      <c r="H1631" s="5">
        <v>31</v>
      </c>
      <c r="I1631" s="7">
        <v>1110.6500000000001</v>
      </c>
      <c r="J1631" s="6">
        <v>45910</v>
      </c>
      <c r="K1631">
        <f t="shared" si="25"/>
        <v>34430.15</v>
      </c>
      <c r="L1631" t="str">
        <f>INDEX(Raw_Shipments!L1631:L4059,MATCH(A1631,Raw_Shipments!B1631:B4059))</f>
        <v>No</v>
      </c>
    </row>
    <row r="1632" spans="1:12" x14ac:dyDescent="0.3">
      <c r="A1632" s="2" t="s">
        <v>1781</v>
      </c>
      <c r="B1632" s="3">
        <v>45906</v>
      </c>
      <c r="C1632" s="2" t="s">
        <v>85</v>
      </c>
      <c r="D1632" s="2" t="s">
        <v>30</v>
      </c>
      <c r="E1632" s="2" t="s">
        <v>20</v>
      </c>
      <c r="F1632" s="2" t="s">
        <v>21</v>
      </c>
      <c r="G1632" s="2" t="s">
        <v>22</v>
      </c>
      <c r="H1632" s="2">
        <v>14</v>
      </c>
      <c r="I1632" s="4">
        <v>2108.56</v>
      </c>
      <c r="J1632" s="3">
        <v>45913</v>
      </c>
      <c r="K1632">
        <f t="shared" si="25"/>
        <v>29519.84</v>
      </c>
      <c r="L1632" t="str">
        <f>INDEX(Raw_Shipments!L1632:L4060,MATCH(A1632,Raw_Shipments!B1632:B4060))</f>
        <v>No</v>
      </c>
    </row>
    <row r="1633" spans="1:12" x14ac:dyDescent="0.3">
      <c r="A1633" s="5" t="s">
        <v>1782</v>
      </c>
      <c r="B1633" s="6">
        <v>45906</v>
      </c>
      <c r="C1633" s="5" t="s">
        <v>420</v>
      </c>
      <c r="D1633" s="5" t="s">
        <v>14</v>
      </c>
      <c r="E1633" s="5" t="s">
        <v>31</v>
      </c>
      <c r="F1633" s="5" t="s">
        <v>32</v>
      </c>
      <c r="G1633" s="5" t="s">
        <v>33</v>
      </c>
      <c r="H1633" s="5">
        <v>64</v>
      </c>
      <c r="I1633" s="7">
        <v>689</v>
      </c>
      <c r="J1633" s="6">
        <v>45909</v>
      </c>
      <c r="K1633">
        <f t="shared" si="25"/>
        <v>44096</v>
      </c>
      <c r="L1633" t="str">
        <f>INDEX(Raw_Shipments!L1633:L4061,MATCH(A1633,Raw_Shipments!B1633:B4061))</f>
        <v>No</v>
      </c>
    </row>
    <row r="1634" spans="1:12" x14ac:dyDescent="0.3">
      <c r="A1634" s="2" t="s">
        <v>1783</v>
      </c>
      <c r="B1634" s="3">
        <v>45906</v>
      </c>
      <c r="C1634" s="2" t="s">
        <v>65</v>
      </c>
      <c r="D1634" s="2" t="s">
        <v>25</v>
      </c>
      <c r="E1634" s="2" t="s">
        <v>40</v>
      </c>
      <c r="F1634" s="2" t="s">
        <v>41</v>
      </c>
      <c r="G1634" s="2" t="s">
        <v>42</v>
      </c>
      <c r="H1634" s="2">
        <v>25</v>
      </c>
      <c r="I1634" s="4">
        <v>2445.11</v>
      </c>
      <c r="J1634" s="3">
        <v>45916</v>
      </c>
      <c r="K1634">
        <f t="shared" si="25"/>
        <v>61127.75</v>
      </c>
      <c r="L1634" t="str">
        <f>INDEX(Raw_Shipments!L1634:L4062,MATCH(A1634,Raw_Shipments!B1634:B4062))</f>
        <v>No</v>
      </c>
    </row>
    <row r="1635" spans="1:12" x14ac:dyDescent="0.3">
      <c r="A1635" s="5" t="s">
        <v>1784</v>
      </c>
      <c r="B1635" s="6">
        <v>45906</v>
      </c>
      <c r="C1635" s="5" t="s">
        <v>282</v>
      </c>
      <c r="D1635" s="5" t="s">
        <v>30</v>
      </c>
      <c r="E1635" s="5" t="s">
        <v>46</v>
      </c>
      <c r="F1635" s="5" t="s">
        <v>47</v>
      </c>
      <c r="G1635" s="5" t="s">
        <v>42</v>
      </c>
      <c r="H1635" s="5">
        <v>3</v>
      </c>
      <c r="I1635" s="7">
        <v>1833.14</v>
      </c>
      <c r="J1635" s="6">
        <v>45910</v>
      </c>
      <c r="K1635">
        <f t="shared" si="25"/>
        <v>5499.42</v>
      </c>
      <c r="L1635" t="str">
        <f>INDEX(Raw_Shipments!L1635:L4063,MATCH(A1635,Raw_Shipments!B1635:B4063))</f>
        <v>No</v>
      </c>
    </row>
    <row r="1636" spans="1:12" x14ac:dyDescent="0.3">
      <c r="A1636" s="2" t="s">
        <v>1785</v>
      </c>
      <c r="B1636" s="3">
        <v>45906</v>
      </c>
      <c r="C1636" s="2" t="s">
        <v>156</v>
      </c>
      <c r="D1636" s="2" t="s">
        <v>30</v>
      </c>
      <c r="E1636" s="2" t="s">
        <v>50</v>
      </c>
      <c r="F1636" s="2" t="s">
        <v>51</v>
      </c>
      <c r="G1636" s="2" t="s">
        <v>42</v>
      </c>
      <c r="H1636" s="2">
        <v>8</v>
      </c>
      <c r="I1636" s="4">
        <v>1952.28</v>
      </c>
      <c r="J1636" s="3">
        <v>45910</v>
      </c>
      <c r="K1636">
        <f t="shared" si="25"/>
        <v>15618.24</v>
      </c>
      <c r="L1636" t="str">
        <f>INDEX(Raw_Shipments!L1636:L4064,MATCH(A1636,Raw_Shipments!B1636:B4064))</f>
        <v>No</v>
      </c>
    </row>
    <row r="1637" spans="1:12" x14ac:dyDescent="0.3">
      <c r="A1637" s="5" t="s">
        <v>1786</v>
      </c>
      <c r="B1637" s="6">
        <v>45907</v>
      </c>
      <c r="C1637" s="5" t="s">
        <v>79</v>
      </c>
      <c r="D1637" s="5" t="s">
        <v>45</v>
      </c>
      <c r="E1637" s="5" t="s">
        <v>58</v>
      </c>
      <c r="F1637" s="5" t="s">
        <v>59</v>
      </c>
      <c r="G1637" s="5" t="s">
        <v>55</v>
      </c>
      <c r="H1637" s="5">
        <v>23</v>
      </c>
      <c r="I1637" s="7">
        <v>1695.1</v>
      </c>
      <c r="J1637" s="6">
        <v>45914</v>
      </c>
      <c r="K1637">
        <f t="shared" si="25"/>
        <v>38987.299999999996</v>
      </c>
      <c r="L1637" t="str">
        <f>INDEX(Raw_Shipments!L1637:L4065,MATCH(A1637,Raw_Shipments!B1637:B4065))</f>
        <v>No</v>
      </c>
    </row>
    <row r="1638" spans="1:12" x14ac:dyDescent="0.3">
      <c r="A1638" s="2" t="s">
        <v>1787</v>
      </c>
      <c r="B1638" s="3">
        <v>45907</v>
      </c>
      <c r="C1638" s="2" t="s">
        <v>104</v>
      </c>
      <c r="D1638" s="2" t="s">
        <v>25</v>
      </c>
      <c r="E1638" s="2" t="s">
        <v>66</v>
      </c>
      <c r="F1638" s="2" t="s">
        <v>67</v>
      </c>
      <c r="G1638" s="2" t="s">
        <v>17</v>
      </c>
      <c r="H1638" s="2">
        <v>11</v>
      </c>
      <c r="I1638" s="4">
        <v>850.8</v>
      </c>
      <c r="J1638" s="3">
        <v>45917</v>
      </c>
      <c r="K1638">
        <f t="shared" si="25"/>
        <v>9358.7999999999993</v>
      </c>
      <c r="L1638" t="str">
        <f>INDEX(Raw_Shipments!L1638:L4066,MATCH(A1638,Raw_Shipments!B1638:B4066))</f>
        <v>Yes</v>
      </c>
    </row>
    <row r="1639" spans="1:12" x14ac:dyDescent="0.3">
      <c r="A1639" s="5" t="s">
        <v>1788</v>
      </c>
      <c r="B1639" s="6">
        <v>45907</v>
      </c>
      <c r="C1639" s="5" t="s">
        <v>183</v>
      </c>
      <c r="D1639" s="5" t="s">
        <v>14</v>
      </c>
      <c r="E1639" s="5" t="s">
        <v>119</v>
      </c>
      <c r="F1639" s="5" t="s">
        <v>120</v>
      </c>
      <c r="G1639" s="5" t="s">
        <v>22</v>
      </c>
      <c r="H1639" s="5">
        <v>59</v>
      </c>
      <c r="I1639" s="7">
        <v>912.26</v>
      </c>
      <c r="J1639" s="6">
        <v>45912</v>
      </c>
      <c r="K1639">
        <f t="shared" si="25"/>
        <v>53823.34</v>
      </c>
      <c r="L1639" t="str">
        <f>INDEX(Raw_Shipments!L1639:L4067,MATCH(A1639,Raw_Shipments!B1639:B4067))</f>
        <v>No</v>
      </c>
    </row>
    <row r="1640" spans="1:12" x14ac:dyDescent="0.3">
      <c r="A1640" s="2" t="s">
        <v>1789</v>
      </c>
      <c r="B1640" s="3">
        <v>45907</v>
      </c>
      <c r="C1640" s="2" t="s">
        <v>107</v>
      </c>
      <c r="D1640" s="2" t="s">
        <v>14</v>
      </c>
      <c r="E1640" s="2" t="s">
        <v>26</v>
      </c>
      <c r="F1640" s="2" t="s">
        <v>27</v>
      </c>
      <c r="G1640" s="2" t="s">
        <v>22</v>
      </c>
      <c r="H1640" s="2">
        <v>17</v>
      </c>
      <c r="I1640" s="4">
        <v>1646.8</v>
      </c>
      <c r="J1640" s="3">
        <v>45911</v>
      </c>
      <c r="K1640">
        <f t="shared" si="25"/>
        <v>27995.599999999999</v>
      </c>
      <c r="L1640" t="str">
        <f>INDEX(Raw_Shipments!L1640:L4068,MATCH(A1640,Raw_Shipments!B1640:B4068))</f>
        <v>No</v>
      </c>
    </row>
    <row r="1641" spans="1:12" x14ac:dyDescent="0.3">
      <c r="A1641" s="5" t="s">
        <v>1790</v>
      </c>
      <c r="B1641" s="6">
        <v>45907</v>
      </c>
      <c r="C1641" s="5" t="s">
        <v>79</v>
      </c>
      <c r="D1641" s="5" t="s">
        <v>14</v>
      </c>
      <c r="E1641" s="5" t="s">
        <v>31</v>
      </c>
      <c r="F1641" s="5" t="s">
        <v>32</v>
      </c>
      <c r="G1641" s="5" t="s">
        <v>33</v>
      </c>
      <c r="H1641" s="5">
        <v>25</v>
      </c>
      <c r="I1641" s="7">
        <v>689</v>
      </c>
      <c r="J1641" s="6">
        <v>45915</v>
      </c>
      <c r="K1641">
        <f t="shared" si="25"/>
        <v>17225</v>
      </c>
      <c r="L1641" t="str">
        <f>INDEX(Raw_Shipments!L1641:L4069,MATCH(A1641,Raw_Shipments!B1641:B4069))</f>
        <v>Yes</v>
      </c>
    </row>
    <row r="1642" spans="1:12" x14ac:dyDescent="0.3">
      <c r="A1642" s="2" t="s">
        <v>1791</v>
      </c>
      <c r="B1642" s="3">
        <v>45907</v>
      </c>
      <c r="C1642" s="2" t="s">
        <v>222</v>
      </c>
      <c r="D1642" s="2" t="s">
        <v>30</v>
      </c>
      <c r="E1642" s="2" t="s">
        <v>36</v>
      </c>
      <c r="F1642" s="2" t="s">
        <v>37</v>
      </c>
      <c r="G1642" s="2" t="s">
        <v>33</v>
      </c>
      <c r="H1642" s="2">
        <v>39</v>
      </c>
      <c r="I1642" s="4">
        <v>1064.79</v>
      </c>
      <c r="J1642" s="3">
        <v>45916</v>
      </c>
      <c r="K1642">
        <f t="shared" si="25"/>
        <v>41526.81</v>
      </c>
      <c r="L1642" t="str">
        <f>INDEX(Raw_Shipments!L1642:L4070,MATCH(A1642,Raw_Shipments!B1642:B4070))</f>
        <v>No</v>
      </c>
    </row>
    <row r="1643" spans="1:12" x14ac:dyDescent="0.3">
      <c r="A1643" s="5" t="s">
        <v>1792</v>
      </c>
      <c r="B1643" s="6">
        <v>45907</v>
      </c>
      <c r="C1643" s="5" t="s">
        <v>312</v>
      </c>
      <c r="D1643" s="5" t="s">
        <v>14</v>
      </c>
      <c r="E1643" s="5" t="s">
        <v>86</v>
      </c>
      <c r="F1643" s="5" t="s">
        <v>87</v>
      </c>
      <c r="G1643" s="5" t="s">
        <v>33</v>
      </c>
      <c r="H1643" s="5">
        <v>18</v>
      </c>
      <c r="I1643" s="7">
        <v>815.88</v>
      </c>
      <c r="J1643" s="6">
        <v>45917</v>
      </c>
      <c r="K1643">
        <f t="shared" si="25"/>
        <v>14685.84</v>
      </c>
      <c r="L1643" t="str">
        <f>INDEX(Raw_Shipments!L1643:L4071,MATCH(A1643,Raw_Shipments!B1643:B4071))</f>
        <v>Yes</v>
      </c>
    </row>
    <row r="1644" spans="1:12" x14ac:dyDescent="0.3">
      <c r="A1644" s="2" t="s">
        <v>1793</v>
      </c>
      <c r="B1644" s="3">
        <v>45908</v>
      </c>
      <c r="C1644" s="2" t="s">
        <v>504</v>
      </c>
      <c r="D1644" s="2" t="s">
        <v>30</v>
      </c>
      <c r="E1644" s="2" t="s">
        <v>58</v>
      </c>
      <c r="F1644" s="2" t="s">
        <v>59</v>
      </c>
      <c r="G1644" s="2" t="s">
        <v>55</v>
      </c>
      <c r="H1644" s="2">
        <v>10</v>
      </c>
      <c r="I1644" s="4">
        <v>1695.1</v>
      </c>
      <c r="J1644" s="3">
        <v>45916</v>
      </c>
      <c r="K1644">
        <f t="shared" si="25"/>
        <v>16951</v>
      </c>
      <c r="L1644" t="str">
        <f>INDEX(Raw_Shipments!L1644:L4072,MATCH(A1644,Raw_Shipments!B1644:B4072))</f>
        <v>No</v>
      </c>
    </row>
    <row r="1645" spans="1:12" x14ac:dyDescent="0.3">
      <c r="A1645" s="5" t="s">
        <v>1794</v>
      </c>
      <c r="B1645" s="6">
        <v>45908</v>
      </c>
      <c r="C1645" s="5" t="s">
        <v>272</v>
      </c>
      <c r="D1645" s="5" t="s">
        <v>14</v>
      </c>
      <c r="E1645" s="5" t="s">
        <v>62</v>
      </c>
      <c r="F1645" s="5" t="s">
        <v>63</v>
      </c>
      <c r="G1645" s="5" t="s">
        <v>55</v>
      </c>
      <c r="H1645" s="5">
        <v>63</v>
      </c>
      <c r="I1645" s="7">
        <v>2555.2199999999998</v>
      </c>
      <c r="J1645" s="6">
        <v>45911</v>
      </c>
      <c r="K1645">
        <f t="shared" si="25"/>
        <v>160978.85999999999</v>
      </c>
      <c r="L1645" t="str">
        <f>INDEX(Raw_Shipments!L1645:L4073,MATCH(A1645,Raw_Shipments!B1645:B4073))</f>
        <v>No</v>
      </c>
    </row>
    <row r="1646" spans="1:12" x14ac:dyDescent="0.3">
      <c r="A1646" s="2" t="s">
        <v>1795</v>
      </c>
      <c r="B1646" s="3">
        <v>45908</v>
      </c>
      <c r="C1646" s="2" t="s">
        <v>128</v>
      </c>
      <c r="D1646" s="2" t="s">
        <v>14</v>
      </c>
      <c r="E1646" s="2" t="s">
        <v>66</v>
      </c>
      <c r="F1646" s="2" t="s">
        <v>67</v>
      </c>
      <c r="G1646" s="2" t="s">
        <v>17</v>
      </c>
      <c r="H1646" s="2">
        <v>11</v>
      </c>
      <c r="I1646" s="4">
        <v>850.8</v>
      </c>
      <c r="J1646" s="3">
        <v>45918</v>
      </c>
      <c r="K1646">
        <f t="shared" si="25"/>
        <v>9358.7999999999993</v>
      </c>
      <c r="L1646" t="str">
        <f>INDEX(Raw_Shipments!L1646:L4074,MATCH(A1646,Raw_Shipments!B1646:B4074))</f>
        <v>Yes</v>
      </c>
    </row>
    <row r="1647" spans="1:12" x14ac:dyDescent="0.3">
      <c r="A1647" s="5" t="s">
        <v>1796</v>
      </c>
      <c r="B1647" s="6">
        <v>45908</v>
      </c>
      <c r="C1647" s="5" t="s">
        <v>272</v>
      </c>
      <c r="D1647" s="5" t="s">
        <v>30</v>
      </c>
      <c r="E1647" s="5" t="s">
        <v>119</v>
      </c>
      <c r="F1647" s="5" t="s">
        <v>120</v>
      </c>
      <c r="G1647" s="5" t="s">
        <v>22</v>
      </c>
      <c r="H1647" s="5">
        <v>26</v>
      </c>
      <c r="I1647" s="7">
        <v>912.26</v>
      </c>
      <c r="J1647" s="6">
        <v>45913</v>
      </c>
      <c r="K1647">
        <f t="shared" si="25"/>
        <v>23718.76</v>
      </c>
      <c r="L1647" t="str">
        <f>INDEX(Raw_Shipments!L1647:L4075,MATCH(A1647,Raw_Shipments!B1647:B4075))</f>
        <v>No</v>
      </c>
    </row>
    <row r="1648" spans="1:12" x14ac:dyDescent="0.3">
      <c r="A1648" s="2" t="s">
        <v>1797</v>
      </c>
      <c r="B1648" s="3">
        <v>45908</v>
      </c>
      <c r="C1648" s="2" t="s">
        <v>24</v>
      </c>
      <c r="D1648" s="2" t="s">
        <v>45</v>
      </c>
      <c r="E1648" s="2" t="s">
        <v>31</v>
      </c>
      <c r="F1648" s="2" t="s">
        <v>32</v>
      </c>
      <c r="G1648" s="2" t="s">
        <v>33</v>
      </c>
      <c r="H1648" s="2">
        <v>55</v>
      </c>
      <c r="I1648" s="4">
        <v>689</v>
      </c>
      <c r="J1648" s="3">
        <v>45912</v>
      </c>
      <c r="K1648">
        <f t="shared" si="25"/>
        <v>37895</v>
      </c>
      <c r="L1648" t="str">
        <f>INDEX(Raw_Shipments!L1648:L4076,MATCH(A1648,Raw_Shipments!B1648:B4076))</f>
        <v>No</v>
      </c>
    </row>
    <row r="1649" spans="1:12" x14ac:dyDescent="0.3">
      <c r="A1649" s="5" t="s">
        <v>1798</v>
      </c>
      <c r="B1649" s="6">
        <v>45908</v>
      </c>
      <c r="C1649" s="5" t="s">
        <v>312</v>
      </c>
      <c r="D1649" s="5" t="s">
        <v>45</v>
      </c>
      <c r="E1649" s="5" t="s">
        <v>36</v>
      </c>
      <c r="F1649" s="5" t="s">
        <v>37</v>
      </c>
      <c r="G1649" s="5" t="s">
        <v>33</v>
      </c>
      <c r="H1649" s="5">
        <v>46</v>
      </c>
      <c r="I1649" s="7">
        <v>1064.79</v>
      </c>
      <c r="J1649" s="6">
        <v>45916</v>
      </c>
      <c r="K1649">
        <f t="shared" si="25"/>
        <v>48980.34</v>
      </c>
      <c r="L1649" t="str">
        <f>INDEX(Raw_Shipments!L1649:L4077,MATCH(A1649,Raw_Shipments!B1649:B4077))</f>
        <v>Yes</v>
      </c>
    </row>
    <row r="1650" spans="1:12" x14ac:dyDescent="0.3">
      <c r="A1650" s="2" t="s">
        <v>1799</v>
      </c>
      <c r="B1650" s="3">
        <v>45908</v>
      </c>
      <c r="C1650" s="2" t="s">
        <v>595</v>
      </c>
      <c r="D1650" s="2" t="s">
        <v>25</v>
      </c>
      <c r="E1650" s="2" t="s">
        <v>40</v>
      </c>
      <c r="F1650" s="2" t="s">
        <v>41</v>
      </c>
      <c r="G1650" s="2" t="s">
        <v>42</v>
      </c>
      <c r="H1650" s="2">
        <v>23</v>
      </c>
      <c r="I1650" s="4">
        <v>2445.11</v>
      </c>
      <c r="J1650" s="3">
        <v>45914</v>
      </c>
      <c r="K1650">
        <f t="shared" si="25"/>
        <v>56237.530000000006</v>
      </c>
      <c r="L1650" t="str">
        <f>INDEX(Raw_Shipments!L1650:L4078,MATCH(A1650,Raw_Shipments!B1650:B4078))</f>
        <v>No</v>
      </c>
    </row>
    <row r="1651" spans="1:12" x14ac:dyDescent="0.3">
      <c r="A1651" s="5" t="s">
        <v>1800</v>
      </c>
      <c r="B1651" s="6">
        <v>45909</v>
      </c>
      <c r="C1651" s="5" t="s">
        <v>102</v>
      </c>
      <c r="D1651" s="5" t="s">
        <v>14</v>
      </c>
      <c r="E1651" s="5" t="s">
        <v>53</v>
      </c>
      <c r="F1651" s="5" t="s">
        <v>54</v>
      </c>
      <c r="G1651" s="5" t="s">
        <v>55</v>
      </c>
      <c r="H1651" s="5">
        <v>22</v>
      </c>
      <c r="I1651" s="7">
        <v>2055.9</v>
      </c>
      <c r="J1651" s="6">
        <v>45914</v>
      </c>
      <c r="K1651">
        <f t="shared" si="25"/>
        <v>45229.8</v>
      </c>
      <c r="L1651" t="str">
        <f>INDEX(Raw_Shipments!L1651:L4079,MATCH(A1651,Raw_Shipments!B1651:B4079))</f>
        <v>No</v>
      </c>
    </row>
    <row r="1652" spans="1:12" x14ac:dyDescent="0.3">
      <c r="A1652" s="2" t="s">
        <v>1801</v>
      </c>
      <c r="B1652" s="3">
        <v>45909</v>
      </c>
      <c r="C1652" s="2" t="s">
        <v>131</v>
      </c>
      <c r="D1652" s="2" t="s">
        <v>45</v>
      </c>
      <c r="E1652" s="2" t="s">
        <v>58</v>
      </c>
      <c r="F1652" s="2" t="s">
        <v>59</v>
      </c>
      <c r="G1652" s="2" t="s">
        <v>55</v>
      </c>
      <c r="H1652" s="2">
        <v>32</v>
      </c>
      <c r="I1652" s="4">
        <v>1695.1</v>
      </c>
      <c r="J1652" s="3">
        <v>45913</v>
      </c>
      <c r="K1652">
        <f t="shared" si="25"/>
        <v>54243.199999999997</v>
      </c>
      <c r="L1652" t="str">
        <f>INDEX(Raw_Shipments!L1652:L4080,MATCH(A1652,Raw_Shipments!B1652:B4080))</f>
        <v>No</v>
      </c>
    </row>
    <row r="1653" spans="1:12" x14ac:dyDescent="0.3">
      <c r="A1653" s="5" t="s">
        <v>1802</v>
      </c>
      <c r="B1653" s="6">
        <v>45909</v>
      </c>
      <c r="C1653" s="5" t="s">
        <v>195</v>
      </c>
      <c r="D1653" s="5" t="s">
        <v>45</v>
      </c>
      <c r="E1653" s="5" t="s">
        <v>97</v>
      </c>
      <c r="F1653" s="5" t="s">
        <v>98</v>
      </c>
      <c r="G1653" s="5" t="s">
        <v>17</v>
      </c>
      <c r="H1653" s="5">
        <v>31</v>
      </c>
      <c r="I1653" s="7">
        <v>1110.6500000000001</v>
      </c>
      <c r="J1653" s="6">
        <v>45918</v>
      </c>
      <c r="K1653">
        <f t="shared" si="25"/>
        <v>34430.15</v>
      </c>
      <c r="L1653" t="str">
        <f>INDEX(Raw_Shipments!L1653:L4081,MATCH(A1653,Raw_Shipments!B1653:B4081))</f>
        <v>No</v>
      </c>
    </row>
    <row r="1654" spans="1:12" x14ac:dyDescent="0.3">
      <c r="A1654" s="2" t="s">
        <v>1803</v>
      </c>
      <c r="B1654" s="3">
        <v>45909</v>
      </c>
      <c r="C1654" s="2" t="s">
        <v>213</v>
      </c>
      <c r="D1654" s="2" t="s">
        <v>14</v>
      </c>
      <c r="E1654" s="2" t="s">
        <v>15</v>
      </c>
      <c r="F1654" s="2" t="s">
        <v>16</v>
      </c>
      <c r="G1654" s="2" t="s">
        <v>17</v>
      </c>
      <c r="H1654" s="2">
        <v>9</v>
      </c>
      <c r="I1654" s="4">
        <v>183.06</v>
      </c>
      <c r="J1654" s="3">
        <v>45919</v>
      </c>
      <c r="K1654">
        <f t="shared" si="25"/>
        <v>1647.54</v>
      </c>
      <c r="L1654" t="str">
        <f>INDEX(Raw_Shipments!L1654:L4082,MATCH(A1654,Raw_Shipments!B1654:B4082))</f>
        <v>No</v>
      </c>
    </row>
    <row r="1655" spans="1:12" x14ac:dyDescent="0.3">
      <c r="A1655" s="5" t="s">
        <v>1804</v>
      </c>
      <c r="B1655" s="6">
        <v>45909</v>
      </c>
      <c r="C1655" s="5" t="s">
        <v>222</v>
      </c>
      <c r="D1655" s="5" t="s">
        <v>30</v>
      </c>
      <c r="E1655" s="5" t="s">
        <v>26</v>
      </c>
      <c r="F1655" s="5" t="s">
        <v>27</v>
      </c>
      <c r="G1655" s="5" t="s">
        <v>22</v>
      </c>
      <c r="H1655" s="5">
        <v>4</v>
      </c>
      <c r="I1655" s="7">
        <v>1646.8</v>
      </c>
      <c r="J1655" s="6">
        <v>45914</v>
      </c>
      <c r="K1655">
        <f t="shared" si="25"/>
        <v>6587.2</v>
      </c>
      <c r="L1655" t="str">
        <f>INDEX(Raw_Shipments!L1655:L4083,MATCH(A1655,Raw_Shipments!B1655:B4083))</f>
        <v>No</v>
      </c>
    </row>
    <row r="1656" spans="1:12" x14ac:dyDescent="0.3">
      <c r="A1656" s="2" t="s">
        <v>1805</v>
      </c>
      <c r="B1656" s="3">
        <v>45909</v>
      </c>
      <c r="C1656" s="2" t="s">
        <v>268</v>
      </c>
      <c r="D1656" s="2" t="s">
        <v>25</v>
      </c>
      <c r="E1656" s="2" t="s">
        <v>31</v>
      </c>
      <c r="F1656" s="2" t="s">
        <v>32</v>
      </c>
      <c r="G1656" s="2" t="s">
        <v>33</v>
      </c>
      <c r="H1656" s="2">
        <v>34</v>
      </c>
      <c r="I1656" s="4">
        <v>689</v>
      </c>
      <c r="J1656" s="3">
        <v>45913</v>
      </c>
      <c r="K1656">
        <f t="shared" si="25"/>
        <v>23426</v>
      </c>
      <c r="L1656" t="str">
        <f>INDEX(Raw_Shipments!L1656:L4084,MATCH(A1656,Raw_Shipments!B1656:B4084))</f>
        <v>No</v>
      </c>
    </row>
    <row r="1657" spans="1:12" x14ac:dyDescent="0.3">
      <c r="A1657" s="5" t="s">
        <v>1806</v>
      </c>
      <c r="B1657" s="6">
        <v>45909</v>
      </c>
      <c r="C1657" s="5" t="s">
        <v>113</v>
      </c>
      <c r="D1657" s="5" t="s">
        <v>45</v>
      </c>
      <c r="E1657" s="5" t="s">
        <v>36</v>
      </c>
      <c r="F1657" s="5" t="s">
        <v>37</v>
      </c>
      <c r="G1657" s="5" t="s">
        <v>33</v>
      </c>
      <c r="H1657" s="5">
        <v>42</v>
      </c>
      <c r="I1657" s="7">
        <v>1064.79</v>
      </c>
      <c r="J1657" s="6">
        <v>45919</v>
      </c>
      <c r="K1657">
        <f t="shared" si="25"/>
        <v>44721.18</v>
      </c>
      <c r="L1657" t="str">
        <f>INDEX(Raw_Shipments!L1657:L4085,MATCH(A1657,Raw_Shipments!B1657:B4085))</f>
        <v>Yes</v>
      </c>
    </row>
    <row r="1658" spans="1:12" x14ac:dyDescent="0.3">
      <c r="A1658" s="2" t="s">
        <v>1807</v>
      </c>
      <c r="B1658" s="3">
        <v>45909</v>
      </c>
      <c r="C1658" s="2" t="s">
        <v>227</v>
      </c>
      <c r="D1658" s="2" t="s">
        <v>25</v>
      </c>
      <c r="E1658" s="2" t="s">
        <v>40</v>
      </c>
      <c r="F1658" s="2" t="s">
        <v>41</v>
      </c>
      <c r="G1658" s="2" t="s">
        <v>42</v>
      </c>
      <c r="H1658" s="2">
        <v>29</v>
      </c>
      <c r="I1658" s="4">
        <v>2445.11</v>
      </c>
      <c r="J1658" s="3">
        <v>45916</v>
      </c>
      <c r="K1658">
        <f t="shared" si="25"/>
        <v>70908.19</v>
      </c>
      <c r="L1658" t="str">
        <f>INDEX(Raw_Shipments!L1658:L4086,MATCH(A1658,Raw_Shipments!B1658:B4086))</f>
        <v>No</v>
      </c>
    </row>
    <row r="1659" spans="1:12" x14ac:dyDescent="0.3">
      <c r="A1659" s="5" t="s">
        <v>1808</v>
      </c>
      <c r="B1659" s="6">
        <v>45909</v>
      </c>
      <c r="C1659" s="5" t="s">
        <v>69</v>
      </c>
      <c r="D1659" s="5" t="s">
        <v>45</v>
      </c>
      <c r="E1659" s="5" t="s">
        <v>46</v>
      </c>
      <c r="F1659" s="5" t="s">
        <v>47</v>
      </c>
      <c r="G1659" s="5" t="s">
        <v>42</v>
      </c>
      <c r="H1659" s="5">
        <v>11</v>
      </c>
      <c r="I1659" s="7">
        <v>1833.14</v>
      </c>
      <c r="J1659" s="6">
        <v>45914</v>
      </c>
      <c r="K1659">
        <f t="shared" si="25"/>
        <v>20164.54</v>
      </c>
      <c r="L1659" t="str">
        <f>INDEX(Raw_Shipments!L1659:L4087,MATCH(A1659,Raw_Shipments!B1659:B4087))</f>
        <v>No</v>
      </c>
    </row>
    <row r="1660" spans="1:12" x14ac:dyDescent="0.3">
      <c r="A1660" s="2" t="s">
        <v>1809</v>
      </c>
      <c r="B1660" s="3">
        <v>45910</v>
      </c>
      <c r="C1660" s="2" t="s">
        <v>115</v>
      </c>
      <c r="D1660" s="2" t="s">
        <v>45</v>
      </c>
      <c r="E1660" s="2" t="s">
        <v>53</v>
      </c>
      <c r="F1660" s="2" t="s">
        <v>54</v>
      </c>
      <c r="G1660" s="2" t="s">
        <v>55</v>
      </c>
      <c r="H1660" s="2">
        <v>17</v>
      </c>
      <c r="I1660" s="4">
        <v>2055.9</v>
      </c>
      <c r="J1660" s="3">
        <v>45917</v>
      </c>
      <c r="K1660">
        <f t="shared" si="25"/>
        <v>34950.300000000003</v>
      </c>
      <c r="L1660" t="str">
        <f>INDEX(Raw_Shipments!L1660:L4088,MATCH(A1660,Raw_Shipments!B1660:B4088))</f>
        <v>No</v>
      </c>
    </row>
    <row r="1661" spans="1:12" x14ac:dyDescent="0.3">
      <c r="A1661" s="5" t="s">
        <v>1810</v>
      </c>
      <c r="B1661" s="6">
        <v>45910</v>
      </c>
      <c r="C1661" s="5" t="s">
        <v>77</v>
      </c>
      <c r="D1661" s="5" t="s">
        <v>14</v>
      </c>
      <c r="E1661" s="5" t="s">
        <v>119</v>
      </c>
      <c r="F1661" s="5" t="s">
        <v>120</v>
      </c>
      <c r="G1661" s="5" t="s">
        <v>22</v>
      </c>
      <c r="H1661" s="5">
        <v>38</v>
      </c>
      <c r="I1661" s="7">
        <v>912.26</v>
      </c>
      <c r="J1661" s="6">
        <v>45919</v>
      </c>
      <c r="K1661">
        <f t="shared" si="25"/>
        <v>34665.879999999997</v>
      </c>
      <c r="L1661" t="str">
        <f>INDEX(Raw_Shipments!L1661:L4089,MATCH(A1661,Raw_Shipments!B1661:B4089))</f>
        <v>No</v>
      </c>
    </row>
    <row r="1662" spans="1:12" x14ac:dyDescent="0.3">
      <c r="A1662" s="2" t="s">
        <v>1811</v>
      </c>
      <c r="B1662" s="3">
        <v>45910</v>
      </c>
      <c r="C1662" s="2" t="s">
        <v>61</v>
      </c>
      <c r="D1662" s="2" t="s">
        <v>45</v>
      </c>
      <c r="E1662" s="2" t="s">
        <v>26</v>
      </c>
      <c r="F1662" s="2" t="s">
        <v>27</v>
      </c>
      <c r="G1662" s="2" t="s">
        <v>22</v>
      </c>
      <c r="H1662" s="2">
        <v>20</v>
      </c>
      <c r="I1662" s="4">
        <v>1646.8</v>
      </c>
      <c r="J1662" s="3">
        <v>45918</v>
      </c>
      <c r="K1662">
        <f t="shared" si="25"/>
        <v>32936</v>
      </c>
      <c r="L1662" t="str">
        <f>INDEX(Raw_Shipments!L1662:L4090,MATCH(A1662,Raw_Shipments!B1662:B4090))</f>
        <v>No</v>
      </c>
    </row>
    <row r="1663" spans="1:12" x14ac:dyDescent="0.3">
      <c r="A1663" s="5" t="s">
        <v>1812</v>
      </c>
      <c r="B1663" s="6">
        <v>45910</v>
      </c>
      <c r="C1663" s="5" t="s">
        <v>195</v>
      </c>
      <c r="D1663" s="5" t="s">
        <v>45</v>
      </c>
      <c r="E1663" s="5" t="s">
        <v>31</v>
      </c>
      <c r="F1663" s="5" t="s">
        <v>32</v>
      </c>
      <c r="G1663" s="5" t="s">
        <v>33</v>
      </c>
      <c r="H1663" s="5">
        <v>31</v>
      </c>
      <c r="I1663" s="7">
        <v>689</v>
      </c>
      <c r="J1663" s="6">
        <v>45914</v>
      </c>
      <c r="K1663">
        <f t="shared" si="25"/>
        <v>21359</v>
      </c>
      <c r="L1663" t="str">
        <f>INDEX(Raw_Shipments!L1663:L4091,MATCH(A1663,Raw_Shipments!B1663:B4091))</f>
        <v>No</v>
      </c>
    </row>
    <row r="1664" spans="1:12" x14ac:dyDescent="0.3">
      <c r="A1664" s="2" t="s">
        <v>1813</v>
      </c>
      <c r="B1664" s="3">
        <v>45910</v>
      </c>
      <c r="C1664" s="2" t="s">
        <v>217</v>
      </c>
      <c r="D1664" s="2" t="s">
        <v>30</v>
      </c>
      <c r="E1664" s="2" t="s">
        <v>36</v>
      </c>
      <c r="F1664" s="2" t="s">
        <v>37</v>
      </c>
      <c r="G1664" s="2" t="s">
        <v>33</v>
      </c>
      <c r="H1664" s="2">
        <v>51</v>
      </c>
      <c r="I1664" s="4">
        <v>1064.79</v>
      </c>
      <c r="J1664" s="3">
        <v>45914</v>
      </c>
      <c r="K1664">
        <f t="shared" si="25"/>
        <v>54304.29</v>
      </c>
      <c r="L1664" t="str">
        <f>INDEX(Raw_Shipments!L1664:L4092,MATCH(A1664,Raw_Shipments!B1664:B4092))</f>
        <v>No</v>
      </c>
    </row>
    <row r="1665" spans="1:12" x14ac:dyDescent="0.3">
      <c r="A1665" s="5" t="s">
        <v>1814</v>
      </c>
      <c r="B1665" s="6">
        <v>45910</v>
      </c>
      <c r="C1665" s="5" t="s">
        <v>49</v>
      </c>
      <c r="D1665" s="5" t="s">
        <v>45</v>
      </c>
      <c r="E1665" s="5" t="s">
        <v>40</v>
      </c>
      <c r="F1665" s="5" t="s">
        <v>41</v>
      </c>
      <c r="G1665" s="5" t="s">
        <v>42</v>
      </c>
      <c r="H1665" s="5">
        <v>30</v>
      </c>
      <c r="I1665" s="7">
        <v>2445.11</v>
      </c>
      <c r="J1665" s="6">
        <v>45913</v>
      </c>
      <c r="K1665">
        <f t="shared" si="25"/>
        <v>73353.3</v>
      </c>
      <c r="L1665" t="str">
        <f>INDEX(Raw_Shipments!L1665:L4093,MATCH(A1665,Raw_Shipments!B1665:B4093))</f>
        <v>No</v>
      </c>
    </row>
    <row r="1666" spans="1:12" x14ac:dyDescent="0.3">
      <c r="A1666" s="2" t="s">
        <v>1815</v>
      </c>
      <c r="B1666" s="3">
        <v>45910</v>
      </c>
      <c r="C1666" s="2" t="s">
        <v>19</v>
      </c>
      <c r="D1666" s="2" t="s">
        <v>45</v>
      </c>
      <c r="E1666" s="2" t="s">
        <v>50</v>
      </c>
      <c r="F1666" s="2" t="s">
        <v>51</v>
      </c>
      <c r="G1666" s="2" t="s">
        <v>42</v>
      </c>
      <c r="H1666" s="2">
        <v>7</v>
      </c>
      <c r="I1666" s="4">
        <v>1952.28</v>
      </c>
      <c r="J1666" s="3">
        <v>45916</v>
      </c>
      <c r="K1666">
        <f t="shared" si="25"/>
        <v>13665.96</v>
      </c>
      <c r="L1666" t="str">
        <f>INDEX(Raw_Shipments!L1666:L4094,MATCH(A1666,Raw_Shipments!B1666:B4094))</f>
        <v>No</v>
      </c>
    </row>
    <row r="1667" spans="1:12" x14ac:dyDescent="0.3">
      <c r="A1667" s="5" t="s">
        <v>1816</v>
      </c>
      <c r="B1667" s="6">
        <v>45911</v>
      </c>
      <c r="C1667" s="5" t="s">
        <v>152</v>
      </c>
      <c r="D1667" s="5" t="s">
        <v>30</v>
      </c>
      <c r="E1667" s="5" t="s">
        <v>53</v>
      </c>
      <c r="F1667" s="5" t="s">
        <v>54</v>
      </c>
      <c r="G1667" s="5" t="s">
        <v>55</v>
      </c>
      <c r="H1667" s="5">
        <v>44</v>
      </c>
      <c r="I1667" s="7">
        <v>2055.9</v>
      </c>
      <c r="J1667" s="6">
        <v>45917</v>
      </c>
      <c r="K1667">
        <f t="shared" ref="K1667:K1730" si="26">I1667*H1667</f>
        <v>90459.6</v>
      </c>
      <c r="L1667" t="str">
        <f>INDEX(Raw_Shipments!L1667:L4095,MATCH(A1667,Raw_Shipments!B1667:B4095))</f>
        <v>No</v>
      </c>
    </row>
    <row r="1668" spans="1:12" x14ac:dyDescent="0.3">
      <c r="A1668" s="2" t="s">
        <v>1817</v>
      </c>
      <c r="B1668" s="3">
        <v>45911</v>
      </c>
      <c r="C1668" s="2" t="s">
        <v>431</v>
      </c>
      <c r="D1668" s="2" t="s">
        <v>30</v>
      </c>
      <c r="E1668" s="2" t="s">
        <v>97</v>
      </c>
      <c r="F1668" s="2" t="s">
        <v>98</v>
      </c>
      <c r="G1668" s="2" t="s">
        <v>17</v>
      </c>
      <c r="H1668" s="2">
        <v>28</v>
      </c>
      <c r="I1668" s="4">
        <v>1110.6500000000001</v>
      </c>
      <c r="J1668" s="3">
        <v>45920</v>
      </c>
      <c r="K1668">
        <f t="shared" si="26"/>
        <v>31098.200000000004</v>
      </c>
      <c r="L1668" t="str">
        <f>INDEX(Raw_Shipments!L1668:L4096,MATCH(A1668,Raw_Shipments!B1668:B4096))</f>
        <v>No</v>
      </c>
    </row>
    <row r="1669" spans="1:12" x14ac:dyDescent="0.3">
      <c r="A1669" s="5" t="s">
        <v>1818</v>
      </c>
      <c r="B1669" s="6">
        <v>45911</v>
      </c>
      <c r="C1669" s="5" t="s">
        <v>85</v>
      </c>
      <c r="D1669" s="5" t="s">
        <v>25</v>
      </c>
      <c r="E1669" s="5" t="s">
        <v>20</v>
      </c>
      <c r="F1669" s="5" t="s">
        <v>21</v>
      </c>
      <c r="G1669" s="5" t="s">
        <v>22</v>
      </c>
      <c r="H1669" s="5">
        <v>6</v>
      </c>
      <c r="I1669" s="7">
        <v>2108.56</v>
      </c>
      <c r="J1669" s="6">
        <v>45915</v>
      </c>
      <c r="K1669">
        <f t="shared" si="26"/>
        <v>12651.36</v>
      </c>
      <c r="L1669" t="str">
        <f>INDEX(Raw_Shipments!L1669:L4097,MATCH(A1669,Raw_Shipments!B1669:B4097))</f>
        <v>Yes</v>
      </c>
    </row>
    <row r="1670" spans="1:12" x14ac:dyDescent="0.3">
      <c r="A1670" s="2" t="s">
        <v>1819</v>
      </c>
      <c r="B1670" s="3">
        <v>45911</v>
      </c>
      <c r="C1670" s="2" t="s">
        <v>113</v>
      </c>
      <c r="D1670" s="2" t="s">
        <v>45</v>
      </c>
      <c r="E1670" s="2" t="s">
        <v>119</v>
      </c>
      <c r="F1670" s="2" t="s">
        <v>120</v>
      </c>
      <c r="G1670" s="2" t="s">
        <v>22</v>
      </c>
      <c r="H1670" s="2">
        <v>23</v>
      </c>
      <c r="I1670" s="4">
        <v>912.26</v>
      </c>
      <c r="J1670" s="3">
        <v>45917</v>
      </c>
      <c r="K1670">
        <f t="shared" si="26"/>
        <v>20981.98</v>
      </c>
      <c r="L1670" t="str">
        <f>INDEX(Raw_Shipments!L1670:L4098,MATCH(A1670,Raw_Shipments!B1670:B4098))</f>
        <v>No</v>
      </c>
    </row>
    <row r="1671" spans="1:12" x14ac:dyDescent="0.3">
      <c r="A1671" s="5" t="s">
        <v>1820</v>
      </c>
      <c r="B1671" s="6">
        <v>45911</v>
      </c>
      <c r="C1671" s="5" t="s">
        <v>170</v>
      </c>
      <c r="D1671" s="5" t="s">
        <v>14</v>
      </c>
      <c r="E1671" s="5" t="s">
        <v>31</v>
      </c>
      <c r="F1671" s="5" t="s">
        <v>32</v>
      </c>
      <c r="G1671" s="5" t="s">
        <v>33</v>
      </c>
      <c r="H1671" s="5">
        <v>63</v>
      </c>
      <c r="I1671" s="7">
        <v>689</v>
      </c>
      <c r="J1671" s="6">
        <v>45914</v>
      </c>
      <c r="K1671">
        <f t="shared" si="26"/>
        <v>43407</v>
      </c>
      <c r="L1671" t="str">
        <f>INDEX(Raw_Shipments!L1671:L4099,MATCH(A1671,Raw_Shipments!B1671:B4099))</f>
        <v>No</v>
      </c>
    </row>
    <row r="1672" spans="1:12" x14ac:dyDescent="0.3">
      <c r="A1672" s="2" t="s">
        <v>1821</v>
      </c>
      <c r="B1672" s="3">
        <v>45911</v>
      </c>
      <c r="C1672" s="2" t="s">
        <v>185</v>
      </c>
      <c r="D1672" s="2" t="s">
        <v>25</v>
      </c>
      <c r="E1672" s="2" t="s">
        <v>86</v>
      </c>
      <c r="F1672" s="2" t="s">
        <v>87</v>
      </c>
      <c r="G1672" s="2" t="s">
        <v>33</v>
      </c>
      <c r="H1672" s="2">
        <v>30</v>
      </c>
      <c r="I1672" s="4">
        <v>815.88</v>
      </c>
      <c r="J1672" s="3">
        <v>45914</v>
      </c>
      <c r="K1672">
        <f t="shared" si="26"/>
        <v>24476.400000000001</v>
      </c>
      <c r="L1672" t="str">
        <f>INDEX(Raw_Shipments!L1672:L4100,MATCH(A1672,Raw_Shipments!B1672:B4100))</f>
        <v>No</v>
      </c>
    </row>
    <row r="1673" spans="1:12" x14ac:dyDescent="0.3">
      <c r="A1673" s="5" t="s">
        <v>1822</v>
      </c>
      <c r="B1673" s="6">
        <v>45912</v>
      </c>
      <c r="C1673" s="5" t="s">
        <v>65</v>
      </c>
      <c r="D1673" s="5" t="s">
        <v>45</v>
      </c>
      <c r="E1673" s="5" t="s">
        <v>53</v>
      </c>
      <c r="F1673" s="5" t="s">
        <v>54</v>
      </c>
      <c r="G1673" s="5" t="s">
        <v>55</v>
      </c>
      <c r="H1673" s="5">
        <v>38</v>
      </c>
      <c r="I1673" s="7">
        <v>2055.9</v>
      </c>
      <c r="J1673" s="6">
        <v>45921</v>
      </c>
      <c r="K1673">
        <f t="shared" si="26"/>
        <v>78124.2</v>
      </c>
      <c r="L1673" t="str">
        <f>INDEX(Raw_Shipments!L1673:L4101,MATCH(A1673,Raw_Shipments!B1673:B4101))</f>
        <v>No</v>
      </c>
    </row>
    <row r="1674" spans="1:12" x14ac:dyDescent="0.3">
      <c r="A1674" s="2" t="s">
        <v>1823</v>
      </c>
      <c r="B1674" s="3">
        <v>45912</v>
      </c>
      <c r="C1674" s="2" t="s">
        <v>248</v>
      </c>
      <c r="D1674" s="2" t="s">
        <v>30</v>
      </c>
      <c r="E1674" s="2" t="s">
        <v>62</v>
      </c>
      <c r="F1674" s="2" t="s">
        <v>63</v>
      </c>
      <c r="G1674" s="2" t="s">
        <v>55</v>
      </c>
      <c r="H1674" s="2">
        <v>43</v>
      </c>
      <c r="I1674" s="4">
        <v>2555.2199999999998</v>
      </c>
      <c r="J1674" s="3">
        <v>45920</v>
      </c>
      <c r="K1674">
        <f t="shared" si="26"/>
        <v>109874.45999999999</v>
      </c>
      <c r="L1674" t="str">
        <f>INDEX(Raw_Shipments!L1674:L4102,MATCH(A1674,Raw_Shipments!B1674:B4102))</f>
        <v>No</v>
      </c>
    </row>
    <row r="1675" spans="1:12" x14ac:dyDescent="0.3">
      <c r="A1675" s="5" t="s">
        <v>1824</v>
      </c>
      <c r="B1675" s="6">
        <v>45912</v>
      </c>
      <c r="C1675" s="5" t="s">
        <v>304</v>
      </c>
      <c r="D1675" s="5" t="s">
        <v>25</v>
      </c>
      <c r="E1675" s="5" t="s">
        <v>20</v>
      </c>
      <c r="F1675" s="5" t="s">
        <v>21</v>
      </c>
      <c r="G1675" s="5" t="s">
        <v>22</v>
      </c>
      <c r="H1675" s="5">
        <v>12</v>
      </c>
      <c r="I1675" s="7">
        <v>2108.56</v>
      </c>
      <c r="J1675" s="6">
        <v>45918</v>
      </c>
      <c r="K1675">
        <f t="shared" si="26"/>
        <v>25302.720000000001</v>
      </c>
      <c r="L1675" t="str">
        <f>INDEX(Raw_Shipments!L1675:L4103,MATCH(A1675,Raw_Shipments!B1675:B4103))</f>
        <v>No</v>
      </c>
    </row>
    <row r="1676" spans="1:12" x14ac:dyDescent="0.3">
      <c r="A1676" s="2" t="s">
        <v>1825</v>
      </c>
      <c r="B1676" s="3">
        <v>45912</v>
      </c>
      <c r="C1676" s="2" t="s">
        <v>198</v>
      </c>
      <c r="D1676" s="2" t="s">
        <v>30</v>
      </c>
      <c r="E1676" s="2" t="s">
        <v>119</v>
      </c>
      <c r="F1676" s="2" t="s">
        <v>120</v>
      </c>
      <c r="G1676" s="2" t="s">
        <v>22</v>
      </c>
      <c r="H1676" s="2">
        <v>34</v>
      </c>
      <c r="I1676" s="4">
        <v>912.26</v>
      </c>
      <c r="J1676" s="3">
        <v>45920</v>
      </c>
      <c r="K1676">
        <f t="shared" si="26"/>
        <v>31016.84</v>
      </c>
      <c r="L1676" t="str">
        <f>INDEX(Raw_Shipments!L1676:L4104,MATCH(A1676,Raw_Shipments!B1676:B4104))</f>
        <v>No</v>
      </c>
    </row>
    <row r="1677" spans="1:12" x14ac:dyDescent="0.3">
      <c r="A1677" s="5" t="s">
        <v>1826</v>
      </c>
      <c r="B1677" s="6">
        <v>45912</v>
      </c>
      <c r="C1677" s="5" t="s">
        <v>158</v>
      </c>
      <c r="D1677" s="5" t="s">
        <v>14</v>
      </c>
      <c r="E1677" s="5" t="s">
        <v>26</v>
      </c>
      <c r="F1677" s="5" t="s">
        <v>27</v>
      </c>
      <c r="G1677" s="5" t="s">
        <v>22</v>
      </c>
      <c r="H1677" s="5">
        <v>18</v>
      </c>
      <c r="I1677" s="7">
        <v>1646.8</v>
      </c>
      <c r="J1677" s="6">
        <v>45918</v>
      </c>
      <c r="K1677">
        <f t="shared" si="26"/>
        <v>29642.399999999998</v>
      </c>
      <c r="L1677" t="str">
        <f>INDEX(Raw_Shipments!L1677:L4105,MATCH(A1677,Raw_Shipments!B1677:B4105))</f>
        <v>No</v>
      </c>
    </row>
    <row r="1678" spans="1:12" x14ac:dyDescent="0.3">
      <c r="A1678" s="2" t="s">
        <v>1827</v>
      </c>
      <c r="B1678" s="3">
        <v>45912</v>
      </c>
      <c r="C1678" s="2" t="s">
        <v>24</v>
      </c>
      <c r="D1678" s="2" t="s">
        <v>14</v>
      </c>
      <c r="E1678" s="2" t="s">
        <v>31</v>
      </c>
      <c r="F1678" s="2" t="s">
        <v>32</v>
      </c>
      <c r="G1678" s="2" t="s">
        <v>33</v>
      </c>
      <c r="H1678" s="2">
        <v>31</v>
      </c>
      <c r="I1678" s="4">
        <v>689</v>
      </c>
      <c r="J1678" s="3">
        <v>45917</v>
      </c>
      <c r="K1678">
        <f t="shared" si="26"/>
        <v>21359</v>
      </c>
      <c r="L1678" t="str">
        <f>INDEX(Raw_Shipments!L1678:L4106,MATCH(A1678,Raw_Shipments!B1678:B4106))</f>
        <v>No</v>
      </c>
    </row>
    <row r="1679" spans="1:12" x14ac:dyDescent="0.3">
      <c r="A1679" s="5" t="s">
        <v>1828</v>
      </c>
      <c r="B1679" s="6">
        <v>45912</v>
      </c>
      <c r="C1679" s="5" t="s">
        <v>24</v>
      </c>
      <c r="D1679" s="5" t="s">
        <v>25</v>
      </c>
      <c r="E1679" s="5" t="s">
        <v>46</v>
      </c>
      <c r="F1679" s="5" t="s">
        <v>47</v>
      </c>
      <c r="G1679" s="5" t="s">
        <v>42</v>
      </c>
      <c r="H1679" s="5">
        <v>6</v>
      </c>
      <c r="I1679" s="7">
        <v>1833.14</v>
      </c>
      <c r="J1679" s="6">
        <v>45922</v>
      </c>
      <c r="K1679">
        <f t="shared" si="26"/>
        <v>10998.84</v>
      </c>
      <c r="L1679" t="str">
        <f>INDEX(Raw_Shipments!L1679:L4107,MATCH(A1679,Raw_Shipments!B1679:B4107))</f>
        <v>No</v>
      </c>
    </row>
    <row r="1680" spans="1:12" x14ac:dyDescent="0.3">
      <c r="A1680" s="2" t="s">
        <v>1829</v>
      </c>
      <c r="B1680" s="3">
        <v>45912</v>
      </c>
      <c r="C1680" s="2" t="s">
        <v>71</v>
      </c>
      <c r="D1680" s="2" t="s">
        <v>25</v>
      </c>
      <c r="E1680" s="2" t="s">
        <v>50</v>
      </c>
      <c r="F1680" s="2" t="s">
        <v>51</v>
      </c>
      <c r="G1680" s="2" t="s">
        <v>42</v>
      </c>
      <c r="H1680" s="2">
        <v>4</v>
      </c>
      <c r="I1680" s="4">
        <v>1952.28</v>
      </c>
      <c r="J1680" s="3">
        <v>45916</v>
      </c>
      <c r="K1680">
        <f t="shared" si="26"/>
        <v>7809.12</v>
      </c>
      <c r="L1680" t="str">
        <f>INDEX(Raw_Shipments!L1680:L4108,MATCH(A1680,Raw_Shipments!B1680:B4108))</f>
        <v>No</v>
      </c>
    </row>
    <row r="1681" spans="1:12" x14ac:dyDescent="0.3">
      <c r="A1681" s="5" t="s">
        <v>1830</v>
      </c>
      <c r="B1681" s="6">
        <v>45913</v>
      </c>
      <c r="C1681" s="5" t="s">
        <v>111</v>
      </c>
      <c r="D1681" s="5" t="s">
        <v>30</v>
      </c>
      <c r="E1681" s="5" t="s">
        <v>58</v>
      </c>
      <c r="F1681" s="5" t="s">
        <v>59</v>
      </c>
      <c r="G1681" s="5" t="s">
        <v>55</v>
      </c>
      <c r="H1681" s="5">
        <v>24</v>
      </c>
      <c r="I1681" s="7">
        <v>1695.1</v>
      </c>
      <c r="J1681" s="6">
        <v>45916</v>
      </c>
      <c r="K1681">
        <f t="shared" si="26"/>
        <v>40682.399999999994</v>
      </c>
      <c r="L1681" t="str">
        <f>INDEX(Raw_Shipments!L1681:L4109,MATCH(A1681,Raw_Shipments!B1681:B4109))</f>
        <v>No</v>
      </c>
    </row>
    <row r="1682" spans="1:12" x14ac:dyDescent="0.3">
      <c r="A1682" s="2" t="s">
        <v>1831</v>
      </c>
      <c r="B1682" s="3">
        <v>45913</v>
      </c>
      <c r="C1682" s="2" t="s">
        <v>152</v>
      </c>
      <c r="D1682" s="2" t="s">
        <v>45</v>
      </c>
      <c r="E1682" s="2" t="s">
        <v>62</v>
      </c>
      <c r="F1682" s="2" t="s">
        <v>63</v>
      </c>
      <c r="G1682" s="2" t="s">
        <v>55</v>
      </c>
      <c r="H1682" s="2">
        <v>37</v>
      </c>
      <c r="I1682" s="4">
        <v>2555.2199999999998</v>
      </c>
      <c r="J1682" s="3">
        <v>45922</v>
      </c>
      <c r="K1682">
        <f t="shared" si="26"/>
        <v>94543.14</v>
      </c>
      <c r="L1682" t="str">
        <f>INDEX(Raw_Shipments!L1682:L4110,MATCH(A1682,Raw_Shipments!B1682:B4110))</f>
        <v>No</v>
      </c>
    </row>
    <row r="1683" spans="1:12" x14ac:dyDescent="0.3">
      <c r="A1683" s="5" t="s">
        <v>1832</v>
      </c>
      <c r="B1683" s="6">
        <v>45913</v>
      </c>
      <c r="C1683" s="5" t="s">
        <v>154</v>
      </c>
      <c r="D1683" s="5" t="s">
        <v>25</v>
      </c>
      <c r="E1683" s="5" t="s">
        <v>97</v>
      </c>
      <c r="F1683" s="5" t="s">
        <v>98</v>
      </c>
      <c r="G1683" s="5" t="s">
        <v>17</v>
      </c>
      <c r="H1683" s="5">
        <v>36</v>
      </c>
      <c r="I1683" s="7">
        <v>1110.6500000000001</v>
      </c>
      <c r="J1683" s="6">
        <v>45921</v>
      </c>
      <c r="K1683">
        <f t="shared" si="26"/>
        <v>39983.4</v>
      </c>
      <c r="L1683" t="str">
        <f>INDEX(Raw_Shipments!L1683:L4111,MATCH(A1683,Raw_Shipments!B1683:B4111))</f>
        <v>No</v>
      </c>
    </row>
    <row r="1684" spans="1:12" x14ac:dyDescent="0.3">
      <c r="A1684" s="2" t="s">
        <v>1833</v>
      </c>
      <c r="B1684" s="3">
        <v>45913</v>
      </c>
      <c r="C1684" s="2" t="s">
        <v>272</v>
      </c>
      <c r="D1684" s="2" t="s">
        <v>45</v>
      </c>
      <c r="E1684" s="2" t="s">
        <v>36</v>
      </c>
      <c r="F1684" s="2" t="s">
        <v>37</v>
      </c>
      <c r="G1684" s="2" t="s">
        <v>33</v>
      </c>
      <c r="H1684" s="2">
        <v>45</v>
      </c>
      <c r="I1684" s="4">
        <v>1064.79</v>
      </c>
      <c r="J1684" s="3">
        <v>45922</v>
      </c>
      <c r="K1684">
        <f t="shared" si="26"/>
        <v>47915.549999999996</v>
      </c>
      <c r="L1684" t="str">
        <f>INDEX(Raw_Shipments!L1684:L4112,MATCH(A1684,Raw_Shipments!B1684:B4112))</f>
        <v>No</v>
      </c>
    </row>
    <row r="1685" spans="1:12" x14ac:dyDescent="0.3">
      <c r="A1685" s="5" t="s">
        <v>1834</v>
      </c>
      <c r="B1685" s="6">
        <v>45914</v>
      </c>
      <c r="C1685" s="5" t="s">
        <v>545</v>
      </c>
      <c r="D1685" s="5" t="s">
        <v>25</v>
      </c>
      <c r="E1685" s="5" t="s">
        <v>53</v>
      </c>
      <c r="F1685" s="5" t="s">
        <v>54</v>
      </c>
      <c r="G1685" s="5" t="s">
        <v>55</v>
      </c>
      <c r="H1685" s="5">
        <v>22</v>
      </c>
      <c r="I1685" s="7">
        <v>2055.9</v>
      </c>
      <c r="J1685" s="6">
        <v>45924</v>
      </c>
      <c r="K1685">
        <f t="shared" si="26"/>
        <v>45229.8</v>
      </c>
      <c r="L1685" t="str">
        <f>INDEX(Raw_Shipments!L1685:L4113,MATCH(A1685,Raw_Shipments!B1685:B4113))</f>
        <v>Yes</v>
      </c>
    </row>
    <row r="1686" spans="1:12" x14ac:dyDescent="0.3">
      <c r="A1686" s="2" t="s">
        <v>1835</v>
      </c>
      <c r="B1686" s="3">
        <v>45914</v>
      </c>
      <c r="C1686" s="2" t="s">
        <v>268</v>
      </c>
      <c r="D1686" s="2" t="s">
        <v>45</v>
      </c>
      <c r="E1686" s="2" t="s">
        <v>58</v>
      </c>
      <c r="F1686" s="2" t="s">
        <v>59</v>
      </c>
      <c r="G1686" s="2" t="s">
        <v>55</v>
      </c>
      <c r="H1686" s="2">
        <v>10</v>
      </c>
      <c r="I1686" s="4">
        <v>1695.1</v>
      </c>
      <c r="J1686" s="3">
        <v>45920</v>
      </c>
      <c r="K1686">
        <f t="shared" si="26"/>
        <v>16951</v>
      </c>
      <c r="L1686" t="str">
        <f>INDEX(Raw_Shipments!L1686:L4114,MATCH(A1686,Raw_Shipments!B1686:B4114))</f>
        <v>No</v>
      </c>
    </row>
    <row r="1687" spans="1:12" x14ac:dyDescent="0.3">
      <c r="A1687" s="5" t="s">
        <v>1836</v>
      </c>
      <c r="B1687" s="6">
        <v>45914</v>
      </c>
      <c r="C1687" s="5" t="s">
        <v>510</v>
      </c>
      <c r="D1687" s="5" t="s">
        <v>14</v>
      </c>
      <c r="E1687" s="5" t="s">
        <v>62</v>
      </c>
      <c r="F1687" s="5" t="s">
        <v>63</v>
      </c>
      <c r="G1687" s="5" t="s">
        <v>55</v>
      </c>
      <c r="H1687" s="5">
        <v>49</v>
      </c>
      <c r="I1687" s="7">
        <v>2555.2199999999998</v>
      </c>
      <c r="J1687" s="6">
        <v>45921</v>
      </c>
      <c r="K1687">
        <f t="shared" si="26"/>
        <v>125205.77999999998</v>
      </c>
      <c r="L1687" t="str">
        <f>INDEX(Raw_Shipments!L1687:L4115,MATCH(A1687,Raw_Shipments!B1687:B4115))</f>
        <v>Yes</v>
      </c>
    </row>
    <row r="1688" spans="1:12" x14ac:dyDescent="0.3">
      <c r="A1688" s="2" t="s">
        <v>1837</v>
      </c>
      <c r="B1688" s="3">
        <v>45914</v>
      </c>
      <c r="C1688" s="2" t="s">
        <v>356</v>
      </c>
      <c r="D1688" s="2" t="s">
        <v>25</v>
      </c>
      <c r="E1688" s="2" t="s">
        <v>97</v>
      </c>
      <c r="F1688" s="2" t="s">
        <v>98</v>
      </c>
      <c r="G1688" s="2" t="s">
        <v>17</v>
      </c>
      <c r="H1688" s="2">
        <v>25</v>
      </c>
      <c r="I1688" s="4">
        <v>1110.6500000000001</v>
      </c>
      <c r="J1688" s="3">
        <v>45921</v>
      </c>
      <c r="K1688">
        <f t="shared" si="26"/>
        <v>27766.250000000004</v>
      </c>
      <c r="L1688" t="str">
        <f>INDEX(Raw_Shipments!L1688:L4116,MATCH(A1688,Raw_Shipments!B1688:B4116))</f>
        <v>Yes</v>
      </c>
    </row>
    <row r="1689" spans="1:12" x14ac:dyDescent="0.3">
      <c r="A1689" s="5" t="s">
        <v>1838</v>
      </c>
      <c r="B1689" s="6">
        <v>45914</v>
      </c>
      <c r="C1689" s="5" t="s">
        <v>77</v>
      </c>
      <c r="D1689" s="5" t="s">
        <v>14</v>
      </c>
      <c r="E1689" s="5" t="s">
        <v>31</v>
      </c>
      <c r="F1689" s="5" t="s">
        <v>32</v>
      </c>
      <c r="G1689" s="5" t="s">
        <v>33</v>
      </c>
      <c r="H1689" s="5">
        <v>36</v>
      </c>
      <c r="I1689" s="7">
        <v>689</v>
      </c>
      <c r="J1689" s="6">
        <v>45922</v>
      </c>
      <c r="K1689">
        <f t="shared" si="26"/>
        <v>24804</v>
      </c>
      <c r="L1689" t="str">
        <f>INDEX(Raw_Shipments!L1689:L4117,MATCH(A1689,Raw_Shipments!B1689:B4117))</f>
        <v>Yes</v>
      </c>
    </row>
    <row r="1690" spans="1:12" x14ac:dyDescent="0.3">
      <c r="A1690" s="2" t="s">
        <v>1839</v>
      </c>
      <c r="B1690" s="3">
        <v>45914</v>
      </c>
      <c r="C1690" s="2" t="s">
        <v>183</v>
      </c>
      <c r="D1690" s="2" t="s">
        <v>30</v>
      </c>
      <c r="E1690" s="2" t="s">
        <v>36</v>
      </c>
      <c r="F1690" s="2" t="s">
        <v>37</v>
      </c>
      <c r="G1690" s="2" t="s">
        <v>33</v>
      </c>
      <c r="H1690" s="2">
        <v>40</v>
      </c>
      <c r="I1690" s="4">
        <v>1064.79</v>
      </c>
      <c r="J1690" s="3">
        <v>45917</v>
      </c>
      <c r="K1690">
        <f t="shared" si="26"/>
        <v>42591.6</v>
      </c>
      <c r="L1690" t="str">
        <f>INDEX(Raw_Shipments!L1690:L4118,MATCH(A1690,Raw_Shipments!B1690:B4118))</f>
        <v>No</v>
      </c>
    </row>
    <row r="1691" spans="1:12" x14ac:dyDescent="0.3">
      <c r="A1691" s="5" t="s">
        <v>1840</v>
      </c>
      <c r="B1691" s="6">
        <v>45914</v>
      </c>
      <c r="C1691" s="5" t="s">
        <v>29</v>
      </c>
      <c r="D1691" s="5" t="s">
        <v>25</v>
      </c>
      <c r="E1691" s="5" t="s">
        <v>46</v>
      </c>
      <c r="F1691" s="5" t="s">
        <v>47</v>
      </c>
      <c r="G1691" s="5" t="s">
        <v>42</v>
      </c>
      <c r="H1691" s="5">
        <v>6</v>
      </c>
      <c r="I1691" s="7">
        <v>1833.14</v>
      </c>
      <c r="J1691" s="6">
        <v>45918</v>
      </c>
      <c r="K1691">
        <f t="shared" si="26"/>
        <v>10998.84</v>
      </c>
      <c r="L1691" t="str">
        <f>INDEX(Raw_Shipments!L1691:L4119,MATCH(A1691,Raw_Shipments!B1691:B4119))</f>
        <v>No</v>
      </c>
    </row>
    <row r="1692" spans="1:12" x14ac:dyDescent="0.3">
      <c r="A1692" s="2" t="s">
        <v>1841</v>
      </c>
      <c r="B1692" s="3">
        <v>45915</v>
      </c>
      <c r="C1692" s="2" t="s">
        <v>337</v>
      </c>
      <c r="D1692" s="2" t="s">
        <v>14</v>
      </c>
      <c r="E1692" s="2" t="s">
        <v>53</v>
      </c>
      <c r="F1692" s="2" t="s">
        <v>54</v>
      </c>
      <c r="G1692" s="2" t="s">
        <v>55</v>
      </c>
      <c r="H1692" s="2">
        <v>32</v>
      </c>
      <c r="I1692" s="4">
        <v>2055.9</v>
      </c>
      <c r="J1692" s="3">
        <v>45922</v>
      </c>
      <c r="K1692">
        <f t="shared" si="26"/>
        <v>65788.800000000003</v>
      </c>
      <c r="L1692" t="str">
        <f>INDEX(Raw_Shipments!L1692:L4120,MATCH(A1692,Raw_Shipments!B1692:B4120))</f>
        <v>No</v>
      </c>
    </row>
    <row r="1693" spans="1:12" x14ac:dyDescent="0.3">
      <c r="A1693" s="5" t="s">
        <v>1842</v>
      </c>
      <c r="B1693" s="6">
        <v>45915</v>
      </c>
      <c r="C1693" s="5" t="s">
        <v>135</v>
      </c>
      <c r="D1693" s="5" t="s">
        <v>45</v>
      </c>
      <c r="E1693" s="5" t="s">
        <v>58</v>
      </c>
      <c r="F1693" s="5" t="s">
        <v>59</v>
      </c>
      <c r="G1693" s="5" t="s">
        <v>55</v>
      </c>
      <c r="H1693" s="5">
        <v>27</v>
      </c>
      <c r="I1693" s="7">
        <v>1695.1</v>
      </c>
      <c r="J1693" s="6">
        <v>45920</v>
      </c>
      <c r="K1693">
        <f t="shared" si="26"/>
        <v>45767.7</v>
      </c>
      <c r="L1693" t="str">
        <f>INDEX(Raw_Shipments!L1693:L4121,MATCH(A1693,Raw_Shipments!B1693:B4121))</f>
        <v>No</v>
      </c>
    </row>
    <row r="1694" spans="1:12" x14ac:dyDescent="0.3">
      <c r="A1694" s="2" t="s">
        <v>1843</v>
      </c>
      <c r="B1694" s="3">
        <v>45915</v>
      </c>
      <c r="C1694" s="2" t="s">
        <v>504</v>
      </c>
      <c r="D1694" s="2" t="s">
        <v>25</v>
      </c>
      <c r="E1694" s="2" t="s">
        <v>62</v>
      </c>
      <c r="F1694" s="2" t="s">
        <v>63</v>
      </c>
      <c r="G1694" s="2" t="s">
        <v>55</v>
      </c>
      <c r="H1694" s="2">
        <v>31</v>
      </c>
      <c r="I1694" s="4">
        <v>2555.2199999999998</v>
      </c>
      <c r="J1694" s="3">
        <v>45925</v>
      </c>
      <c r="K1694">
        <f t="shared" si="26"/>
        <v>79211.819999999992</v>
      </c>
      <c r="L1694" t="str">
        <f>INDEX(Raw_Shipments!L1694:L4122,MATCH(A1694,Raw_Shipments!B1694:B4122))</f>
        <v>Yes</v>
      </c>
    </row>
    <row r="1695" spans="1:12" x14ac:dyDescent="0.3">
      <c r="A1695" s="5" t="s">
        <v>1844</v>
      </c>
      <c r="B1695" s="6">
        <v>45915</v>
      </c>
      <c r="C1695" s="5" t="s">
        <v>71</v>
      </c>
      <c r="D1695" s="5" t="s">
        <v>25</v>
      </c>
      <c r="E1695" s="5" t="s">
        <v>66</v>
      </c>
      <c r="F1695" s="5" t="s">
        <v>67</v>
      </c>
      <c r="G1695" s="5" t="s">
        <v>17</v>
      </c>
      <c r="H1695" s="5">
        <v>11</v>
      </c>
      <c r="I1695" s="7">
        <v>850.8</v>
      </c>
      <c r="J1695" s="6">
        <v>45921</v>
      </c>
      <c r="K1695">
        <f t="shared" si="26"/>
        <v>9358.7999999999993</v>
      </c>
      <c r="L1695" t="str">
        <f>INDEX(Raw_Shipments!L1695:L4123,MATCH(A1695,Raw_Shipments!B1695:B4123))</f>
        <v>No</v>
      </c>
    </row>
    <row r="1696" spans="1:12" x14ac:dyDescent="0.3">
      <c r="A1696" s="2" t="s">
        <v>1845</v>
      </c>
      <c r="B1696" s="3">
        <v>45915</v>
      </c>
      <c r="C1696" s="2" t="s">
        <v>122</v>
      </c>
      <c r="D1696" s="2" t="s">
        <v>14</v>
      </c>
      <c r="E1696" s="2" t="s">
        <v>15</v>
      </c>
      <c r="F1696" s="2" t="s">
        <v>16</v>
      </c>
      <c r="G1696" s="2" t="s">
        <v>17</v>
      </c>
      <c r="H1696" s="2">
        <v>19</v>
      </c>
      <c r="I1696" s="4">
        <v>183.06</v>
      </c>
      <c r="J1696" s="3">
        <v>45918</v>
      </c>
      <c r="K1696">
        <f t="shared" si="26"/>
        <v>3478.14</v>
      </c>
      <c r="L1696" t="str">
        <f>INDEX(Raw_Shipments!L1696:L4124,MATCH(A1696,Raw_Shipments!B1696:B4124))</f>
        <v>No</v>
      </c>
    </row>
    <row r="1697" spans="1:12" x14ac:dyDescent="0.3">
      <c r="A1697" s="5" t="s">
        <v>1846</v>
      </c>
      <c r="B1697" s="6">
        <v>45915</v>
      </c>
      <c r="C1697" s="5" t="s">
        <v>331</v>
      </c>
      <c r="D1697" s="5" t="s">
        <v>30</v>
      </c>
      <c r="E1697" s="5" t="s">
        <v>20</v>
      </c>
      <c r="F1697" s="5" t="s">
        <v>21</v>
      </c>
      <c r="G1697" s="5" t="s">
        <v>22</v>
      </c>
      <c r="H1697" s="5">
        <v>6</v>
      </c>
      <c r="I1697" s="7">
        <v>2108.56</v>
      </c>
      <c r="J1697" s="6">
        <v>45919</v>
      </c>
      <c r="K1697">
        <f t="shared" si="26"/>
        <v>12651.36</v>
      </c>
      <c r="L1697" t="str">
        <f>INDEX(Raw_Shipments!L1697:L4125,MATCH(A1697,Raw_Shipments!B1697:B4125))</f>
        <v>No</v>
      </c>
    </row>
    <row r="1698" spans="1:12" x14ac:dyDescent="0.3">
      <c r="A1698" s="2" t="s">
        <v>1847</v>
      </c>
      <c r="B1698" s="3">
        <v>45915</v>
      </c>
      <c r="C1698" s="2" t="s">
        <v>279</v>
      </c>
      <c r="D1698" s="2" t="s">
        <v>30</v>
      </c>
      <c r="E1698" s="2" t="s">
        <v>119</v>
      </c>
      <c r="F1698" s="2" t="s">
        <v>120</v>
      </c>
      <c r="G1698" s="2" t="s">
        <v>22</v>
      </c>
      <c r="H1698" s="2">
        <v>48</v>
      </c>
      <c r="I1698" s="4">
        <v>912.26</v>
      </c>
      <c r="J1698" s="3">
        <v>45923</v>
      </c>
      <c r="K1698">
        <f t="shared" si="26"/>
        <v>43788.479999999996</v>
      </c>
      <c r="L1698" t="str">
        <f>INDEX(Raw_Shipments!L1698:L4126,MATCH(A1698,Raw_Shipments!B1698:B4126))</f>
        <v>Yes</v>
      </c>
    </row>
    <row r="1699" spans="1:12" x14ac:dyDescent="0.3">
      <c r="A1699" s="5" t="s">
        <v>1848</v>
      </c>
      <c r="B1699" s="6">
        <v>45915</v>
      </c>
      <c r="C1699" s="5" t="s">
        <v>69</v>
      </c>
      <c r="D1699" s="5" t="s">
        <v>14</v>
      </c>
      <c r="E1699" s="5" t="s">
        <v>26</v>
      </c>
      <c r="F1699" s="5" t="s">
        <v>27</v>
      </c>
      <c r="G1699" s="5" t="s">
        <v>22</v>
      </c>
      <c r="H1699" s="5">
        <v>21</v>
      </c>
      <c r="I1699" s="7">
        <v>1646.8</v>
      </c>
      <c r="J1699" s="6">
        <v>45924</v>
      </c>
      <c r="K1699">
        <f t="shared" si="26"/>
        <v>34582.799999999996</v>
      </c>
      <c r="L1699" t="str">
        <f>INDEX(Raw_Shipments!L1699:L4127,MATCH(A1699,Raw_Shipments!B1699:B4127))</f>
        <v>No</v>
      </c>
    </row>
    <row r="1700" spans="1:12" x14ac:dyDescent="0.3">
      <c r="A1700" s="2" t="s">
        <v>1849</v>
      </c>
      <c r="B1700" s="3">
        <v>45915</v>
      </c>
      <c r="C1700" s="2" t="s">
        <v>473</v>
      </c>
      <c r="D1700" s="2" t="s">
        <v>25</v>
      </c>
      <c r="E1700" s="2" t="s">
        <v>31</v>
      </c>
      <c r="F1700" s="2" t="s">
        <v>32</v>
      </c>
      <c r="G1700" s="2" t="s">
        <v>33</v>
      </c>
      <c r="H1700" s="2">
        <v>28</v>
      </c>
      <c r="I1700" s="4">
        <v>689</v>
      </c>
      <c r="J1700" s="3">
        <v>45924</v>
      </c>
      <c r="K1700">
        <f t="shared" si="26"/>
        <v>19292</v>
      </c>
      <c r="L1700" t="str">
        <f>INDEX(Raw_Shipments!L1700:L4128,MATCH(A1700,Raw_Shipments!B1700:B4128))</f>
        <v>No</v>
      </c>
    </row>
    <row r="1701" spans="1:12" x14ac:dyDescent="0.3">
      <c r="A1701" s="5" t="s">
        <v>1850</v>
      </c>
      <c r="B1701" s="6">
        <v>45915</v>
      </c>
      <c r="C1701" s="5" t="s">
        <v>238</v>
      </c>
      <c r="D1701" s="5" t="s">
        <v>14</v>
      </c>
      <c r="E1701" s="5" t="s">
        <v>46</v>
      </c>
      <c r="F1701" s="5" t="s">
        <v>47</v>
      </c>
      <c r="G1701" s="5" t="s">
        <v>42</v>
      </c>
      <c r="H1701" s="5">
        <v>5</v>
      </c>
      <c r="I1701" s="7">
        <v>1833.14</v>
      </c>
      <c r="J1701" s="6">
        <v>45918</v>
      </c>
      <c r="K1701">
        <f t="shared" si="26"/>
        <v>9165.7000000000007</v>
      </c>
      <c r="L1701" t="str">
        <f>INDEX(Raw_Shipments!L1701:L4129,MATCH(A1701,Raw_Shipments!B1701:B4129))</f>
        <v>No</v>
      </c>
    </row>
    <row r="1702" spans="1:12" x14ac:dyDescent="0.3">
      <c r="A1702" s="2" t="s">
        <v>1851</v>
      </c>
      <c r="B1702" s="3">
        <v>45916</v>
      </c>
      <c r="C1702" s="2" t="s">
        <v>456</v>
      </c>
      <c r="D1702" s="2" t="s">
        <v>30</v>
      </c>
      <c r="E1702" s="2" t="s">
        <v>53</v>
      </c>
      <c r="F1702" s="2" t="s">
        <v>54</v>
      </c>
      <c r="G1702" s="2" t="s">
        <v>55</v>
      </c>
      <c r="H1702" s="2">
        <v>17</v>
      </c>
      <c r="I1702" s="4">
        <v>2055.9</v>
      </c>
      <c r="J1702" s="3">
        <v>45924</v>
      </c>
      <c r="K1702">
        <f t="shared" si="26"/>
        <v>34950.300000000003</v>
      </c>
      <c r="L1702" t="str">
        <f>INDEX(Raw_Shipments!L1702:L4130,MATCH(A1702,Raw_Shipments!B1702:B4130))</f>
        <v>No</v>
      </c>
    </row>
    <row r="1703" spans="1:12" x14ac:dyDescent="0.3">
      <c r="A1703" s="5" t="s">
        <v>1852</v>
      </c>
      <c r="B1703" s="6">
        <v>45916</v>
      </c>
      <c r="C1703" s="5" t="s">
        <v>111</v>
      </c>
      <c r="D1703" s="5" t="s">
        <v>45</v>
      </c>
      <c r="E1703" s="5" t="s">
        <v>62</v>
      </c>
      <c r="F1703" s="5" t="s">
        <v>63</v>
      </c>
      <c r="G1703" s="5" t="s">
        <v>55</v>
      </c>
      <c r="H1703" s="5">
        <v>21</v>
      </c>
      <c r="I1703" s="7">
        <v>2555.2199999999998</v>
      </c>
      <c r="J1703" s="6">
        <v>45921</v>
      </c>
      <c r="K1703">
        <f t="shared" si="26"/>
        <v>53659.619999999995</v>
      </c>
      <c r="L1703" t="str">
        <f>INDEX(Raw_Shipments!L1703:L4131,MATCH(A1703,Raw_Shipments!B1703:B4131))</f>
        <v>No</v>
      </c>
    </row>
    <row r="1704" spans="1:12" x14ac:dyDescent="0.3">
      <c r="A1704" s="2" t="s">
        <v>1853</v>
      </c>
      <c r="B1704" s="3">
        <v>45916</v>
      </c>
      <c r="C1704" s="2" t="s">
        <v>39</v>
      </c>
      <c r="D1704" s="2" t="s">
        <v>30</v>
      </c>
      <c r="E1704" s="2" t="s">
        <v>86</v>
      </c>
      <c r="F1704" s="2" t="s">
        <v>87</v>
      </c>
      <c r="G1704" s="2" t="s">
        <v>33</v>
      </c>
      <c r="H1704" s="2">
        <v>38</v>
      </c>
      <c r="I1704" s="4">
        <v>815.88</v>
      </c>
      <c r="J1704" s="3">
        <v>45926</v>
      </c>
      <c r="K1704">
        <f t="shared" si="26"/>
        <v>31003.439999999999</v>
      </c>
      <c r="L1704" t="str">
        <f>INDEX(Raw_Shipments!L1704:L4132,MATCH(A1704,Raw_Shipments!B1704:B4132))</f>
        <v>Yes</v>
      </c>
    </row>
    <row r="1705" spans="1:12" x14ac:dyDescent="0.3">
      <c r="A1705" s="5" t="s">
        <v>1854</v>
      </c>
      <c r="B1705" s="6">
        <v>45916</v>
      </c>
      <c r="C1705" s="5" t="s">
        <v>191</v>
      </c>
      <c r="D1705" s="5" t="s">
        <v>25</v>
      </c>
      <c r="E1705" s="5" t="s">
        <v>40</v>
      </c>
      <c r="F1705" s="5" t="s">
        <v>41</v>
      </c>
      <c r="G1705" s="5" t="s">
        <v>42</v>
      </c>
      <c r="H1705" s="5">
        <v>15</v>
      </c>
      <c r="I1705" s="7">
        <v>2445.11</v>
      </c>
      <c r="J1705" s="6">
        <v>45922</v>
      </c>
      <c r="K1705">
        <f t="shared" si="26"/>
        <v>36676.65</v>
      </c>
      <c r="L1705" t="str">
        <f>INDEX(Raw_Shipments!L1705:L4133,MATCH(A1705,Raw_Shipments!B1705:B4133))</f>
        <v>No</v>
      </c>
    </row>
    <row r="1706" spans="1:12" x14ac:dyDescent="0.3">
      <c r="A1706" s="2" t="s">
        <v>1855</v>
      </c>
      <c r="B1706" s="3">
        <v>45916</v>
      </c>
      <c r="C1706" s="2" t="s">
        <v>79</v>
      </c>
      <c r="D1706" s="2" t="s">
        <v>25</v>
      </c>
      <c r="E1706" s="2" t="s">
        <v>50</v>
      </c>
      <c r="F1706" s="2" t="s">
        <v>51</v>
      </c>
      <c r="G1706" s="2" t="s">
        <v>42</v>
      </c>
      <c r="H1706" s="2">
        <v>11</v>
      </c>
      <c r="I1706" s="4">
        <v>1952.28</v>
      </c>
      <c r="J1706" s="3">
        <v>45922</v>
      </c>
      <c r="K1706">
        <f t="shared" si="26"/>
        <v>21475.079999999998</v>
      </c>
      <c r="L1706" t="str">
        <f>INDEX(Raw_Shipments!L1706:L4134,MATCH(A1706,Raw_Shipments!B1706:B4134))</f>
        <v>No</v>
      </c>
    </row>
    <row r="1707" spans="1:12" x14ac:dyDescent="0.3">
      <c r="A1707" s="5" t="s">
        <v>1856</v>
      </c>
      <c r="B1707" s="6">
        <v>45917</v>
      </c>
      <c r="C1707" s="5" t="s">
        <v>57</v>
      </c>
      <c r="D1707" s="5" t="s">
        <v>30</v>
      </c>
      <c r="E1707" s="5" t="s">
        <v>58</v>
      </c>
      <c r="F1707" s="5" t="s">
        <v>59</v>
      </c>
      <c r="G1707" s="5" t="s">
        <v>55</v>
      </c>
      <c r="H1707" s="5">
        <v>1</v>
      </c>
      <c r="I1707" s="7">
        <v>1695.1</v>
      </c>
      <c r="J1707" s="6">
        <v>45923</v>
      </c>
      <c r="K1707">
        <f t="shared" si="26"/>
        <v>1695.1</v>
      </c>
      <c r="L1707" t="str">
        <f>INDEX(Raw_Shipments!L1707:L4135,MATCH(A1707,Raw_Shipments!B1707:B4135))</f>
        <v>No</v>
      </c>
    </row>
    <row r="1708" spans="1:12" x14ac:dyDescent="0.3">
      <c r="A1708" s="2" t="s">
        <v>1857</v>
      </c>
      <c r="B1708" s="3">
        <v>45917</v>
      </c>
      <c r="C1708" s="2" t="s">
        <v>473</v>
      </c>
      <c r="D1708" s="2" t="s">
        <v>30</v>
      </c>
      <c r="E1708" s="2" t="s">
        <v>62</v>
      </c>
      <c r="F1708" s="2" t="s">
        <v>63</v>
      </c>
      <c r="G1708" s="2" t="s">
        <v>55</v>
      </c>
      <c r="H1708" s="2">
        <v>26</v>
      </c>
      <c r="I1708" s="4">
        <v>2555.2199999999998</v>
      </c>
      <c r="J1708" s="3">
        <v>45925</v>
      </c>
      <c r="K1708">
        <f t="shared" si="26"/>
        <v>66435.72</v>
      </c>
      <c r="L1708" t="str">
        <f>INDEX(Raw_Shipments!L1708:L4136,MATCH(A1708,Raw_Shipments!B1708:B4136))</f>
        <v>No</v>
      </c>
    </row>
    <row r="1709" spans="1:12" x14ac:dyDescent="0.3">
      <c r="A1709" s="5" t="s">
        <v>1858</v>
      </c>
      <c r="B1709" s="6">
        <v>45917</v>
      </c>
      <c r="C1709" s="5" t="s">
        <v>113</v>
      </c>
      <c r="D1709" s="5" t="s">
        <v>14</v>
      </c>
      <c r="E1709" s="5" t="s">
        <v>97</v>
      </c>
      <c r="F1709" s="5" t="s">
        <v>98</v>
      </c>
      <c r="G1709" s="5" t="s">
        <v>17</v>
      </c>
      <c r="H1709" s="5">
        <v>36</v>
      </c>
      <c r="I1709" s="7">
        <v>1110.6500000000001</v>
      </c>
      <c r="J1709" s="6">
        <v>45926</v>
      </c>
      <c r="K1709">
        <f t="shared" si="26"/>
        <v>39983.4</v>
      </c>
      <c r="L1709" t="str">
        <f>INDEX(Raw_Shipments!L1709:L4137,MATCH(A1709,Raw_Shipments!B1709:B4137))</f>
        <v>No</v>
      </c>
    </row>
    <row r="1710" spans="1:12" x14ac:dyDescent="0.3">
      <c r="A1710" s="2" t="s">
        <v>1859</v>
      </c>
      <c r="B1710" s="3">
        <v>45917</v>
      </c>
      <c r="C1710" s="2" t="s">
        <v>312</v>
      </c>
      <c r="D1710" s="2" t="s">
        <v>25</v>
      </c>
      <c r="E1710" s="2" t="s">
        <v>20</v>
      </c>
      <c r="F1710" s="2" t="s">
        <v>21</v>
      </c>
      <c r="G1710" s="2" t="s">
        <v>22</v>
      </c>
      <c r="H1710" s="2">
        <v>19</v>
      </c>
      <c r="I1710" s="4">
        <v>2108.56</v>
      </c>
      <c r="J1710" s="3">
        <v>45922</v>
      </c>
      <c r="K1710">
        <f t="shared" si="26"/>
        <v>40062.639999999999</v>
      </c>
      <c r="L1710" t="str">
        <f>INDEX(Raw_Shipments!L1710:L4138,MATCH(A1710,Raw_Shipments!B1710:B4138))</f>
        <v>No</v>
      </c>
    </row>
    <row r="1711" spans="1:12" x14ac:dyDescent="0.3">
      <c r="A1711" s="5" t="s">
        <v>1860</v>
      </c>
      <c r="B1711" s="6">
        <v>45917</v>
      </c>
      <c r="C1711" s="5" t="s">
        <v>510</v>
      </c>
      <c r="D1711" s="5" t="s">
        <v>30</v>
      </c>
      <c r="E1711" s="5" t="s">
        <v>26</v>
      </c>
      <c r="F1711" s="5" t="s">
        <v>27</v>
      </c>
      <c r="G1711" s="5" t="s">
        <v>22</v>
      </c>
      <c r="H1711" s="5">
        <v>14</v>
      </c>
      <c r="I1711" s="7">
        <v>1646.8</v>
      </c>
      <c r="J1711" s="6">
        <v>45921</v>
      </c>
      <c r="K1711">
        <f t="shared" si="26"/>
        <v>23055.200000000001</v>
      </c>
      <c r="L1711" t="str">
        <f>INDEX(Raw_Shipments!L1711:L4139,MATCH(A1711,Raw_Shipments!B1711:B4139))</f>
        <v>No</v>
      </c>
    </row>
    <row r="1712" spans="1:12" x14ac:dyDescent="0.3">
      <c r="A1712" s="2" t="s">
        <v>1861</v>
      </c>
      <c r="B1712" s="3">
        <v>45917</v>
      </c>
      <c r="C1712" s="2" t="s">
        <v>420</v>
      </c>
      <c r="D1712" s="2" t="s">
        <v>30</v>
      </c>
      <c r="E1712" s="2" t="s">
        <v>31</v>
      </c>
      <c r="F1712" s="2" t="s">
        <v>32</v>
      </c>
      <c r="G1712" s="2" t="s">
        <v>33</v>
      </c>
      <c r="H1712" s="2">
        <v>55</v>
      </c>
      <c r="I1712" s="4">
        <v>689</v>
      </c>
      <c r="J1712" s="3">
        <v>45923</v>
      </c>
      <c r="K1712">
        <f t="shared" si="26"/>
        <v>37895</v>
      </c>
      <c r="L1712" t="str">
        <f>INDEX(Raw_Shipments!L1712:L4140,MATCH(A1712,Raw_Shipments!B1712:B4140))</f>
        <v>No</v>
      </c>
    </row>
    <row r="1713" spans="1:12" x14ac:dyDescent="0.3">
      <c r="A1713" s="5" t="s">
        <v>1862</v>
      </c>
      <c r="B1713" s="6">
        <v>45917</v>
      </c>
      <c r="C1713" s="5" t="s">
        <v>260</v>
      </c>
      <c r="D1713" s="5" t="s">
        <v>25</v>
      </c>
      <c r="E1713" s="5" t="s">
        <v>36</v>
      </c>
      <c r="F1713" s="5" t="s">
        <v>37</v>
      </c>
      <c r="G1713" s="5" t="s">
        <v>33</v>
      </c>
      <c r="H1713" s="5">
        <v>36</v>
      </c>
      <c r="I1713" s="7">
        <v>1064.79</v>
      </c>
      <c r="J1713" s="6">
        <v>45921</v>
      </c>
      <c r="K1713">
        <f t="shared" si="26"/>
        <v>38332.44</v>
      </c>
      <c r="L1713" t="str">
        <f>INDEX(Raw_Shipments!L1713:L4141,MATCH(A1713,Raw_Shipments!B1713:B4141))</f>
        <v>No</v>
      </c>
    </row>
    <row r="1714" spans="1:12" x14ac:dyDescent="0.3">
      <c r="A1714" s="2" t="s">
        <v>1863</v>
      </c>
      <c r="B1714" s="3">
        <v>45917</v>
      </c>
      <c r="C1714" s="2" t="s">
        <v>363</v>
      </c>
      <c r="D1714" s="2" t="s">
        <v>14</v>
      </c>
      <c r="E1714" s="2" t="s">
        <v>50</v>
      </c>
      <c r="F1714" s="2" t="s">
        <v>51</v>
      </c>
      <c r="G1714" s="2" t="s">
        <v>42</v>
      </c>
      <c r="H1714" s="2">
        <v>12</v>
      </c>
      <c r="I1714" s="4">
        <v>1952.28</v>
      </c>
      <c r="J1714" s="3">
        <v>45920</v>
      </c>
      <c r="K1714">
        <f t="shared" si="26"/>
        <v>23427.360000000001</v>
      </c>
      <c r="L1714" t="str">
        <f>INDEX(Raw_Shipments!L1714:L4142,MATCH(A1714,Raw_Shipments!B1714:B4142))</f>
        <v>No</v>
      </c>
    </row>
    <row r="1715" spans="1:12" x14ac:dyDescent="0.3">
      <c r="A1715" s="5" t="s">
        <v>1864</v>
      </c>
      <c r="B1715" s="6">
        <v>45918</v>
      </c>
      <c r="C1715" s="5" t="s">
        <v>545</v>
      </c>
      <c r="D1715" s="5" t="s">
        <v>25</v>
      </c>
      <c r="E1715" s="5" t="s">
        <v>58</v>
      </c>
      <c r="F1715" s="5" t="s">
        <v>59</v>
      </c>
      <c r="G1715" s="5" t="s">
        <v>55</v>
      </c>
      <c r="H1715" s="5">
        <v>9</v>
      </c>
      <c r="I1715" s="7">
        <v>1695.1</v>
      </c>
      <c r="J1715" s="6">
        <v>45927</v>
      </c>
      <c r="K1715">
        <f t="shared" si="26"/>
        <v>15255.9</v>
      </c>
      <c r="L1715" t="str">
        <f>INDEX(Raw_Shipments!L1715:L4143,MATCH(A1715,Raw_Shipments!B1715:B4143))</f>
        <v>No</v>
      </c>
    </row>
    <row r="1716" spans="1:12" x14ac:dyDescent="0.3">
      <c r="A1716" s="2" t="s">
        <v>1865</v>
      </c>
      <c r="B1716" s="3">
        <v>45918</v>
      </c>
      <c r="C1716" s="2" t="s">
        <v>13</v>
      </c>
      <c r="D1716" s="2" t="s">
        <v>25</v>
      </c>
      <c r="E1716" s="2" t="s">
        <v>62</v>
      </c>
      <c r="F1716" s="2" t="s">
        <v>63</v>
      </c>
      <c r="G1716" s="2" t="s">
        <v>55</v>
      </c>
      <c r="H1716" s="2">
        <v>32</v>
      </c>
      <c r="I1716" s="4">
        <v>2555.2199999999998</v>
      </c>
      <c r="J1716" s="3">
        <v>45925</v>
      </c>
      <c r="K1716">
        <f t="shared" si="26"/>
        <v>81767.039999999994</v>
      </c>
      <c r="L1716" t="str">
        <f>INDEX(Raw_Shipments!L1716:L4144,MATCH(A1716,Raw_Shipments!B1716:B4144))</f>
        <v>No</v>
      </c>
    </row>
    <row r="1717" spans="1:12" x14ac:dyDescent="0.3">
      <c r="A1717" s="5" t="s">
        <v>1866</v>
      </c>
      <c r="B1717" s="6">
        <v>45918</v>
      </c>
      <c r="C1717" s="5" t="s">
        <v>175</v>
      </c>
      <c r="D1717" s="5" t="s">
        <v>30</v>
      </c>
      <c r="E1717" s="5" t="s">
        <v>26</v>
      </c>
      <c r="F1717" s="5" t="s">
        <v>27</v>
      </c>
      <c r="G1717" s="5" t="s">
        <v>22</v>
      </c>
      <c r="H1717" s="5">
        <v>14</v>
      </c>
      <c r="I1717" s="7">
        <v>1646.8</v>
      </c>
      <c r="J1717" s="6">
        <v>45926</v>
      </c>
      <c r="K1717">
        <f t="shared" si="26"/>
        <v>23055.200000000001</v>
      </c>
      <c r="L1717" t="str">
        <f>INDEX(Raw_Shipments!L1717:L4145,MATCH(A1717,Raw_Shipments!B1717:B4145))</f>
        <v>Yes</v>
      </c>
    </row>
    <row r="1718" spans="1:12" x14ac:dyDescent="0.3">
      <c r="A1718" s="2" t="s">
        <v>1867</v>
      </c>
      <c r="B1718" s="3">
        <v>45918</v>
      </c>
      <c r="C1718" s="2" t="s">
        <v>180</v>
      </c>
      <c r="D1718" s="2" t="s">
        <v>45</v>
      </c>
      <c r="E1718" s="2" t="s">
        <v>86</v>
      </c>
      <c r="F1718" s="2" t="s">
        <v>87</v>
      </c>
      <c r="G1718" s="2" t="s">
        <v>33</v>
      </c>
      <c r="H1718" s="2">
        <v>27</v>
      </c>
      <c r="I1718" s="4">
        <v>815.88</v>
      </c>
      <c r="J1718" s="3">
        <v>45923</v>
      </c>
      <c r="K1718">
        <f t="shared" si="26"/>
        <v>22028.76</v>
      </c>
      <c r="L1718" t="str">
        <f>INDEX(Raw_Shipments!L1718:L4146,MATCH(A1718,Raw_Shipments!B1718:B4146))</f>
        <v>No</v>
      </c>
    </row>
    <row r="1719" spans="1:12" x14ac:dyDescent="0.3">
      <c r="A1719" s="5" t="s">
        <v>1868</v>
      </c>
      <c r="B1719" s="6">
        <v>45918</v>
      </c>
      <c r="C1719" s="5" t="s">
        <v>282</v>
      </c>
      <c r="D1719" s="5" t="s">
        <v>25</v>
      </c>
      <c r="E1719" s="5" t="s">
        <v>40</v>
      </c>
      <c r="F1719" s="5" t="s">
        <v>41</v>
      </c>
      <c r="G1719" s="5" t="s">
        <v>42</v>
      </c>
      <c r="H1719" s="5">
        <v>12</v>
      </c>
      <c r="I1719" s="7">
        <v>2445.11</v>
      </c>
      <c r="J1719" s="6">
        <v>45921</v>
      </c>
      <c r="K1719">
        <f t="shared" si="26"/>
        <v>29341.32</v>
      </c>
      <c r="L1719" t="str">
        <f>INDEX(Raw_Shipments!L1719:L4147,MATCH(A1719,Raw_Shipments!B1719:B4147))</f>
        <v>No</v>
      </c>
    </row>
    <row r="1720" spans="1:12" x14ac:dyDescent="0.3">
      <c r="A1720" s="2" t="s">
        <v>1869</v>
      </c>
      <c r="B1720" s="3">
        <v>45919</v>
      </c>
      <c r="C1720" s="2" t="s">
        <v>343</v>
      </c>
      <c r="D1720" s="2" t="s">
        <v>45</v>
      </c>
      <c r="E1720" s="2" t="s">
        <v>53</v>
      </c>
      <c r="F1720" s="2" t="s">
        <v>54</v>
      </c>
      <c r="G1720" s="2" t="s">
        <v>55</v>
      </c>
      <c r="H1720" s="2">
        <v>41</v>
      </c>
      <c r="I1720" s="4">
        <v>2055.9</v>
      </c>
      <c r="J1720" s="3">
        <v>45926</v>
      </c>
      <c r="K1720">
        <f t="shared" si="26"/>
        <v>84291.900000000009</v>
      </c>
      <c r="L1720" t="str">
        <f>INDEX(Raw_Shipments!L1720:L4148,MATCH(A1720,Raw_Shipments!B1720:B4148))</f>
        <v>No</v>
      </c>
    </row>
    <row r="1721" spans="1:12" x14ac:dyDescent="0.3">
      <c r="A1721" s="5" t="s">
        <v>1870</v>
      </c>
      <c r="B1721" s="6">
        <v>45919</v>
      </c>
      <c r="C1721" s="5" t="s">
        <v>232</v>
      </c>
      <c r="D1721" s="5" t="s">
        <v>45</v>
      </c>
      <c r="E1721" s="5" t="s">
        <v>58</v>
      </c>
      <c r="F1721" s="5" t="s">
        <v>59</v>
      </c>
      <c r="G1721" s="5" t="s">
        <v>55</v>
      </c>
      <c r="H1721" s="5">
        <v>26</v>
      </c>
      <c r="I1721" s="7">
        <v>1695.1</v>
      </c>
      <c r="J1721" s="6">
        <v>45929</v>
      </c>
      <c r="K1721">
        <f t="shared" si="26"/>
        <v>44072.6</v>
      </c>
      <c r="L1721" t="str">
        <f>INDEX(Raw_Shipments!L1721:L4149,MATCH(A1721,Raw_Shipments!B1721:B4149))</f>
        <v>No</v>
      </c>
    </row>
    <row r="1722" spans="1:12" x14ac:dyDescent="0.3">
      <c r="A1722" s="2" t="s">
        <v>1871</v>
      </c>
      <c r="B1722" s="3">
        <v>45919</v>
      </c>
      <c r="C1722" s="2" t="s">
        <v>135</v>
      </c>
      <c r="D1722" s="2" t="s">
        <v>45</v>
      </c>
      <c r="E1722" s="2" t="s">
        <v>20</v>
      </c>
      <c r="F1722" s="2" t="s">
        <v>21</v>
      </c>
      <c r="G1722" s="2" t="s">
        <v>22</v>
      </c>
      <c r="H1722" s="2">
        <v>12</v>
      </c>
      <c r="I1722" s="4">
        <v>2108.56</v>
      </c>
      <c r="J1722" s="3">
        <v>45924</v>
      </c>
      <c r="K1722">
        <f t="shared" si="26"/>
        <v>25302.720000000001</v>
      </c>
      <c r="L1722" t="str">
        <f>INDEX(Raw_Shipments!L1722:L4150,MATCH(A1722,Raw_Shipments!B1722:B4150))</f>
        <v>Yes</v>
      </c>
    </row>
    <row r="1723" spans="1:12" x14ac:dyDescent="0.3">
      <c r="A1723" s="5" t="s">
        <v>1872</v>
      </c>
      <c r="B1723" s="6">
        <v>45919</v>
      </c>
      <c r="C1723" s="5" t="s">
        <v>191</v>
      </c>
      <c r="D1723" s="5" t="s">
        <v>25</v>
      </c>
      <c r="E1723" s="5" t="s">
        <v>36</v>
      </c>
      <c r="F1723" s="5" t="s">
        <v>37</v>
      </c>
      <c r="G1723" s="5" t="s">
        <v>33</v>
      </c>
      <c r="H1723" s="5">
        <v>49</v>
      </c>
      <c r="I1723" s="7">
        <v>1064.79</v>
      </c>
      <c r="J1723" s="6">
        <v>45926</v>
      </c>
      <c r="K1723">
        <f t="shared" si="26"/>
        <v>52174.71</v>
      </c>
      <c r="L1723" t="str">
        <f>INDEX(Raw_Shipments!L1723:L4151,MATCH(A1723,Raw_Shipments!B1723:B4151))</f>
        <v>No</v>
      </c>
    </row>
    <row r="1724" spans="1:12" x14ac:dyDescent="0.3">
      <c r="A1724" s="2" t="s">
        <v>1873</v>
      </c>
      <c r="B1724" s="3">
        <v>45919</v>
      </c>
      <c r="C1724" s="2" t="s">
        <v>527</v>
      </c>
      <c r="D1724" s="2" t="s">
        <v>30</v>
      </c>
      <c r="E1724" s="2" t="s">
        <v>86</v>
      </c>
      <c r="F1724" s="2" t="s">
        <v>87</v>
      </c>
      <c r="G1724" s="2" t="s">
        <v>33</v>
      </c>
      <c r="H1724" s="2">
        <v>25</v>
      </c>
      <c r="I1724" s="4">
        <v>815.88</v>
      </c>
      <c r="J1724" s="3">
        <v>45926</v>
      </c>
      <c r="K1724">
        <f t="shared" si="26"/>
        <v>20397</v>
      </c>
      <c r="L1724" t="str">
        <f>INDEX(Raw_Shipments!L1724:L4152,MATCH(A1724,Raw_Shipments!B1724:B4152))</f>
        <v>No</v>
      </c>
    </row>
    <row r="1725" spans="1:12" x14ac:dyDescent="0.3">
      <c r="A1725" s="5" t="s">
        <v>1874</v>
      </c>
      <c r="B1725" s="6">
        <v>45919</v>
      </c>
      <c r="C1725" s="5" t="s">
        <v>69</v>
      </c>
      <c r="D1725" s="5" t="s">
        <v>25</v>
      </c>
      <c r="E1725" s="5" t="s">
        <v>40</v>
      </c>
      <c r="F1725" s="5" t="s">
        <v>41</v>
      </c>
      <c r="G1725" s="5" t="s">
        <v>42</v>
      </c>
      <c r="H1725" s="5">
        <v>30</v>
      </c>
      <c r="I1725" s="7">
        <v>2445.11</v>
      </c>
      <c r="J1725" s="6">
        <v>45924</v>
      </c>
      <c r="K1725">
        <f t="shared" si="26"/>
        <v>73353.3</v>
      </c>
      <c r="L1725" t="str">
        <f>INDEX(Raw_Shipments!L1725:L4153,MATCH(A1725,Raw_Shipments!B1725:B4153))</f>
        <v>No</v>
      </c>
    </row>
    <row r="1726" spans="1:12" x14ac:dyDescent="0.3">
      <c r="A1726" s="2" t="s">
        <v>1875</v>
      </c>
      <c r="B1726" s="3">
        <v>45920</v>
      </c>
      <c r="C1726" s="2" t="s">
        <v>154</v>
      </c>
      <c r="D1726" s="2" t="s">
        <v>45</v>
      </c>
      <c r="E1726" s="2" t="s">
        <v>62</v>
      </c>
      <c r="F1726" s="2" t="s">
        <v>63</v>
      </c>
      <c r="G1726" s="2" t="s">
        <v>55</v>
      </c>
      <c r="H1726" s="2">
        <v>42</v>
      </c>
      <c r="I1726" s="4">
        <v>2555.2199999999998</v>
      </c>
      <c r="J1726" s="3">
        <v>45925</v>
      </c>
      <c r="K1726">
        <f t="shared" si="26"/>
        <v>107319.23999999999</v>
      </c>
      <c r="L1726" t="str">
        <f>INDEX(Raw_Shipments!L1726:L4154,MATCH(A1726,Raw_Shipments!B1726:B4154))</f>
        <v>No</v>
      </c>
    </row>
    <row r="1727" spans="1:12" x14ac:dyDescent="0.3">
      <c r="A1727" s="5" t="s">
        <v>1876</v>
      </c>
      <c r="B1727" s="6">
        <v>45920</v>
      </c>
      <c r="C1727" s="5" t="s">
        <v>83</v>
      </c>
      <c r="D1727" s="5" t="s">
        <v>14</v>
      </c>
      <c r="E1727" s="5" t="s">
        <v>20</v>
      </c>
      <c r="F1727" s="5" t="s">
        <v>21</v>
      </c>
      <c r="G1727" s="5" t="s">
        <v>22</v>
      </c>
      <c r="H1727" s="5">
        <v>22</v>
      </c>
      <c r="I1727" s="7">
        <v>2108.56</v>
      </c>
      <c r="J1727" s="6">
        <v>45923</v>
      </c>
      <c r="K1727">
        <f t="shared" si="26"/>
        <v>46388.32</v>
      </c>
      <c r="L1727" t="str">
        <f>INDEX(Raw_Shipments!L1727:L4155,MATCH(A1727,Raw_Shipments!B1727:B4155))</f>
        <v>No</v>
      </c>
    </row>
    <row r="1728" spans="1:12" x14ac:dyDescent="0.3">
      <c r="A1728" s="2" t="s">
        <v>1877</v>
      </c>
      <c r="B1728" s="3">
        <v>45920</v>
      </c>
      <c r="C1728" s="2" t="s">
        <v>400</v>
      </c>
      <c r="D1728" s="2" t="s">
        <v>14</v>
      </c>
      <c r="E1728" s="2" t="s">
        <v>119</v>
      </c>
      <c r="F1728" s="2" t="s">
        <v>120</v>
      </c>
      <c r="G1728" s="2" t="s">
        <v>22</v>
      </c>
      <c r="H1728" s="2">
        <v>54</v>
      </c>
      <c r="I1728" s="4">
        <v>912.26</v>
      </c>
      <c r="J1728" s="3">
        <v>45930</v>
      </c>
      <c r="K1728">
        <f t="shared" si="26"/>
        <v>49262.04</v>
      </c>
      <c r="L1728" t="str">
        <f>INDEX(Raw_Shipments!L1728:L4156,MATCH(A1728,Raw_Shipments!B1728:B4156))</f>
        <v>No</v>
      </c>
    </row>
    <row r="1729" spans="1:12" x14ac:dyDescent="0.3">
      <c r="A1729" s="5" t="s">
        <v>1878</v>
      </c>
      <c r="B1729" s="6">
        <v>45920</v>
      </c>
      <c r="C1729" s="5" t="s">
        <v>91</v>
      </c>
      <c r="D1729" s="5" t="s">
        <v>45</v>
      </c>
      <c r="E1729" s="5" t="s">
        <v>31</v>
      </c>
      <c r="F1729" s="5" t="s">
        <v>32</v>
      </c>
      <c r="G1729" s="5" t="s">
        <v>33</v>
      </c>
      <c r="H1729" s="5">
        <v>33</v>
      </c>
      <c r="I1729" s="7">
        <v>689</v>
      </c>
      <c r="J1729" s="6">
        <v>45924</v>
      </c>
      <c r="K1729">
        <f t="shared" si="26"/>
        <v>22737</v>
      </c>
      <c r="L1729" t="str">
        <f>INDEX(Raw_Shipments!L1729:L4157,MATCH(A1729,Raw_Shipments!B1729:B4157))</f>
        <v>No</v>
      </c>
    </row>
    <row r="1730" spans="1:12" x14ac:dyDescent="0.3">
      <c r="A1730" s="2" t="s">
        <v>1879</v>
      </c>
      <c r="B1730" s="3">
        <v>45920</v>
      </c>
      <c r="C1730" s="2" t="s">
        <v>29</v>
      </c>
      <c r="D1730" s="2" t="s">
        <v>45</v>
      </c>
      <c r="E1730" s="2" t="s">
        <v>36</v>
      </c>
      <c r="F1730" s="2" t="s">
        <v>37</v>
      </c>
      <c r="G1730" s="2" t="s">
        <v>33</v>
      </c>
      <c r="H1730" s="2">
        <v>29</v>
      </c>
      <c r="I1730" s="4">
        <v>1064.79</v>
      </c>
      <c r="J1730" s="3">
        <v>45925</v>
      </c>
      <c r="K1730">
        <f t="shared" si="26"/>
        <v>30878.91</v>
      </c>
      <c r="L1730" t="str">
        <f>INDEX(Raw_Shipments!L1730:L4158,MATCH(A1730,Raw_Shipments!B1730:B4158))</f>
        <v>No</v>
      </c>
    </row>
    <row r="1731" spans="1:12" x14ac:dyDescent="0.3">
      <c r="A1731" s="5" t="s">
        <v>1880</v>
      </c>
      <c r="B1731" s="6">
        <v>45920</v>
      </c>
      <c r="C1731" s="5" t="s">
        <v>128</v>
      </c>
      <c r="D1731" s="5" t="s">
        <v>14</v>
      </c>
      <c r="E1731" s="5" t="s">
        <v>50</v>
      </c>
      <c r="F1731" s="5" t="s">
        <v>51</v>
      </c>
      <c r="G1731" s="5" t="s">
        <v>42</v>
      </c>
      <c r="H1731" s="5">
        <v>10</v>
      </c>
      <c r="I1731" s="7">
        <v>1952.28</v>
      </c>
      <c r="J1731" s="6">
        <v>45924</v>
      </c>
      <c r="K1731">
        <f t="shared" ref="K1731:K1794" si="27">I1731*H1731</f>
        <v>19522.8</v>
      </c>
      <c r="L1731" t="str">
        <f>INDEX(Raw_Shipments!L1731:L4159,MATCH(A1731,Raw_Shipments!B1731:B4159))</f>
        <v>No</v>
      </c>
    </row>
    <row r="1732" spans="1:12" x14ac:dyDescent="0.3">
      <c r="A1732" s="2" t="s">
        <v>1881</v>
      </c>
      <c r="B1732" s="3">
        <v>45921</v>
      </c>
      <c r="C1732" s="2" t="s">
        <v>172</v>
      </c>
      <c r="D1732" s="2" t="s">
        <v>25</v>
      </c>
      <c r="E1732" s="2" t="s">
        <v>58</v>
      </c>
      <c r="F1732" s="2" t="s">
        <v>59</v>
      </c>
      <c r="G1732" s="2" t="s">
        <v>55</v>
      </c>
      <c r="H1732" s="2">
        <v>12</v>
      </c>
      <c r="I1732" s="4">
        <v>1695.1</v>
      </c>
      <c r="J1732" s="3">
        <v>45925</v>
      </c>
      <c r="K1732">
        <f t="shared" si="27"/>
        <v>20341.199999999997</v>
      </c>
      <c r="L1732" t="str">
        <f>INDEX(Raw_Shipments!L1732:L4160,MATCH(A1732,Raw_Shipments!B1732:B4160))</f>
        <v>No</v>
      </c>
    </row>
    <row r="1733" spans="1:12" x14ac:dyDescent="0.3">
      <c r="A1733" s="5" t="s">
        <v>1882</v>
      </c>
      <c r="B1733" s="6">
        <v>45921</v>
      </c>
      <c r="C1733" s="5" t="s">
        <v>172</v>
      </c>
      <c r="D1733" s="5" t="s">
        <v>25</v>
      </c>
      <c r="E1733" s="5" t="s">
        <v>66</v>
      </c>
      <c r="F1733" s="5" t="s">
        <v>67</v>
      </c>
      <c r="G1733" s="5" t="s">
        <v>17</v>
      </c>
      <c r="H1733" s="5">
        <v>9</v>
      </c>
      <c r="I1733" s="7">
        <v>850.8</v>
      </c>
      <c r="J1733" s="6">
        <v>45925</v>
      </c>
      <c r="K1733">
        <f t="shared" si="27"/>
        <v>7657.2</v>
      </c>
      <c r="L1733" t="str">
        <f>INDEX(Raw_Shipments!L1733:L4161,MATCH(A1733,Raw_Shipments!B1733:B4161))</f>
        <v>No</v>
      </c>
    </row>
    <row r="1734" spans="1:12" x14ac:dyDescent="0.3">
      <c r="A1734" s="2" t="s">
        <v>1883</v>
      </c>
      <c r="B1734" s="3">
        <v>45921</v>
      </c>
      <c r="C1734" s="2" t="s">
        <v>144</v>
      </c>
      <c r="D1734" s="2" t="s">
        <v>45</v>
      </c>
      <c r="E1734" s="2" t="s">
        <v>97</v>
      </c>
      <c r="F1734" s="2" t="s">
        <v>98</v>
      </c>
      <c r="G1734" s="2" t="s">
        <v>17</v>
      </c>
      <c r="H1734" s="2">
        <v>10</v>
      </c>
      <c r="I1734" s="4">
        <v>1110.6500000000001</v>
      </c>
      <c r="J1734" s="3">
        <v>45924</v>
      </c>
      <c r="K1734">
        <f t="shared" si="27"/>
        <v>11106.5</v>
      </c>
      <c r="L1734" t="str">
        <f>INDEX(Raw_Shipments!L1734:L4162,MATCH(A1734,Raw_Shipments!B1734:B4162))</f>
        <v>No</v>
      </c>
    </row>
    <row r="1735" spans="1:12" x14ac:dyDescent="0.3">
      <c r="A1735" s="5" t="s">
        <v>1884</v>
      </c>
      <c r="B1735" s="6">
        <v>45921</v>
      </c>
      <c r="C1735" s="5" t="s">
        <v>248</v>
      </c>
      <c r="D1735" s="5" t="s">
        <v>14</v>
      </c>
      <c r="E1735" s="5" t="s">
        <v>15</v>
      </c>
      <c r="F1735" s="5" t="s">
        <v>16</v>
      </c>
      <c r="G1735" s="5" t="s">
        <v>17</v>
      </c>
      <c r="H1735" s="5">
        <v>10</v>
      </c>
      <c r="I1735" s="7">
        <v>183.06</v>
      </c>
      <c r="J1735" s="6">
        <v>45930</v>
      </c>
      <c r="K1735">
        <f t="shared" si="27"/>
        <v>1830.6</v>
      </c>
      <c r="L1735" t="str">
        <f>INDEX(Raw_Shipments!L1735:L4163,MATCH(A1735,Raw_Shipments!B1735:B4163))</f>
        <v>No</v>
      </c>
    </row>
    <row r="1736" spans="1:12" x14ac:dyDescent="0.3">
      <c r="A1736" s="2" t="s">
        <v>1885</v>
      </c>
      <c r="B1736" s="3">
        <v>45921</v>
      </c>
      <c r="C1736" s="2" t="s">
        <v>69</v>
      </c>
      <c r="D1736" s="2" t="s">
        <v>14</v>
      </c>
      <c r="E1736" s="2" t="s">
        <v>20</v>
      </c>
      <c r="F1736" s="2" t="s">
        <v>21</v>
      </c>
      <c r="G1736" s="2" t="s">
        <v>22</v>
      </c>
      <c r="H1736" s="2">
        <v>19</v>
      </c>
      <c r="I1736" s="4">
        <v>2108.56</v>
      </c>
      <c r="J1736" s="3">
        <v>45931</v>
      </c>
      <c r="K1736">
        <f t="shared" si="27"/>
        <v>40062.639999999999</v>
      </c>
      <c r="L1736" t="str">
        <f>INDEX(Raw_Shipments!L1736:L4164,MATCH(A1736,Raw_Shipments!B1736:B4164))</f>
        <v>No</v>
      </c>
    </row>
    <row r="1737" spans="1:12" x14ac:dyDescent="0.3">
      <c r="A1737" s="5" t="s">
        <v>1886</v>
      </c>
      <c r="B1737" s="6">
        <v>45921</v>
      </c>
      <c r="C1737" s="5" t="s">
        <v>400</v>
      </c>
      <c r="D1737" s="5" t="s">
        <v>14</v>
      </c>
      <c r="E1737" s="5" t="s">
        <v>119</v>
      </c>
      <c r="F1737" s="5" t="s">
        <v>120</v>
      </c>
      <c r="G1737" s="5" t="s">
        <v>22</v>
      </c>
      <c r="H1737" s="5">
        <v>61</v>
      </c>
      <c r="I1737" s="7">
        <v>912.26</v>
      </c>
      <c r="J1737" s="6">
        <v>45925</v>
      </c>
      <c r="K1737">
        <f t="shared" si="27"/>
        <v>55647.86</v>
      </c>
      <c r="L1737" t="str">
        <f>INDEX(Raw_Shipments!L1737:L4165,MATCH(A1737,Raw_Shipments!B1737:B4165))</f>
        <v>No</v>
      </c>
    </row>
    <row r="1738" spans="1:12" x14ac:dyDescent="0.3">
      <c r="A1738" s="2" t="s">
        <v>1887</v>
      </c>
      <c r="B1738" s="3">
        <v>45921</v>
      </c>
      <c r="C1738" s="2" t="s">
        <v>172</v>
      </c>
      <c r="D1738" s="2" t="s">
        <v>14</v>
      </c>
      <c r="E1738" s="2" t="s">
        <v>26</v>
      </c>
      <c r="F1738" s="2" t="s">
        <v>27</v>
      </c>
      <c r="G1738" s="2" t="s">
        <v>22</v>
      </c>
      <c r="H1738" s="2">
        <v>27</v>
      </c>
      <c r="I1738" s="4">
        <v>1646.8</v>
      </c>
      <c r="J1738" s="3">
        <v>45927</v>
      </c>
      <c r="K1738">
        <f t="shared" si="27"/>
        <v>44463.6</v>
      </c>
      <c r="L1738" t="str">
        <f>INDEX(Raw_Shipments!L1738:L4166,MATCH(A1738,Raw_Shipments!B1738:B4166))</f>
        <v>Yes</v>
      </c>
    </row>
    <row r="1739" spans="1:12" x14ac:dyDescent="0.3">
      <c r="A1739" s="5" t="s">
        <v>1888</v>
      </c>
      <c r="B1739" s="6">
        <v>45921</v>
      </c>
      <c r="C1739" s="5" t="s">
        <v>85</v>
      </c>
      <c r="D1739" s="5" t="s">
        <v>30</v>
      </c>
      <c r="E1739" s="5" t="s">
        <v>31</v>
      </c>
      <c r="F1739" s="5" t="s">
        <v>32</v>
      </c>
      <c r="G1739" s="5" t="s">
        <v>33</v>
      </c>
      <c r="H1739" s="5">
        <v>45</v>
      </c>
      <c r="I1739" s="7">
        <v>689</v>
      </c>
      <c r="J1739" s="6">
        <v>45928</v>
      </c>
      <c r="K1739">
        <f t="shared" si="27"/>
        <v>31005</v>
      </c>
      <c r="L1739" t="str">
        <f>INDEX(Raw_Shipments!L1739:L4167,MATCH(A1739,Raw_Shipments!B1739:B4167))</f>
        <v>No</v>
      </c>
    </row>
    <row r="1740" spans="1:12" x14ac:dyDescent="0.3">
      <c r="A1740" s="2" t="s">
        <v>1889</v>
      </c>
      <c r="B1740" s="3">
        <v>45921</v>
      </c>
      <c r="C1740" s="2" t="s">
        <v>451</v>
      </c>
      <c r="D1740" s="2" t="s">
        <v>14</v>
      </c>
      <c r="E1740" s="2" t="s">
        <v>86</v>
      </c>
      <c r="F1740" s="2" t="s">
        <v>87</v>
      </c>
      <c r="G1740" s="2" t="s">
        <v>33</v>
      </c>
      <c r="H1740" s="2">
        <v>19</v>
      </c>
      <c r="I1740" s="4">
        <v>815.88</v>
      </c>
      <c r="J1740" s="3">
        <v>45926</v>
      </c>
      <c r="K1740">
        <f t="shared" si="27"/>
        <v>15501.72</v>
      </c>
      <c r="L1740" t="str">
        <f>INDEX(Raw_Shipments!L1740:L4168,MATCH(A1740,Raw_Shipments!B1740:B4168))</f>
        <v>No</v>
      </c>
    </row>
    <row r="1741" spans="1:12" x14ac:dyDescent="0.3">
      <c r="A1741" s="5" t="s">
        <v>1890</v>
      </c>
      <c r="B1741" s="6">
        <v>45922</v>
      </c>
      <c r="C1741" s="5" t="s">
        <v>100</v>
      </c>
      <c r="D1741" s="5" t="s">
        <v>25</v>
      </c>
      <c r="E1741" s="5" t="s">
        <v>66</v>
      </c>
      <c r="F1741" s="5" t="s">
        <v>67</v>
      </c>
      <c r="G1741" s="5" t="s">
        <v>17</v>
      </c>
      <c r="H1741" s="5">
        <v>18</v>
      </c>
      <c r="I1741" s="7">
        <v>850.8</v>
      </c>
      <c r="J1741" s="6">
        <v>45928</v>
      </c>
      <c r="K1741">
        <f t="shared" si="27"/>
        <v>15314.4</v>
      </c>
      <c r="L1741" t="str">
        <f>INDEX(Raw_Shipments!L1741:L4169,MATCH(A1741,Raw_Shipments!B1741:B4169))</f>
        <v>No</v>
      </c>
    </row>
    <row r="1742" spans="1:12" x14ac:dyDescent="0.3">
      <c r="A1742" s="2" t="s">
        <v>1891</v>
      </c>
      <c r="B1742" s="3">
        <v>45922</v>
      </c>
      <c r="C1742" s="2" t="s">
        <v>100</v>
      </c>
      <c r="D1742" s="2" t="s">
        <v>14</v>
      </c>
      <c r="E1742" s="2" t="s">
        <v>97</v>
      </c>
      <c r="F1742" s="2" t="s">
        <v>98</v>
      </c>
      <c r="G1742" s="2" t="s">
        <v>17</v>
      </c>
      <c r="H1742" s="2">
        <v>20</v>
      </c>
      <c r="I1742" s="4">
        <v>1110.6500000000001</v>
      </c>
      <c r="J1742" s="3">
        <v>45931</v>
      </c>
      <c r="K1742">
        <f t="shared" si="27"/>
        <v>22213</v>
      </c>
      <c r="L1742" t="str">
        <f>INDEX(Raw_Shipments!L1742:L4170,MATCH(A1742,Raw_Shipments!B1742:B4170))</f>
        <v>No</v>
      </c>
    </row>
    <row r="1743" spans="1:12" x14ac:dyDescent="0.3">
      <c r="A1743" s="5" t="s">
        <v>1892</v>
      </c>
      <c r="B1743" s="6">
        <v>45922</v>
      </c>
      <c r="C1743" s="5" t="s">
        <v>208</v>
      </c>
      <c r="D1743" s="5" t="s">
        <v>30</v>
      </c>
      <c r="E1743" s="5" t="s">
        <v>20</v>
      </c>
      <c r="F1743" s="5" t="s">
        <v>21</v>
      </c>
      <c r="G1743" s="5" t="s">
        <v>22</v>
      </c>
      <c r="H1743" s="5">
        <v>15</v>
      </c>
      <c r="I1743" s="7">
        <v>2108.56</v>
      </c>
      <c r="J1743" s="6">
        <v>45926</v>
      </c>
      <c r="K1743">
        <f t="shared" si="27"/>
        <v>31628.399999999998</v>
      </c>
      <c r="L1743" t="str">
        <f>INDEX(Raw_Shipments!L1743:L4171,MATCH(A1743,Raw_Shipments!B1743:B4171))</f>
        <v>No</v>
      </c>
    </row>
    <row r="1744" spans="1:12" x14ac:dyDescent="0.3">
      <c r="A1744" s="2" t="s">
        <v>1893</v>
      </c>
      <c r="B1744" s="3">
        <v>45922</v>
      </c>
      <c r="C1744" s="2" t="s">
        <v>198</v>
      </c>
      <c r="D1744" s="2" t="s">
        <v>45</v>
      </c>
      <c r="E1744" s="2" t="s">
        <v>40</v>
      </c>
      <c r="F1744" s="2" t="s">
        <v>41</v>
      </c>
      <c r="G1744" s="2" t="s">
        <v>42</v>
      </c>
      <c r="H1744" s="2">
        <v>26</v>
      </c>
      <c r="I1744" s="4">
        <v>2445.11</v>
      </c>
      <c r="J1744" s="3">
        <v>45928</v>
      </c>
      <c r="K1744">
        <f t="shared" si="27"/>
        <v>63572.86</v>
      </c>
      <c r="L1744" t="str">
        <f>INDEX(Raw_Shipments!L1744:L4172,MATCH(A1744,Raw_Shipments!B1744:B4172))</f>
        <v>No</v>
      </c>
    </row>
    <row r="1745" spans="1:12" x14ac:dyDescent="0.3">
      <c r="A1745" s="5" t="s">
        <v>1894</v>
      </c>
      <c r="B1745" s="6">
        <v>45922</v>
      </c>
      <c r="C1745" s="5" t="s">
        <v>198</v>
      </c>
      <c r="D1745" s="5" t="s">
        <v>30</v>
      </c>
      <c r="E1745" s="5" t="s">
        <v>50</v>
      </c>
      <c r="F1745" s="5" t="s">
        <v>51</v>
      </c>
      <c r="G1745" s="5" t="s">
        <v>42</v>
      </c>
      <c r="H1745" s="5">
        <v>11</v>
      </c>
      <c r="I1745" s="7">
        <v>1952.28</v>
      </c>
      <c r="J1745" s="6">
        <v>45930</v>
      </c>
      <c r="K1745">
        <f t="shared" si="27"/>
        <v>21475.079999999998</v>
      </c>
      <c r="L1745" t="str">
        <f>INDEX(Raw_Shipments!L1745:L4173,MATCH(A1745,Raw_Shipments!B1745:B4173))</f>
        <v>No</v>
      </c>
    </row>
    <row r="1746" spans="1:12" x14ac:dyDescent="0.3">
      <c r="A1746" s="2" t="s">
        <v>1895</v>
      </c>
      <c r="B1746" s="3">
        <v>45923</v>
      </c>
      <c r="C1746" s="2" t="s">
        <v>272</v>
      </c>
      <c r="D1746" s="2" t="s">
        <v>14</v>
      </c>
      <c r="E1746" s="2" t="s">
        <v>58</v>
      </c>
      <c r="F1746" s="2" t="s">
        <v>59</v>
      </c>
      <c r="G1746" s="2" t="s">
        <v>55</v>
      </c>
      <c r="H1746" s="2">
        <v>17</v>
      </c>
      <c r="I1746" s="4">
        <v>1695.1</v>
      </c>
      <c r="J1746" s="3">
        <v>45933</v>
      </c>
      <c r="K1746">
        <f t="shared" si="27"/>
        <v>28816.699999999997</v>
      </c>
      <c r="L1746" t="str">
        <f>INDEX(Raw_Shipments!L1746:L4174,MATCH(A1746,Raw_Shipments!B1746:B4174))</f>
        <v>Yes</v>
      </c>
    </row>
    <row r="1747" spans="1:12" x14ac:dyDescent="0.3">
      <c r="A1747" s="5" t="s">
        <v>1896</v>
      </c>
      <c r="B1747" s="6">
        <v>45923</v>
      </c>
      <c r="C1747" s="5" t="s">
        <v>318</v>
      </c>
      <c r="D1747" s="5" t="s">
        <v>30</v>
      </c>
      <c r="E1747" s="5" t="s">
        <v>62</v>
      </c>
      <c r="F1747" s="5" t="s">
        <v>63</v>
      </c>
      <c r="G1747" s="5" t="s">
        <v>55</v>
      </c>
      <c r="H1747" s="5">
        <v>39</v>
      </c>
      <c r="I1747" s="7">
        <v>2555.2199999999998</v>
      </c>
      <c r="J1747" s="6">
        <v>45926</v>
      </c>
      <c r="K1747">
        <f t="shared" si="27"/>
        <v>99653.579999999987</v>
      </c>
      <c r="L1747" t="str">
        <f>INDEX(Raw_Shipments!L1747:L4175,MATCH(A1747,Raw_Shipments!B1747:B4175))</f>
        <v>No</v>
      </c>
    </row>
    <row r="1748" spans="1:12" x14ac:dyDescent="0.3">
      <c r="A1748" s="2" t="s">
        <v>1897</v>
      </c>
      <c r="B1748" s="3">
        <v>45923</v>
      </c>
      <c r="C1748" s="2" t="s">
        <v>139</v>
      </c>
      <c r="D1748" s="2" t="s">
        <v>45</v>
      </c>
      <c r="E1748" s="2" t="s">
        <v>66</v>
      </c>
      <c r="F1748" s="2" t="s">
        <v>67</v>
      </c>
      <c r="G1748" s="2" t="s">
        <v>17</v>
      </c>
      <c r="H1748" s="2">
        <v>11</v>
      </c>
      <c r="I1748" s="4">
        <v>850.8</v>
      </c>
      <c r="J1748" s="3">
        <v>45929</v>
      </c>
      <c r="K1748">
        <f t="shared" si="27"/>
        <v>9358.7999999999993</v>
      </c>
      <c r="L1748" t="str">
        <f>INDEX(Raw_Shipments!L1748:L4176,MATCH(A1748,Raw_Shipments!B1748:B4176))</f>
        <v>No</v>
      </c>
    </row>
    <row r="1749" spans="1:12" x14ac:dyDescent="0.3">
      <c r="A1749" s="5" t="s">
        <v>1898</v>
      </c>
      <c r="B1749" s="6">
        <v>45923</v>
      </c>
      <c r="C1749" s="5" t="s">
        <v>180</v>
      </c>
      <c r="D1749" s="5" t="s">
        <v>45</v>
      </c>
      <c r="E1749" s="5" t="s">
        <v>20</v>
      </c>
      <c r="F1749" s="5" t="s">
        <v>21</v>
      </c>
      <c r="G1749" s="5" t="s">
        <v>22</v>
      </c>
      <c r="H1749" s="5">
        <v>12</v>
      </c>
      <c r="I1749" s="7">
        <v>2108.56</v>
      </c>
      <c r="J1749" s="6">
        <v>45926</v>
      </c>
      <c r="K1749">
        <f t="shared" si="27"/>
        <v>25302.720000000001</v>
      </c>
      <c r="L1749" t="str">
        <f>INDEX(Raw_Shipments!L1749:L4177,MATCH(A1749,Raw_Shipments!B1749:B4177))</f>
        <v>No</v>
      </c>
    </row>
    <row r="1750" spans="1:12" x14ac:dyDescent="0.3">
      <c r="A1750" s="2" t="s">
        <v>1899</v>
      </c>
      <c r="B1750" s="3">
        <v>45923</v>
      </c>
      <c r="C1750" s="2" t="s">
        <v>473</v>
      </c>
      <c r="D1750" s="2" t="s">
        <v>45</v>
      </c>
      <c r="E1750" s="2" t="s">
        <v>26</v>
      </c>
      <c r="F1750" s="2" t="s">
        <v>27</v>
      </c>
      <c r="G1750" s="2" t="s">
        <v>22</v>
      </c>
      <c r="H1750" s="2">
        <v>15</v>
      </c>
      <c r="I1750" s="4">
        <v>1646.8</v>
      </c>
      <c r="J1750" s="3">
        <v>45927</v>
      </c>
      <c r="K1750">
        <f t="shared" si="27"/>
        <v>24702</v>
      </c>
      <c r="L1750" t="str">
        <f>INDEX(Raw_Shipments!L1750:L4178,MATCH(A1750,Raw_Shipments!B1750:B4178))</f>
        <v>No</v>
      </c>
    </row>
    <row r="1751" spans="1:12" x14ac:dyDescent="0.3">
      <c r="A1751" s="5" t="s">
        <v>1900</v>
      </c>
      <c r="B1751" s="6">
        <v>45923</v>
      </c>
      <c r="C1751" s="5" t="s">
        <v>96</v>
      </c>
      <c r="D1751" s="5" t="s">
        <v>30</v>
      </c>
      <c r="E1751" s="5" t="s">
        <v>36</v>
      </c>
      <c r="F1751" s="5" t="s">
        <v>37</v>
      </c>
      <c r="G1751" s="5" t="s">
        <v>33</v>
      </c>
      <c r="H1751" s="5">
        <v>10</v>
      </c>
      <c r="I1751" s="7">
        <v>1064.79</v>
      </c>
      <c r="J1751" s="6">
        <v>45929</v>
      </c>
      <c r="K1751">
        <f t="shared" si="27"/>
        <v>10647.9</v>
      </c>
      <c r="L1751" t="str">
        <f>INDEX(Raw_Shipments!L1751:L4179,MATCH(A1751,Raw_Shipments!B1751:B4179))</f>
        <v>No</v>
      </c>
    </row>
    <row r="1752" spans="1:12" x14ac:dyDescent="0.3">
      <c r="A1752" s="2" t="s">
        <v>1901</v>
      </c>
      <c r="B1752" s="3">
        <v>45923</v>
      </c>
      <c r="C1752" s="2" t="s">
        <v>198</v>
      </c>
      <c r="D1752" s="2" t="s">
        <v>14</v>
      </c>
      <c r="E1752" s="2" t="s">
        <v>40</v>
      </c>
      <c r="F1752" s="2" t="s">
        <v>41</v>
      </c>
      <c r="G1752" s="2" t="s">
        <v>42</v>
      </c>
      <c r="H1752" s="2">
        <v>32</v>
      </c>
      <c r="I1752" s="4">
        <v>2445.11</v>
      </c>
      <c r="J1752" s="3">
        <v>45931</v>
      </c>
      <c r="K1752">
        <f t="shared" si="27"/>
        <v>78243.520000000004</v>
      </c>
      <c r="L1752" t="str">
        <f>INDEX(Raw_Shipments!L1752:L4180,MATCH(A1752,Raw_Shipments!B1752:B4180))</f>
        <v>No</v>
      </c>
    </row>
    <row r="1753" spans="1:12" x14ac:dyDescent="0.3">
      <c r="A1753" s="5" t="s">
        <v>1902</v>
      </c>
      <c r="B1753" s="6">
        <v>45923</v>
      </c>
      <c r="C1753" s="5" t="s">
        <v>24</v>
      </c>
      <c r="D1753" s="5" t="s">
        <v>45</v>
      </c>
      <c r="E1753" s="5" t="s">
        <v>50</v>
      </c>
      <c r="F1753" s="5" t="s">
        <v>51</v>
      </c>
      <c r="G1753" s="5" t="s">
        <v>42</v>
      </c>
      <c r="H1753" s="5">
        <v>2</v>
      </c>
      <c r="I1753" s="7">
        <v>1952.28</v>
      </c>
      <c r="J1753" s="6">
        <v>45926</v>
      </c>
      <c r="K1753">
        <f t="shared" si="27"/>
        <v>3904.56</v>
      </c>
      <c r="L1753" t="str">
        <f>INDEX(Raw_Shipments!L1753:L4181,MATCH(A1753,Raw_Shipments!B1753:B4181))</f>
        <v>No</v>
      </c>
    </row>
    <row r="1754" spans="1:12" x14ac:dyDescent="0.3">
      <c r="A1754" s="2" t="s">
        <v>1903</v>
      </c>
      <c r="B1754" s="3">
        <v>45924</v>
      </c>
      <c r="C1754" s="2" t="s">
        <v>24</v>
      </c>
      <c r="D1754" s="2" t="s">
        <v>25</v>
      </c>
      <c r="E1754" s="2" t="s">
        <v>97</v>
      </c>
      <c r="F1754" s="2" t="s">
        <v>98</v>
      </c>
      <c r="G1754" s="2" t="s">
        <v>17</v>
      </c>
      <c r="H1754" s="2">
        <v>27</v>
      </c>
      <c r="I1754" s="4">
        <v>1110.6500000000001</v>
      </c>
      <c r="J1754" s="3">
        <v>45930</v>
      </c>
      <c r="K1754">
        <f t="shared" si="27"/>
        <v>29987.550000000003</v>
      </c>
      <c r="L1754" t="str">
        <f>INDEX(Raw_Shipments!L1754:L4182,MATCH(A1754,Raw_Shipments!B1754:B4182))</f>
        <v>No</v>
      </c>
    </row>
    <row r="1755" spans="1:12" x14ac:dyDescent="0.3">
      <c r="A1755" s="5" t="s">
        <v>1904</v>
      </c>
      <c r="B1755" s="6">
        <v>45924</v>
      </c>
      <c r="C1755" s="5" t="s">
        <v>268</v>
      </c>
      <c r="D1755" s="5" t="s">
        <v>25</v>
      </c>
      <c r="E1755" s="5" t="s">
        <v>119</v>
      </c>
      <c r="F1755" s="5" t="s">
        <v>120</v>
      </c>
      <c r="G1755" s="5" t="s">
        <v>22</v>
      </c>
      <c r="H1755" s="5">
        <v>43</v>
      </c>
      <c r="I1755" s="7">
        <v>912.26</v>
      </c>
      <c r="J1755" s="6">
        <v>45933</v>
      </c>
      <c r="K1755">
        <f t="shared" si="27"/>
        <v>39227.18</v>
      </c>
      <c r="L1755" t="str">
        <f>INDEX(Raw_Shipments!L1755:L4183,MATCH(A1755,Raw_Shipments!B1755:B4183))</f>
        <v>No</v>
      </c>
    </row>
    <row r="1756" spans="1:12" x14ac:dyDescent="0.3">
      <c r="A1756" s="2" t="s">
        <v>1905</v>
      </c>
      <c r="B1756" s="3">
        <v>45924</v>
      </c>
      <c r="C1756" s="2" t="s">
        <v>19</v>
      </c>
      <c r="D1756" s="2" t="s">
        <v>45</v>
      </c>
      <c r="E1756" s="2" t="s">
        <v>31</v>
      </c>
      <c r="F1756" s="2" t="s">
        <v>32</v>
      </c>
      <c r="G1756" s="2" t="s">
        <v>33</v>
      </c>
      <c r="H1756" s="2">
        <v>17</v>
      </c>
      <c r="I1756" s="4">
        <v>689</v>
      </c>
      <c r="J1756" s="3">
        <v>45933</v>
      </c>
      <c r="K1756">
        <f t="shared" si="27"/>
        <v>11713</v>
      </c>
      <c r="L1756" t="str">
        <f>INDEX(Raw_Shipments!L1756:L4184,MATCH(A1756,Raw_Shipments!B1756:B4184))</f>
        <v>Yes</v>
      </c>
    </row>
    <row r="1757" spans="1:12" x14ac:dyDescent="0.3">
      <c r="A1757" s="5" t="s">
        <v>1906</v>
      </c>
      <c r="B1757" s="6">
        <v>45924</v>
      </c>
      <c r="C1757" s="5" t="s">
        <v>213</v>
      </c>
      <c r="D1757" s="5" t="s">
        <v>25</v>
      </c>
      <c r="E1757" s="5" t="s">
        <v>46</v>
      </c>
      <c r="F1757" s="5" t="s">
        <v>47</v>
      </c>
      <c r="G1757" s="5" t="s">
        <v>42</v>
      </c>
      <c r="H1757" s="5">
        <v>6</v>
      </c>
      <c r="I1757" s="7">
        <v>1833.14</v>
      </c>
      <c r="J1757" s="6">
        <v>45933</v>
      </c>
      <c r="K1757">
        <f t="shared" si="27"/>
        <v>10998.84</v>
      </c>
      <c r="L1757" t="str">
        <f>INDEX(Raw_Shipments!L1757:L4185,MATCH(A1757,Raw_Shipments!B1757:B4185))</f>
        <v>No</v>
      </c>
    </row>
    <row r="1758" spans="1:12" x14ac:dyDescent="0.3">
      <c r="A1758" s="2" t="s">
        <v>1907</v>
      </c>
      <c r="B1758" s="3">
        <v>45925</v>
      </c>
      <c r="C1758" s="2" t="s">
        <v>595</v>
      </c>
      <c r="D1758" s="2" t="s">
        <v>45</v>
      </c>
      <c r="E1758" s="2" t="s">
        <v>53</v>
      </c>
      <c r="F1758" s="2" t="s">
        <v>54</v>
      </c>
      <c r="G1758" s="2" t="s">
        <v>55</v>
      </c>
      <c r="H1758" s="2">
        <v>33</v>
      </c>
      <c r="I1758" s="4">
        <v>2055.9</v>
      </c>
      <c r="J1758" s="3">
        <v>45935</v>
      </c>
      <c r="K1758">
        <f t="shared" si="27"/>
        <v>67844.7</v>
      </c>
      <c r="L1758" t="str">
        <f>INDEX(Raw_Shipments!L1758:L4186,MATCH(A1758,Raw_Shipments!B1758:B4186))</f>
        <v>No</v>
      </c>
    </row>
    <row r="1759" spans="1:12" x14ac:dyDescent="0.3">
      <c r="A1759" s="5" t="s">
        <v>1908</v>
      </c>
      <c r="B1759" s="6">
        <v>45925</v>
      </c>
      <c r="C1759" s="5" t="s">
        <v>111</v>
      </c>
      <c r="D1759" s="5" t="s">
        <v>25</v>
      </c>
      <c r="E1759" s="5" t="s">
        <v>58</v>
      </c>
      <c r="F1759" s="5" t="s">
        <v>59</v>
      </c>
      <c r="G1759" s="5" t="s">
        <v>55</v>
      </c>
      <c r="H1759" s="5">
        <v>12</v>
      </c>
      <c r="I1759" s="7">
        <v>1695.1</v>
      </c>
      <c r="J1759" s="6">
        <v>45935</v>
      </c>
      <c r="K1759">
        <f t="shared" si="27"/>
        <v>20341.199999999997</v>
      </c>
      <c r="L1759" t="str">
        <f>INDEX(Raw_Shipments!L1759:L4187,MATCH(A1759,Raw_Shipments!B1759:B4187))</f>
        <v>Yes</v>
      </c>
    </row>
    <row r="1760" spans="1:12" x14ac:dyDescent="0.3">
      <c r="A1760" s="2" t="s">
        <v>1909</v>
      </c>
      <c r="B1760" s="3">
        <v>45925</v>
      </c>
      <c r="C1760" s="2" t="s">
        <v>65</v>
      </c>
      <c r="D1760" s="2" t="s">
        <v>25</v>
      </c>
      <c r="E1760" s="2" t="s">
        <v>62</v>
      </c>
      <c r="F1760" s="2" t="s">
        <v>63</v>
      </c>
      <c r="G1760" s="2" t="s">
        <v>55</v>
      </c>
      <c r="H1760" s="2">
        <v>37</v>
      </c>
      <c r="I1760" s="4">
        <v>2555.2199999999998</v>
      </c>
      <c r="J1760" s="3">
        <v>45932</v>
      </c>
      <c r="K1760">
        <f t="shared" si="27"/>
        <v>94543.14</v>
      </c>
      <c r="L1760" t="str">
        <f>INDEX(Raw_Shipments!L1760:L4188,MATCH(A1760,Raw_Shipments!B1760:B4188))</f>
        <v>No</v>
      </c>
    </row>
    <row r="1761" spans="1:12" x14ac:dyDescent="0.3">
      <c r="A1761" s="5" t="s">
        <v>1910</v>
      </c>
      <c r="B1761" s="6">
        <v>45925</v>
      </c>
      <c r="C1761" s="5" t="s">
        <v>337</v>
      </c>
      <c r="D1761" s="5" t="s">
        <v>30</v>
      </c>
      <c r="E1761" s="5" t="s">
        <v>15</v>
      </c>
      <c r="F1761" s="5" t="s">
        <v>16</v>
      </c>
      <c r="G1761" s="5" t="s">
        <v>17</v>
      </c>
      <c r="H1761" s="5">
        <v>18</v>
      </c>
      <c r="I1761" s="7">
        <v>183.06</v>
      </c>
      <c r="J1761" s="6">
        <v>45928</v>
      </c>
      <c r="K1761">
        <f t="shared" si="27"/>
        <v>3295.08</v>
      </c>
      <c r="L1761" t="str">
        <f>INDEX(Raw_Shipments!L1761:L4189,MATCH(A1761,Raw_Shipments!B1761:B4189))</f>
        <v>No</v>
      </c>
    </row>
    <row r="1762" spans="1:12" x14ac:dyDescent="0.3">
      <c r="A1762" s="2" t="s">
        <v>1911</v>
      </c>
      <c r="B1762" s="3">
        <v>45925</v>
      </c>
      <c r="C1762" s="2" t="s">
        <v>195</v>
      </c>
      <c r="D1762" s="2" t="s">
        <v>45</v>
      </c>
      <c r="E1762" s="2" t="s">
        <v>86</v>
      </c>
      <c r="F1762" s="2" t="s">
        <v>87</v>
      </c>
      <c r="G1762" s="2" t="s">
        <v>33</v>
      </c>
      <c r="H1762" s="2">
        <v>27</v>
      </c>
      <c r="I1762" s="4">
        <v>815.88</v>
      </c>
      <c r="J1762" s="3">
        <v>45935</v>
      </c>
      <c r="K1762">
        <f t="shared" si="27"/>
        <v>22028.76</v>
      </c>
      <c r="L1762" t="str">
        <f>INDEX(Raw_Shipments!L1762:L4190,MATCH(A1762,Raw_Shipments!B1762:B4190))</f>
        <v>Yes</v>
      </c>
    </row>
    <row r="1763" spans="1:12" x14ac:dyDescent="0.3">
      <c r="A1763" s="5" t="s">
        <v>1912</v>
      </c>
      <c r="B1763" s="6">
        <v>45925</v>
      </c>
      <c r="C1763" s="5" t="s">
        <v>229</v>
      </c>
      <c r="D1763" s="5" t="s">
        <v>14</v>
      </c>
      <c r="E1763" s="5" t="s">
        <v>46</v>
      </c>
      <c r="F1763" s="5" t="s">
        <v>47</v>
      </c>
      <c r="G1763" s="5" t="s">
        <v>42</v>
      </c>
      <c r="H1763" s="5">
        <v>4</v>
      </c>
      <c r="I1763" s="7">
        <v>1833.14</v>
      </c>
      <c r="J1763" s="6">
        <v>45929</v>
      </c>
      <c r="K1763">
        <f t="shared" si="27"/>
        <v>7332.56</v>
      </c>
      <c r="L1763" t="str">
        <f>INDEX(Raw_Shipments!L1763:L4191,MATCH(A1763,Raw_Shipments!B1763:B4191))</f>
        <v>No</v>
      </c>
    </row>
    <row r="1764" spans="1:12" x14ac:dyDescent="0.3">
      <c r="A1764" s="2" t="s">
        <v>1913</v>
      </c>
      <c r="B1764" s="3">
        <v>45925</v>
      </c>
      <c r="C1764" s="2" t="s">
        <v>135</v>
      </c>
      <c r="D1764" s="2" t="s">
        <v>30</v>
      </c>
      <c r="E1764" s="2" t="s">
        <v>50</v>
      </c>
      <c r="F1764" s="2" t="s">
        <v>51</v>
      </c>
      <c r="G1764" s="2" t="s">
        <v>42</v>
      </c>
      <c r="H1764" s="2">
        <v>12</v>
      </c>
      <c r="I1764" s="4">
        <v>1952.28</v>
      </c>
      <c r="J1764" s="3">
        <v>45929</v>
      </c>
      <c r="K1764">
        <f t="shared" si="27"/>
        <v>23427.360000000001</v>
      </c>
      <c r="L1764" t="str">
        <f>INDEX(Raw_Shipments!L1764:L4192,MATCH(A1764,Raw_Shipments!B1764:B4192))</f>
        <v>No</v>
      </c>
    </row>
    <row r="1765" spans="1:12" x14ac:dyDescent="0.3">
      <c r="A1765" s="5" t="s">
        <v>1914</v>
      </c>
      <c r="B1765" s="6">
        <v>45926</v>
      </c>
      <c r="C1765" s="5" t="s">
        <v>93</v>
      </c>
      <c r="D1765" s="5" t="s">
        <v>30</v>
      </c>
      <c r="E1765" s="5" t="s">
        <v>97</v>
      </c>
      <c r="F1765" s="5" t="s">
        <v>98</v>
      </c>
      <c r="G1765" s="5" t="s">
        <v>17</v>
      </c>
      <c r="H1765" s="5">
        <v>22</v>
      </c>
      <c r="I1765" s="7">
        <v>1110.6500000000001</v>
      </c>
      <c r="J1765" s="6">
        <v>45936</v>
      </c>
      <c r="K1765">
        <f t="shared" si="27"/>
        <v>24434.300000000003</v>
      </c>
      <c r="L1765" t="str">
        <f>INDEX(Raw_Shipments!L1765:L4193,MATCH(A1765,Raw_Shipments!B1765:B4193))</f>
        <v>No</v>
      </c>
    </row>
    <row r="1766" spans="1:12" x14ac:dyDescent="0.3">
      <c r="A1766" s="2" t="s">
        <v>1915</v>
      </c>
      <c r="B1766" s="3">
        <v>45926</v>
      </c>
      <c r="C1766" s="2" t="s">
        <v>363</v>
      </c>
      <c r="D1766" s="2" t="s">
        <v>30</v>
      </c>
      <c r="E1766" s="2" t="s">
        <v>15</v>
      </c>
      <c r="F1766" s="2" t="s">
        <v>16</v>
      </c>
      <c r="G1766" s="2" t="s">
        <v>17</v>
      </c>
      <c r="H1766" s="2">
        <v>12</v>
      </c>
      <c r="I1766" s="4">
        <v>183.06</v>
      </c>
      <c r="J1766" s="3">
        <v>45934</v>
      </c>
      <c r="K1766">
        <f t="shared" si="27"/>
        <v>2196.7200000000003</v>
      </c>
      <c r="L1766" t="str">
        <f>INDEX(Raw_Shipments!L1766:L4194,MATCH(A1766,Raw_Shipments!B1766:B4194))</f>
        <v>Yes</v>
      </c>
    </row>
    <row r="1767" spans="1:12" x14ac:dyDescent="0.3">
      <c r="A1767" s="5" t="s">
        <v>1916</v>
      </c>
      <c r="B1767" s="6">
        <v>45926</v>
      </c>
      <c r="C1767" s="5" t="s">
        <v>61</v>
      </c>
      <c r="D1767" s="5" t="s">
        <v>30</v>
      </c>
      <c r="E1767" s="5" t="s">
        <v>119</v>
      </c>
      <c r="F1767" s="5" t="s">
        <v>120</v>
      </c>
      <c r="G1767" s="5" t="s">
        <v>22</v>
      </c>
      <c r="H1767" s="5">
        <v>47</v>
      </c>
      <c r="I1767" s="7">
        <v>912.26</v>
      </c>
      <c r="J1767" s="6">
        <v>45932</v>
      </c>
      <c r="K1767">
        <f t="shared" si="27"/>
        <v>42876.22</v>
      </c>
      <c r="L1767" t="str">
        <f>INDEX(Raw_Shipments!L1767:L4195,MATCH(A1767,Raw_Shipments!B1767:B4195))</f>
        <v>Yes</v>
      </c>
    </row>
    <row r="1768" spans="1:12" x14ac:dyDescent="0.3">
      <c r="A1768" s="2" t="s">
        <v>1917</v>
      </c>
      <c r="B1768" s="3">
        <v>45926</v>
      </c>
      <c r="C1768" s="2" t="s">
        <v>418</v>
      </c>
      <c r="D1768" s="2" t="s">
        <v>45</v>
      </c>
      <c r="E1768" s="2" t="s">
        <v>31</v>
      </c>
      <c r="F1768" s="2" t="s">
        <v>32</v>
      </c>
      <c r="G1768" s="2" t="s">
        <v>33</v>
      </c>
      <c r="H1768" s="2">
        <v>31</v>
      </c>
      <c r="I1768" s="4">
        <v>689</v>
      </c>
      <c r="J1768" s="3">
        <v>45936</v>
      </c>
      <c r="K1768">
        <f t="shared" si="27"/>
        <v>21359</v>
      </c>
      <c r="L1768" t="str">
        <f>INDEX(Raw_Shipments!L1768:L4196,MATCH(A1768,Raw_Shipments!B1768:B4196))</f>
        <v>No</v>
      </c>
    </row>
    <row r="1769" spans="1:12" x14ac:dyDescent="0.3">
      <c r="A1769" s="5" t="s">
        <v>1918</v>
      </c>
      <c r="B1769" s="6">
        <v>45926</v>
      </c>
      <c r="C1769" s="5" t="s">
        <v>111</v>
      </c>
      <c r="D1769" s="5" t="s">
        <v>14</v>
      </c>
      <c r="E1769" s="5" t="s">
        <v>86</v>
      </c>
      <c r="F1769" s="5" t="s">
        <v>87</v>
      </c>
      <c r="G1769" s="5" t="s">
        <v>33</v>
      </c>
      <c r="H1769" s="5">
        <v>19</v>
      </c>
      <c r="I1769" s="7">
        <v>815.88</v>
      </c>
      <c r="J1769" s="6">
        <v>45930</v>
      </c>
      <c r="K1769">
        <f t="shared" si="27"/>
        <v>15501.72</v>
      </c>
      <c r="L1769" t="str">
        <f>INDEX(Raw_Shipments!L1769:L4197,MATCH(A1769,Raw_Shipments!B1769:B4197))</f>
        <v>No</v>
      </c>
    </row>
    <row r="1770" spans="1:12" x14ac:dyDescent="0.3">
      <c r="A1770" s="2" t="s">
        <v>1919</v>
      </c>
      <c r="B1770" s="3">
        <v>45926</v>
      </c>
      <c r="C1770" s="2" t="s">
        <v>100</v>
      </c>
      <c r="D1770" s="2" t="s">
        <v>45</v>
      </c>
      <c r="E1770" s="2" t="s">
        <v>46</v>
      </c>
      <c r="F1770" s="2" t="s">
        <v>47</v>
      </c>
      <c r="G1770" s="2" t="s">
        <v>42</v>
      </c>
      <c r="H1770" s="2">
        <v>6</v>
      </c>
      <c r="I1770" s="4">
        <v>1833.14</v>
      </c>
      <c r="J1770" s="3">
        <v>45936</v>
      </c>
      <c r="K1770">
        <f t="shared" si="27"/>
        <v>10998.84</v>
      </c>
      <c r="L1770" t="str">
        <f>INDEX(Raw_Shipments!L1770:L4198,MATCH(A1770,Raw_Shipments!B1770:B4198))</f>
        <v>No</v>
      </c>
    </row>
    <row r="1771" spans="1:12" x14ac:dyDescent="0.3">
      <c r="A1771" s="5" t="s">
        <v>1920</v>
      </c>
      <c r="B1771" s="6">
        <v>45927</v>
      </c>
      <c r="C1771" s="5" t="s">
        <v>115</v>
      </c>
      <c r="D1771" s="5" t="s">
        <v>45</v>
      </c>
      <c r="E1771" s="5" t="s">
        <v>66</v>
      </c>
      <c r="F1771" s="5" t="s">
        <v>67</v>
      </c>
      <c r="G1771" s="5" t="s">
        <v>17</v>
      </c>
      <c r="H1771" s="5">
        <v>11</v>
      </c>
      <c r="I1771" s="7">
        <v>850.8</v>
      </c>
      <c r="J1771" s="6">
        <v>45936</v>
      </c>
      <c r="K1771">
        <f t="shared" si="27"/>
        <v>9358.7999999999993</v>
      </c>
      <c r="L1771" t="str">
        <f>INDEX(Raw_Shipments!L1771:L4199,MATCH(A1771,Raw_Shipments!B1771:B4199))</f>
        <v>No</v>
      </c>
    </row>
    <row r="1772" spans="1:12" x14ac:dyDescent="0.3">
      <c r="A1772" s="2" t="s">
        <v>1921</v>
      </c>
      <c r="B1772" s="3">
        <v>45927</v>
      </c>
      <c r="C1772" s="2" t="s">
        <v>400</v>
      </c>
      <c r="D1772" s="2" t="s">
        <v>25</v>
      </c>
      <c r="E1772" s="2" t="s">
        <v>97</v>
      </c>
      <c r="F1772" s="2" t="s">
        <v>98</v>
      </c>
      <c r="G1772" s="2" t="s">
        <v>17</v>
      </c>
      <c r="H1772" s="2">
        <v>20</v>
      </c>
      <c r="I1772" s="4">
        <v>1110.6500000000001</v>
      </c>
      <c r="J1772" s="3">
        <v>45934</v>
      </c>
      <c r="K1772">
        <f t="shared" si="27"/>
        <v>22213</v>
      </c>
      <c r="L1772" t="str">
        <f>INDEX(Raw_Shipments!L1772:L4200,MATCH(A1772,Raw_Shipments!B1772:B4200))</f>
        <v>No</v>
      </c>
    </row>
    <row r="1773" spans="1:12" x14ac:dyDescent="0.3">
      <c r="A1773" s="5" t="s">
        <v>1922</v>
      </c>
      <c r="B1773" s="6">
        <v>45927</v>
      </c>
      <c r="C1773" s="5" t="s">
        <v>135</v>
      </c>
      <c r="D1773" s="5" t="s">
        <v>25</v>
      </c>
      <c r="E1773" s="5" t="s">
        <v>20</v>
      </c>
      <c r="F1773" s="5" t="s">
        <v>21</v>
      </c>
      <c r="G1773" s="5" t="s">
        <v>22</v>
      </c>
      <c r="H1773" s="5">
        <v>15</v>
      </c>
      <c r="I1773" s="7">
        <v>2108.56</v>
      </c>
      <c r="J1773" s="6">
        <v>45932</v>
      </c>
      <c r="K1773">
        <f t="shared" si="27"/>
        <v>31628.399999999998</v>
      </c>
      <c r="L1773" t="str">
        <f>INDEX(Raw_Shipments!L1773:L4201,MATCH(A1773,Raw_Shipments!B1773:B4201))</f>
        <v>No</v>
      </c>
    </row>
    <row r="1774" spans="1:12" x14ac:dyDescent="0.3">
      <c r="A1774" s="2" t="s">
        <v>1923</v>
      </c>
      <c r="B1774" s="3">
        <v>45927</v>
      </c>
      <c r="C1774" s="2" t="s">
        <v>220</v>
      </c>
      <c r="D1774" s="2" t="s">
        <v>30</v>
      </c>
      <c r="E1774" s="2" t="s">
        <v>26</v>
      </c>
      <c r="F1774" s="2" t="s">
        <v>27</v>
      </c>
      <c r="G1774" s="2" t="s">
        <v>22</v>
      </c>
      <c r="H1774" s="2">
        <v>11</v>
      </c>
      <c r="I1774" s="4">
        <v>1646.8</v>
      </c>
      <c r="J1774" s="3">
        <v>45934</v>
      </c>
      <c r="K1774">
        <f t="shared" si="27"/>
        <v>18114.8</v>
      </c>
      <c r="L1774" t="str">
        <f>INDEX(Raw_Shipments!L1774:L4202,MATCH(A1774,Raw_Shipments!B1774:B4202))</f>
        <v>Yes</v>
      </c>
    </row>
    <row r="1775" spans="1:12" x14ac:dyDescent="0.3">
      <c r="A1775" s="5" t="s">
        <v>1924</v>
      </c>
      <c r="B1775" s="6">
        <v>45927</v>
      </c>
      <c r="C1775" s="5" t="s">
        <v>89</v>
      </c>
      <c r="D1775" s="5" t="s">
        <v>14</v>
      </c>
      <c r="E1775" s="5" t="s">
        <v>31</v>
      </c>
      <c r="F1775" s="5" t="s">
        <v>32</v>
      </c>
      <c r="G1775" s="5" t="s">
        <v>33</v>
      </c>
      <c r="H1775" s="5">
        <v>24</v>
      </c>
      <c r="I1775" s="7">
        <v>689</v>
      </c>
      <c r="J1775" s="6">
        <v>45935</v>
      </c>
      <c r="K1775">
        <f t="shared" si="27"/>
        <v>16536</v>
      </c>
      <c r="L1775" t="str">
        <f>INDEX(Raw_Shipments!L1775:L4203,MATCH(A1775,Raw_Shipments!B1775:B4203))</f>
        <v>No</v>
      </c>
    </row>
    <row r="1776" spans="1:12" x14ac:dyDescent="0.3">
      <c r="A1776" s="2" t="s">
        <v>1925</v>
      </c>
      <c r="B1776" s="3">
        <v>45927</v>
      </c>
      <c r="C1776" s="2" t="s">
        <v>260</v>
      </c>
      <c r="D1776" s="2" t="s">
        <v>14</v>
      </c>
      <c r="E1776" s="2" t="s">
        <v>36</v>
      </c>
      <c r="F1776" s="2" t="s">
        <v>37</v>
      </c>
      <c r="G1776" s="2" t="s">
        <v>33</v>
      </c>
      <c r="H1776" s="2">
        <v>35</v>
      </c>
      <c r="I1776" s="4">
        <v>1064.79</v>
      </c>
      <c r="J1776" s="3">
        <v>45935</v>
      </c>
      <c r="K1776">
        <f t="shared" si="27"/>
        <v>37267.65</v>
      </c>
      <c r="L1776" t="str">
        <f>INDEX(Raw_Shipments!L1776:L4204,MATCH(A1776,Raw_Shipments!B1776:B4204))</f>
        <v>Yes</v>
      </c>
    </row>
    <row r="1777" spans="1:12" x14ac:dyDescent="0.3">
      <c r="A1777" s="5" t="s">
        <v>1926</v>
      </c>
      <c r="B1777" s="6">
        <v>45927</v>
      </c>
      <c r="C1777" s="5" t="s">
        <v>125</v>
      </c>
      <c r="D1777" s="5" t="s">
        <v>25</v>
      </c>
      <c r="E1777" s="5" t="s">
        <v>86</v>
      </c>
      <c r="F1777" s="5" t="s">
        <v>87</v>
      </c>
      <c r="G1777" s="5" t="s">
        <v>33</v>
      </c>
      <c r="H1777" s="5">
        <v>16</v>
      </c>
      <c r="I1777" s="7">
        <v>815.88</v>
      </c>
      <c r="J1777" s="6">
        <v>45931</v>
      </c>
      <c r="K1777">
        <f t="shared" si="27"/>
        <v>13054.08</v>
      </c>
      <c r="L1777" t="str">
        <f>INDEX(Raw_Shipments!L1777:L4205,MATCH(A1777,Raw_Shipments!B1777:B4205))</f>
        <v>No</v>
      </c>
    </row>
    <row r="1778" spans="1:12" x14ac:dyDescent="0.3">
      <c r="A1778" s="2" t="s">
        <v>1927</v>
      </c>
      <c r="B1778" s="3">
        <v>45927</v>
      </c>
      <c r="C1778" s="2" t="s">
        <v>71</v>
      </c>
      <c r="D1778" s="2" t="s">
        <v>30</v>
      </c>
      <c r="E1778" s="2" t="s">
        <v>46</v>
      </c>
      <c r="F1778" s="2" t="s">
        <v>47</v>
      </c>
      <c r="G1778" s="2" t="s">
        <v>42</v>
      </c>
      <c r="H1778" s="2">
        <v>8</v>
      </c>
      <c r="I1778" s="4">
        <v>1833.14</v>
      </c>
      <c r="J1778" s="3">
        <v>45931</v>
      </c>
      <c r="K1778">
        <f t="shared" si="27"/>
        <v>14665.12</v>
      </c>
      <c r="L1778" t="str">
        <f>INDEX(Raw_Shipments!L1778:L4206,MATCH(A1778,Raw_Shipments!B1778:B4206))</f>
        <v>No</v>
      </c>
    </row>
    <row r="1779" spans="1:12" x14ac:dyDescent="0.3">
      <c r="A1779" s="5" t="s">
        <v>1928</v>
      </c>
      <c r="B1779" s="6">
        <v>45928</v>
      </c>
      <c r="C1779" s="5" t="s">
        <v>208</v>
      </c>
      <c r="D1779" s="5" t="s">
        <v>45</v>
      </c>
      <c r="E1779" s="5" t="s">
        <v>53</v>
      </c>
      <c r="F1779" s="5" t="s">
        <v>54</v>
      </c>
      <c r="G1779" s="5" t="s">
        <v>55</v>
      </c>
      <c r="H1779" s="5">
        <v>40</v>
      </c>
      <c r="I1779" s="7">
        <v>2055.9</v>
      </c>
      <c r="J1779" s="6">
        <v>45934</v>
      </c>
      <c r="K1779">
        <f t="shared" si="27"/>
        <v>82236</v>
      </c>
      <c r="L1779" t="str">
        <f>INDEX(Raw_Shipments!L1779:L4207,MATCH(A1779,Raw_Shipments!B1779:B4207))</f>
        <v>No</v>
      </c>
    </row>
    <row r="1780" spans="1:12" x14ac:dyDescent="0.3">
      <c r="A1780" s="2" t="s">
        <v>1929</v>
      </c>
      <c r="B1780" s="3">
        <v>45928</v>
      </c>
      <c r="C1780" s="2" t="s">
        <v>83</v>
      </c>
      <c r="D1780" s="2" t="s">
        <v>30</v>
      </c>
      <c r="E1780" s="2" t="s">
        <v>62</v>
      </c>
      <c r="F1780" s="2" t="s">
        <v>63</v>
      </c>
      <c r="G1780" s="2" t="s">
        <v>55</v>
      </c>
      <c r="H1780" s="2">
        <v>46</v>
      </c>
      <c r="I1780" s="4">
        <v>2555.2199999999998</v>
      </c>
      <c r="J1780" s="3">
        <v>45935</v>
      </c>
      <c r="K1780">
        <f t="shared" si="27"/>
        <v>117540.12</v>
      </c>
      <c r="L1780" t="str">
        <f>INDEX(Raw_Shipments!L1780:L4208,MATCH(A1780,Raw_Shipments!B1780:B4208))</f>
        <v>No</v>
      </c>
    </row>
    <row r="1781" spans="1:12" x14ac:dyDescent="0.3">
      <c r="A1781" s="5" t="s">
        <v>1930</v>
      </c>
      <c r="B1781" s="6">
        <v>45928</v>
      </c>
      <c r="C1781" s="5" t="s">
        <v>49</v>
      </c>
      <c r="D1781" s="5" t="s">
        <v>14</v>
      </c>
      <c r="E1781" s="5" t="s">
        <v>20</v>
      </c>
      <c r="F1781" s="5" t="s">
        <v>21</v>
      </c>
      <c r="G1781" s="5" t="s">
        <v>22</v>
      </c>
      <c r="H1781" s="5">
        <v>5</v>
      </c>
      <c r="I1781" s="7">
        <v>2108.56</v>
      </c>
      <c r="J1781" s="6">
        <v>45933</v>
      </c>
      <c r="K1781">
        <f t="shared" si="27"/>
        <v>10542.8</v>
      </c>
      <c r="L1781" t="str">
        <f>INDEX(Raw_Shipments!L1781:L4209,MATCH(A1781,Raw_Shipments!B1781:B4209))</f>
        <v>No</v>
      </c>
    </row>
    <row r="1782" spans="1:12" x14ac:dyDescent="0.3">
      <c r="A1782" s="2" t="s">
        <v>1931</v>
      </c>
      <c r="B1782" s="3">
        <v>45928</v>
      </c>
      <c r="C1782" s="2" t="s">
        <v>146</v>
      </c>
      <c r="D1782" s="2" t="s">
        <v>25</v>
      </c>
      <c r="E1782" s="2" t="s">
        <v>119</v>
      </c>
      <c r="F1782" s="2" t="s">
        <v>120</v>
      </c>
      <c r="G1782" s="2" t="s">
        <v>22</v>
      </c>
      <c r="H1782" s="2">
        <v>39</v>
      </c>
      <c r="I1782" s="4">
        <v>912.26</v>
      </c>
      <c r="J1782" s="3">
        <v>45937</v>
      </c>
      <c r="K1782">
        <f t="shared" si="27"/>
        <v>35578.14</v>
      </c>
      <c r="L1782" t="str">
        <f>INDEX(Raw_Shipments!L1782:L4210,MATCH(A1782,Raw_Shipments!B1782:B4210))</f>
        <v>No</v>
      </c>
    </row>
    <row r="1783" spans="1:12" x14ac:dyDescent="0.3">
      <c r="A1783" s="5" t="s">
        <v>1932</v>
      </c>
      <c r="B1783" s="6">
        <v>45928</v>
      </c>
      <c r="C1783" s="5" t="s">
        <v>113</v>
      </c>
      <c r="D1783" s="5" t="s">
        <v>14</v>
      </c>
      <c r="E1783" s="5" t="s">
        <v>40</v>
      </c>
      <c r="F1783" s="5" t="s">
        <v>41</v>
      </c>
      <c r="G1783" s="5" t="s">
        <v>42</v>
      </c>
      <c r="H1783" s="5">
        <v>30</v>
      </c>
      <c r="I1783" s="7">
        <v>2445.11</v>
      </c>
      <c r="J1783" s="6">
        <v>45931</v>
      </c>
      <c r="K1783">
        <f t="shared" si="27"/>
        <v>73353.3</v>
      </c>
      <c r="L1783" t="str">
        <f>INDEX(Raw_Shipments!L1783:L4211,MATCH(A1783,Raw_Shipments!B1783:B4211))</f>
        <v>No</v>
      </c>
    </row>
    <row r="1784" spans="1:12" x14ac:dyDescent="0.3">
      <c r="A1784" s="2" t="s">
        <v>1933</v>
      </c>
      <c r="B1784" s="3">
        <v>45928</v>
      </c>
      <c r="C1784" s="2" t="s">
        <v>220</v>
      </c>
      <c r="D1784" s="2" t="s">
        <v>45</v>
      </c>
      <c r="E1784" s="2" t="s">
        <v>46</v>
      </c>
      <c r="F1784" s="2" t="s">
        <v>47</v>
      </c>
      <c r="G1784" s="2" t="s">
        <v>42</v>
      </c>
      <c r="H1784" s="2">
        <v>6</v>
      </c>
      <c r="I1784" s="4">
        <v>1833.14</v>
      </c>
      <c r="J1784" s="3">
        <v>45933</v>
      </c>
      <c r="K1784">
        <f t="shared" si="27"/>
        <v>10998.84</v>
      </c>
      <c r="L1784" t="str">
        <f>INDEX(Raw_Shipments!L1784:L4212,MATCH(A1784,Raw_Shipments!B1784:B4212))</f>
        <v>No</v>
      </c>
    </row>
    <row r="1785" spans="1:12" x14ac:dyDescent="0.3">
      <c r="A1785" s="5" t="s">
        <v>1934</v>
      </c>
      <c r="B1785" s="6">
        <v>45928</v>
      </c>
      <c r="C1785" s="5" t="s">
        <v>158</v>
      </c>
      <c r="D1785" s="5" t="s">
        <v>30</v>
      </c>
      <c r="E1785" s="5" t="s">
        <v>50</v>
      </c>
      <c r="F1785" s="5" t="s">
        <v>51</v>
      </c>
      <c r="G1785" s="5" t="s">
        <v>42</v>
      </c>
      <c r="H1785" s="5">
        <v>7</v>
      </c>
      <c r="I1785" s="7">
        <v>1952.28</v>
      </c>
      <c r="J1785" s="6">
        <v>45931</v>
      </c>
      <c r="K1785">
        <f t="shared" si="27"/>
        <v>13665.96</v>
      </c>
      <c r="L1785" t="str">
        <f>INDEX(Raw_Shipments!L1785:L4213,MATCH(A1785,Raw_Shipments!B1785:B4213))</f>
        <v>No</v>
      </c>
    </row>
    <row r="1786" spans="1:12" x14ac:dyDescent="0.3">
      <c r="A1786" s="2" t="s">
        <v>1935</v>
      </c>
      <c r="B1786" s="3">
        <v>45929</v>
      </c>
      <c r="C1786" s="2" t="s">
        <v>262</v>
      </c>
      <c r="D1786" s="2" t="s">
        <v>30</v>
      </c>
      <c r="E1786" s="2" t="s">
        <v>53</v>
      </c>
      <c r="F1786" s="2" t="s">
        <v>54</v>
      </c>
      <c r="G1786" s="2" t="s">
        <v>55</v>
      </c>
      <c r="H1786" s="2">
        <v>23</v>
      </c>
      <c r="I1786" s="4">
        <v>2055.9</v>
      </c>
      <c r="J1786" s="3">
        <v>45933</v>
      </c>
      <c r="K1786">
        <f t="shared" si="27"/>
        <v>47285.700000000004</v>
      </c>
      <c r="L1786" t="str">
        <f>INDEX(Raw_Shipments!L1786:L4214,MATCH(A1786,Raw_Shipments!B1786:B4214))</f>
        <v>No</v>
      </c>
    </row>
    <row r="1787" spans="1:12" x14ac:dyDescent="0.3">
      <c r="A1787" s="5" t="s">
        <v>1936</v>
      </c>
      <c r="B1787" s="6">
        <v>45929</v>
      </c>
      <c r="C1787" s="5" t="s">
        <v>172</v>
      </c>
      <c r="D1787" s="5" t="s">
        <v>30</v>
      </c>
      <c r="E1787" s="5" t="s">
        <v>58</v>
      </c>
      <c r="F1787" s="5" t="s">
        <v>59</v>
      </c>
      <c r="G1787" s="5" t="s">
        <v>55</v>
      </c>
      <c r="H1787" s="5">
        <v>18</v>
      </c>
      <c r="I1787" s="7">
        <v>1695.1</v>
      </c>
      <c r="J1787" s="6">
        <v>45938</v>
      </c>
      <c r="K1787">
        <f t="shared" si="27"/>
        <v>30511.8</v>
      </c>
      <c r="L1787" t="str">
        <f>INDEX(Raw_Shipments!L1787:L4215,MATCH(A1787,Raw_Shipments!B1787:B4215))</f>
        <v>No</v>
      </c>
    </row>
    <row r="1788" spans="1:12" x14ac:dyDescent="0.3">
      <c r="A1788" s="2" t="s">
        <v>1937</v>
      </c>
      <c r="B1788" s="3">
        <v>45929</v>
      </c>
      <c r="C1788" s="2" t="s">
        <v>312</v>
      </c>
      <c r="D1788" s="2" t="s">
        <v>14</v>
      </c>
      <c r="E1788" s="2" t="s">
        <v>62</v>
      </c>
      <c r="F1788" s="2" t="s">
        <v>63</v>
      </c>
      <c r="G1788" s="2" t="s">
        <v>55</v>
      </c>
      <c r="H1788" s="2">
        <v>41</v>
      </c>
      <c r="I1788" s="4">
        <v>2555.2199999999998</v>
      </c>
      <c r="J1788" s="3">
        <v>45933</v>
      </c>
      <c r="K1788">
        <f t="shared" si="27"/>
        <v>104764.01999999999</v>
      </c>
      <c r="L1788" t="str">
        <f>INDEX(Raw_Shipments!L1788:L4216,MATCH(A1788,Raw_Shipments!B1788:B4216))</f>
        <v>No</v>
      </c>
    </row>
    <row r="1789" spans="1:12" x14ac:dyDescent="0.3">
      <c r="A1789" s="5" t="s">
        <v>1938</v>
      </c>
      <c r="B1789" s="6">
        <v>45929</v>
      </c>
      <c r="C1789" s="5" t="s">
        <v>107</v>
      </c>
      <c r="D1789" s="5" t="s">
        <v>45</v>
      </c>
      <c r="E1789" s="5" t="s">
        <v>46</v>
      </c>
      <c r="F1789" s="5" t="s">
        <v>47</v>
      </c>
      <c r="G1789" s="5" t="s">
        <v>42</v>
      </c>
      <c r="H1789" s="5">
        <v>5</v>
      </c>
      <c r="I1789" s="7">
        <v>1833.14</v>
      </c>
      <c r="J1789" s="6">
        <v>45937</v>
      </c>
      <c r="K1789">
        <f t="shared" si="27"/>
        <v>9165.7000000000007</v>
      </c>
      <c r="L1789" t="str">
        <f>INDEX(Raw_Shipments!L1789:L4217,MATCH(A1789,Raw_Shipments!B1789:B4217))</f>
        <v>No</v>
      </c>
    </row>
    <row r="1790" spans="1:12" x14ac:dyDescent="0.3">
      <c r="A1790" s="2" t="s">
        <v>1939</v>
      </c>
      <c r="B1790" s="3">
        <v>45930</v>
      </c>
      <c r="C1790" s="2" t="s">
        <v>111</v>
      </c>
      <c r="D1790" s="2" t="s">
        <v>25</v>
      </c>
      <c r="E1790" s="2" t="s">
        <v>62</v>
      </c>
      <c r="F1790" s="2" t="s">
        <v>63</v>
      </c>
      <c r="G1790" s="2" t="s">
        <v>55</v>
      </c>
      <c r="H1790" s="2">
        <v>20</v>
      </c>
      <c r="I1790" s="4">
        <v>2555.2199999999998</v>
      </c>
      <c r="J1790" s="3">
        <v>45936</v>
      </c>
      <c r="K1790">
        <f t="shared" si="27"/>
        <v>51104.399999999994</v>
      </c>
      <c r="L1790" t="str">
        <f>INDEX(Raw_Shipments!L1790:L4218,MATCH(A1790,Raw_Shipments!B1790:B4218))</f>
        <v>No</v>
      </c>
    </row>
    <row r="1791" spans="1:12" x14ac:dyDescent="0.3">
      <c r="A1791" s="5" t="s">
        <v>1940</v>
      </c>
      <c r="B1791" s="6">
        <v>45930</v>
      </c>
      <c r="C1791" s="5" t="s">
        <v>595</v>
      </c>
      <c r="D1791" s="5" t="s">
        <v>30</v>
      </c>
      <c r="E1791" s="5" t="s">
        <v>66</v>
      </c>
      <c r="F1791" s="5" t="s">
        <v>67</v>
      </c>
      <c r="G1791" s="5" t="s">
        <v>17</v>
      </c>
      <c r="H1791" s="5">
        <v>17</v>
      </c>
      <c r="I1791" s="7">
        <v>850.8</v>
      </c>
      <c r="J1791" s="6">
        <v>45933</v>
      </c>
      <c r="K1791">
        <f t="shared" si="27"/>
        <v>14463.599999999999</v>
      </c>
      <c r="L1791" t="str">
        <f>INDEX(Raw_Shipments!L1791:L4219,MATCH(A1791,Raw_Shipments!B1791:B4219))</f>
        <v>No</v>
      </c>
    </row>
    <row r="1792" spans="1:12" x14ac:dyDescent="0.3">
      <c r="A1792" s="2" t="s">
        <v>1941</v>
      </c>
      <c r="B1792" s="3">
        <v>45930</v>
      </c>
      <c r="C1792" s="2" t="s">
        <v>229</v>
      </c>
      <c r="D1792" s="2" t="s">
        <v>25</v>
      </c>
      <c r="E1792" s="2" t="s">
        <v>97</v>
      </c>
      <c r="F1792" s="2" t="s">
        <v>98</v>
      </c>
      <c r="G1792" s="2" t="s">
        <v>17</v>
      </c>
      <c r="H1792" s="2">
        <v>31</v>
      </c>
      <c r="I1792" s="4">
        <v>1110.6500000000001</v>
      </c>
      <c r="J1792" s="3">
        <v>45938</v>
      </c>
      <c r="K1792">
        <f t="shared" si="27"/>
        <v>34430.15</v>
      </c>
      <c r="L1792" t="str">
        <f>INDEX(Raw_Shipments!L1792:L4220,MATCH(A1792,Raw_Shipments!B1792:B4220))</f>
        <v>No</v>
      </c>
    </row>
    <row r="1793" spans="1:12" x14ac:dyDescent="0.3">
      <c r="A1793" s="5" t="s">
        <v>1942</v>
      </c>
      <c r="B1793" s="6">
        <v>45930</v>
      </c>
      <c r="C1793" s="5" t="s">
        <v>24</v>
      </c>
      <c r="D1793" s="5" t="s">
        <v>25</v>
      </c>
      <c r="E1793" s="5" t="s">
        <v>119</v>
      </c>
      <c r="F1793" s="5" t="s">
        <v>120</v>
      </c>
      <c r="G1793" s="5" t="s">
        <v>22</v>
      </c>
      <c r="H1793" s="5">
        <v>57</v>
      </c>
      <c r="I1793" s="7">
        <v>912.26</v>
      </c>
      <c r="J1793" s="6">
        <v>45937</v>
      </c>
      <c r="K1793">
        <f t="shared" si="27"/>
        <v>51998.82</v>
      </c>
      <c r="L1793" t="str">
        <f>INDEX(Raw_Shipments!L1793:L4221,MATCH(A1793,Raw_Shipments!B1793:B4221))</f>
        <v>Yes</v>
      </c>
    </row>
    <row r="1794" spans="1:12" x14ac:dyDescent="0.3">
      <c r="A1794" s="2" t="s">
        <v>1943</v>
      </c>
      <c r="B1794" s="3">
        <v>45930</v>
      </c>
      <c r="C1794" s="2" t="s">
        <v>447</v>
      </c>
      <c r="D1794" s="2" t="s">
        <v>45</v>
      </c>
      <c r="E1794" s="2" t="s">
        <v>31</v>
      </c>
      <c r="F1794" s="2" t="s">
        <v>32</v>
      </c>
      <c r="G1794" s="2" t="s">
        <v>33</v>
      </c>
      <c r="H1794" s="2">
        <v>59</v>
      </c>
      <c r="I1794" s="4">
        <v>689</v>
      </c>
      <c r="J1794" s="3">
        <v>45937</v>
      </c>
      <c r="K1794">
        <f t="shared" si="27"/>
        <v>40651</v>
      </c>
      <c r="L1794" t="str">
        <f>INDEX(Raw_Shipments!L1794:L4222,MATCH(A1794,Raw_Shipments!B1794:B4222))</f>
        <v>Yes</v>
      </c>
    </row>
    <row r="1795" spans="1:12" x14ac:dyDescent="0.3">
      <c r="A1795" s="5" t="s">
        <v>1944</v>
      </c>
      <c r="B1795" s="6">
        <v>45931</v>
      </c>
      <c r="C1795" s="5" t="s">
        <v>85</v>
      </c>
      <c r="D1795" s="5" t="s">
        <v>14</v>
      </c>
      <c r="E1795" s="5" t="s">
        <v>20</v>
      </c>
      <c r="F1795" s="5" t="s">
        <v>21</v>
      </c>
      <c r="G1795" s="5" t="s">
        <v>22</v>
      </c>
      <c r="H1795" s="5">
        <v>17</v>
      </c>
      <c r="I1795" s="7">
        <v>2108.56</v>
      </c>
      <c r="J1795" s="6">
        <v>45934</v>
      </c>
      <c r="K1795">
        <f t="shared" ref="K1795:K1858" si="28">I1795*H1795</f>
        <v>35845.519999999997</v>
      </c>
      <c r="L1795" t="str">
        <f>INDEX(Raw_Shipments!L1795:L4223,MATCH(A1795,Raw_Shipments!B1795:B4223))</f>
        <v>No</v>
      </c>
    </row>
    <row r="1796" spans="1:12" x14ac:dyDescent="0.3">
      <c r="A1796" s="2" t="s">
        <v>1945</v>
      </c>
      <c r="B1796" s="3">
        <v>45931</v>
      </c>
      <c r="C1796" s="2" t="s">
        <v>71</v>
      </c>
      <c r="D1796" s="2" t="s">
        <v>30</v>
      </c>
      <c r="E1796" s="2" t="s">
        <v>26</v>
      </c>
      <c r="F1796" s="2" t="s">
        <v>27</v>
      </c>
      <c r="G1796" s="2" t="s">
        <v>22</v>
      </c>
      <c r="H1796" s="2">
        <v>26</v>
      </c>
      <c r="I1796" s="4">
        <v>1646.8</v>
      </c>
      <c r="J1796" s="3">
        <v>45935</v>
      </c>
      <c r="K1796">
        <f t="shared" si="28"/>
        <v>42816.799999999996</v>
      </c>
      <c r="L1796" t="str">
        <f>INDEX(Raw_Shipments!L1796:L4224,MATCH(A1796,Raw_Shipments!B1796:B4224))</f>
        <v>No</v>
      </c>
    </row>
    <row r="1797" spans="1:12" x14ac:dyDescent="0.3">
      <c r="A1797" s="5" t="s">
        <v>1946</v>
      </c>
      <c r="B1797" s="6">
        <v>45931</v>
      </c>
      <c r="C1797" s="5" t="s">
        <v>234</v>
      </c>
      <c r="D1797" s="5" t="s">
        <v>25</v>
      </c>
      <c r="E1797" s="5" t="s">
        <v>36</v>
      </c>
      <c r="F1797" s="5" t="s">
        <v>37</v>
      </c>
      <c r="G1797" s="5" t="s">
        <v>33</v>
      </c>
      <c r="H1797" s="5">
        <v>42</v>
      </c>
      <c r="I1797" s="7">
        <v>1064.79</v>
      </c>
      <c r="J1797" s="6">
        <v>45935</v>
      </c>
      <c r="K1797">
        <f t="shared" si="28"/>
        <v>44721.18</v>
      </c>
      <c r="L1797" t="str">
        <f>INDEX(Raw_Shipments!L1797:L4225,MATCH(A1797,Raw_Shipments!B1797:B4225))</f>
        <v>No</v>
      </c>
    </row>
    <row r="1798" spans="1:12" x14ac:dyDescent="0.3">
      <c r="A1798" s="2" t="s">
        <v>1947</v>
      </c>
      <c r="B1798" s="3">
        <v>45931</v>
      </c>
      <c r="C1798" s="2" t="s">
        <v>172</v>
      </c>
      <c r="D1798" s="2" t="s">
        <v>14</v>
      </c>
      <c r="E1798" s="2" t="s">
        <v>40</v>
      </c>
      <c r="F1798" s="2" t="s">
        <v>41</v>
      </c>
      <c r="G1798" s="2" t="s">
        <v>42</v>
      </c>
      <c r="H1798" s="2">
        <v>30</v>
      </c>
      <c r="I1798" s="4">
        <v>2445.11</v>
      </c>
      <c r="J1798" s="3">
        <v>45939</v>
      </c>
      <c r="K1798">
        <f t="shared" si="28"/>
        <v>73353.3</v>
      </c>
      <c r="L1798" t="str">
        <f>INDEX(Raw_Shipments!L1798:L4226,MATCH(A1798,Raw_Shipments!B1798:B4226))</f>
        <v>No</v>
      </c>
    </row>
    <row r="1799" spans="1:12" x14ac:dyDescent="0.3">
      <c r="A1799" s="5" t="s">
        <v>1948</v>
      </c>
      <c r="B1799" s="6">
        <v>45932</v>
      </c>
      <c r="C1799" s="5" t="s">
        <v>222</v>
      </c>
      <c r="D1799" s="5" t="s">
        <v>14</v>
      </c>
      <c r="E1799" s="5" t="s">
        <v>66</v>
      </c>
      <c r="F1799" s="5" t="s">
        <v>67</v>
      </c>
      <c r="G1799" s="5" t="s">
        <v>17</v>
      </c>
      <c r="H1799" s="5">
        <v>16</v>
      </c>
      <c r="I1799" s="7">
        <v>850.8</v>
      </c>
      <c r="J1799" s="6">
        <v>45935</v>
      </c>
      <c r="K1799">
        <f t="shared" si="28"/>
        <v>13612.8</v>
      </c>
      <c r="L1799" t="str">
        <f>INDEX(Raw_Shipments!L1799:L4227,MATCH(A1799,Raw_Shipments!B1799:B4227))</f>
        <v>No</v>
      </c>
    </row>
    <row r="1800" spans="1:12" x14ac:dyDescent="0.3">
      <c r="A1800" s="2" t="s">
        <v>1949</v>
      </c>
      <c r="B1800" s="3">
        <v>45932</v>
      </c>
      <c r="C1800" s="2" t="s">
        <v>363</v>
      </c>
      <c r="D1800" s="2" t="s">
        <v>30</v>
      </c>
      <c r="E1800" s="2" t="s">
        <v>119</v>
      </c>
      <c r="F1800" s="2" t="s">
        <v>120</v>
      </c>
      <c r="G1800" s="2" t="s">
        <v>22</v>
      </c>
      <c r="H1800" s="2">
        <v>37</v>
      </c>
      <c r="I1800" s="4">
        <v>912.26</v>
      </c>
      <c r="J1800" s="3">
        <v>45938</v>
      </c>
      <c r="K1800">
        <f t="shared" si="28"/>
        <v>33753.620000000003</v>
      </c>
      <c r="L1800" t="str">
        <f>INDEX(Raw_Shipments!L1800:L4228,MATCH(A1800,Raw_Shipments!B1800:B4228))</f>
        <v>No</v>
      </c>
    </row>
    <row r="1801" spans="1:12" x14ac:dyDescent="0.3">
      <c r="A1801" s="5" t="s">
        <v>1950</v>
      </c>
      <c r="B1801" s="6">
        <v>45932</v>
      </c>
      <c r="C1801" s="5" t="s">
        <v>318</v>
      </c>
      <c r="D1801" s="5" t="s">
        <v>25</v>
      </c>
      <c r="E1801" s="5" t="s">
        <v>26</v>
      </c>
      <c r="F1801" s="5" t="s">
        <v>27</v>
      </c>
      <c r="G1801" s="5" t="s">
        <v>22</v>
      </c>
      <c r="H1801" s="5">
        <v>26</v>
      </c>
      <c r="I1801" s="7">
        <v>1646.8</v>
      </c>
      <c r="J1801" s="6">
        <v>45935</v>
      </c>
      <c r="K1801">
        <f t="shared" si="28"/>
        <v>42816.799999999996</v>
      </c>
      <c r="L1801" t="str">
        <f>INDEX(Raw_Shipments!L1801:L4229,MATCH(A1801,Raw_Shipments!B1801:B4229))</f>
        <v>No</v>
      </c>
    </row>
    <row r="1802" spans="1:12" x14ac:dyDescent="0.3">
      <c r="A1802" s="2" t="s">
        <v>1951</v>
      </c>
      <c r="B1802" s="3">
        <v>45932</v>
      </c>
      <c r="C1802" s="2" t="s">
        <v>195</v>
      </c>
      <c r="D1802" s="2" t="s">
        <v>30</v>
      </c>
      <c r="E1802" s="2" t="s">
        <v>36</v>
      </c>
      <c r="F1802" s="2" t="s">
        <v>37</v>
      </c>
      <c r="G1802" s="2" t="s">
        <v>33</v>
      </c>
      <c r="H1802" s="2">
        <v>17</v>
      </c>
      <c r="I1802" s="4">
        <v>1064.79</v>
      </c>
      <c r="J1802" s="3">
        <v>45936</v>
      </c>
      <c r="K1802">
        <f t="shared" si="28"/>
        <v>18101.43</v>
      </c>
      <c r="L1802" t="str">
        <f>INDEX(Raw_Shipments!L1802:L4230,MATCH(A1802,Raw_Shipments!B1802:B4230))</f>
        <v>No</v>
      </c>
    </row>
    <row r="1803" spans="1:12" x14ac:dyDescent="0.3">
      <c r="A1803" s="5" t="s">
        <v>1952</v>
      </c>
      <c r="B1803" s="6">
        <v>45932</v>
      </c>
      <c r="C1803" s="5" t="s">
        <v>420</v>
      </c>
      <c r="D1803" s="5" t="s">
        <v>45</v>
      </c>
      <c r="E1803" s="5" t="s">
        <v>86</v>
      </c>
      <c r="F1803" s="5" t="s">
        <v>87</v>
      </c>
      <c r="G1803" s="5" t="s">
        <v>33</v>
      </c>
      <c r="H1803" s="5">
        <v>37</v>
      </c>
      <c r="I1803" s="7">
        <v>815.88</v>
      </c>
      <c r="J1803" s="6">
        <v>45936</v>
      </c>
      <c r="K1803">
        <f t="shared" si="28"/>
        <v>30187.56</v>
      </c>
      <c r="L1803" t="str">
        <f>INDEX(Raw_Shipments!L1803:L4231,MATCH(A1803,Raw_Shipments!B1803:B4231))</f>
        <v>No</v>
      </c>
    </row>
    <row r="1804" spans="1:12" x14ac:dyDescent="0.3">
      <c r="A1804" s="2" t="s">
        <v>1953</v>
      </c>
      <c r="B1804" s="3">
        <v>45932</v>
      </c>
      <c r="C1804" s="2" t="s">
        <v>170</v>
      </c>
      <c r="D1804" s="2" t="s">
        <v>14</v>
      </c>
      <c r="E1804" s="2" t="s">
        <v>40</v>
      </c>
      <c r="F1804" s="2" t="s">
        <v>41</v>
      </c>
      <c r="G1804" s="2" t="s">
        <v>42</v>
      </c>
      <c r="H1804" s="2">
        <v>8</v>
      </c>
      <c r="I1804" s="4">
        <v>2445.11</v>
      </c>
      <c r="J1804" s="3">
        <v>45937</v>
      </c>
      <c r="K1804">
        <f t="shared" si="28"/>
        <v>19560.88</v>
      </c>
      <c r="L1804" t="str">
        <f>INDEX(Raw_Shipments!L1804:L4232,MATCH(A1804,Raw_Shipments!B1804:B4232))</f>
        <v>No</v>
      </c>
    </row>
    <row r="1805" spans="1:12" x14ac:dyDescent="0.3">
      <c r="A1805" s="5" t="s">
        <v>1954</v>
      </c>
      <c r="B1805" s="6">
        <v>45933</v>
      </c>
      <c r="C1805" s="5" t="s">
        <v>89</v>
      </c>
      <c r="D1805" s="5" t="s">
        <v>14</v>
      </c>
      <c r="E1805" s="5" t="s">
        <v>62</v>
      </c>
      <c r="F1805" s="5" t="s">
        <v>63</v>
      </c>
      <c r="G1805" s="5" t="s">
        <v>55</v>
      </c>
      <c r="H1805" s="5">
        <v>22</v>
      </c>
      <c r="I1805" s="7">
        <v>2555.2199999999998</v>
      </c>
      <c r="J1805" s="6">
        <v>45939</v>
      </c>
      <c r="K1805">
        <f t="shared" si="28"/>
        <v>56214.84</v>
      </c>
      <c r="L1805" t="str">
        <f>INDEX(Raw_Shipments!L1805:L4233,MATCH(A1805,Raw_Shipments!B1805:B4233))</f>
        <v>No</v>
      </c>
    </row>
    <row r="1806" spans="1:12" x14ac:dyDescent="0.3">
      <c r="A1806" s="2" t="s">
        <v>1955</v>
      </c>
      <c r="B1806" s="3">
        <v>45933</v>
      </c>
      <c r="C1806" s="2" t="s">
        <v>158</v>
      </c>
      <c r="D1806" s="2" t="s">
        <v>25</v>
      </c>
      <c r="E1806" s="2" t="s">
        <v>66</v>
      </c>
      <c r="F1806" s="2" t="s">
        <v>67</v>
      </c>
      <c r="G1806" s="2" t="s">
        <v>17</v>
      </c>
      <c r="H1806" s="2">
        <v>13</v>
      </c>
      <c r="I1806" s="4">
        <v>850.8</v>
      </c>
      <c r="J1806" s="3">
        <v>45940</v>
      </c>
      <c r="K1806">
        <f t="shared" si="28"/>
        <v>11060.4</v>
      </c>
      <c r="L1806" t="str">
        <f>INDEX(Raw_Shipments!L1806:L4234,MATCH(A1806,Raw_Shipments!B1806:B4234))</f>
        <v>No</v>
      </c>
    </row>
    <row r="1807" spans="1:12" x14ac:dyDescent="0.3">
      <c r="A1807" s="5" t="s">
        <v>1956</v>
      </c>
      <c r="B1807" s="6">
        <v>45933</v>
      </c>
      <c r="C1807" s="5" t="s">
        <v>203</v>
      </c>
      <c r="D1807" s="5" t="s">
        <v>14</v>
      </c>
      <c r="E1807" s="5" t="s">
        <v>97</v>
      </c>
      <c r="F1807" s="5" t="s">
        <v>98</v>
      </c>
      <c r="G1807" s="5" t="s">
        <v>17</v>
      </c>
      <c r="H1807" s="5">
        <v>40</v>
      </c>
      <c r="I1807" s="7">
        <v>1110.6500000000001</v>
      </c>
      <c r="J1807" s="6">
        <v>45939</v>
      </c>
      <c r="K1807">
        <f t="shared" si="28"/>
        <v>44426</v>
      </c>
      <c r="L1807" t="str">
        <f>INDEX(Raw_Shipments!L1807:L4235,MATCH(A1807,Raw_Shipments!B1807:B4235))</f>
        <v>No</v>
      </c>
    </row>
    <row r="1808" spans="1:12" x14ac:dyDescent="0.3">
      <c r="A1808" s="2" t="s">
        <v>1957</v>
      </c>
      <c r="B1808" s="3">
        <v>45933</v>
      </c>
      <c r="C1808" s="2" t="s">
        <v>250</v>
      </c>
      <c r="D1808" s="2" t="s">
        <v>30</v>
      </c>
      <c r="E1808" s="2" t="s">
        <v>15</v>
      </c>
      <c r="F1808" s="2" t="s">
        <v>16</v>
      </c>
      <c r="G1808" s="2" t="s">
        <v>17</v>
      </c>
      <c r="H1808" s="2">
        <v>14</v>
      </c>
      <c r="I1808" s="4">
        <v>183.06</v>
      </c>
      <c r="J1808" s="3">
        <v>45940</v>
      </c>
      <c r="K1808">
        <f t="shared" si="28"/>
        <v>2562.84</v>
      </c>
      <c r="L1808" t="str">
        <f>INDEX(Raw_Shipments!L1808:L4236,MATCH(A1808,Raw_Shipments!B1808:B4236))</f>
        <v>Yes</v>
      </c>
    </row>
    <row r="1809" spans="1:12" x14ac:dyDescent="0.3">
      <c r="A1809" s="5" t="s">
        <v>1958</v>
      </c>
      <c r="B1809" s="6">
        <v>45933</v>
      </c>
      <c r="C1809" s="5" t="s">
        <v>208</v>
      </c>
      <c r="D1809" s="5" t="s">
        <v>30</v>
      </c>
      <c r="E1809" s="5" t="s">
        <v>20</v>
      </c>
      <c r="F1809" s="5" t="s">
        <v>21</v>
      </c>
      <c r="G1809" s="5" t="s">
        <v>22</v>
      </c>
      <c r="H1809" s="5">
        <v>26</v>
      </c>
      <c r="I1809" s="7">
        <v>2108.56</v>
      </c>
      <c r="J1809" s="6">
        <v>45941</v>
      </c>
      <c r="K1809">
        <f t="shared" si="28"/>
        <v>54822.559999999998</v>
      </c>
      <c r="L1809" t="str">
        <f>INDEX(Raw_Shipments!L1809:L4237,MATCH(A1809,Raw_Shipments!B1809:B4237))</f>
        <v>No</v>
      </c>
    </row>
    <row r="1810" spans="1:12" x14ac:dyDescent="0.3">
      <c r="A1810" s="2" t="s">
        <v>1959</v>
      </c>
      <c r="B1810" s="3">
        <v>45933</v>
      </c>
      <c r="C1810" s="2" t="s">
        <v>152</v>
      </c>
      <c r="D1810" s="2" t="s">
        <v>14</v>
      </c>
      <c r="E1810" s="2" t="s">
        <v>31</v>
      </c>
      <c r="F1810" s="2" t="s">
        <v>32</v>
      </c>
      <c r="G1810" s="2" t="s">
        <v>33</v>
      </c>
      <c r="H1810" s="2">
        <v>68</v>
      </c>
      <c r="I1810" s="4">
        <v>689</v>
      </c>
      <c r="J1810" s="3">
        <v>45938</v>
      </c>
      <c r="K1810">
        <f t="shared" si="28"/>
        <v>46852</v>
      </c>
      <c r="L1810" t="str">
        <f>INDEX(Raw_Shipments!L1810:L4238,MATCH(A1810,Raw_Shipments!B1810:B4238))</f>
        <v>No</v>
      </c>
    </row>
    <row r="1811" spans="1:12" x14ac:dyDescent="0.3">
      <c r="A1811" s="5" t="s">
        <v>1960</v>
      </c>
      <c r="B1811" s="6">
        <v>45933</v>
      </c>
      <c r="C1811" s="5" t="s">
        <v>131</v>
      </c>
      <c r="D1811" s="5" t="s">
        <v>25</v>
      </c>
      <c r="E1811" s="5" t="s">
        <v>86</v>
      </c>
      <c r="F1811" s="5" t="s">
        <v>87</v>
      </c>
      <c r="G1811" s="5" t="s">
        <v>33</v>
      </c>
      <c r="H1811" s="5">
        <v>28</v>
      </c>
      <c r="I1811" s="7">
        <v>815.88</v>
      </c>
      <c r="J1811" s="6">
        <v>45940</v>
      </c>
      <c r="K1811">
        <f t="shared" si="28"/>
        <v>22844.639999999999</v>
      </c>
      <c r="L1811" t="str">
        <f>INDEX(Raw_Shipments!L1811:L4239,MATCH(A1811,Raw_Shipments!B1811:B4239))</f>
        <v>No</v>
      </c>
    </row>
    <row r="1812" spans="1:12" x14ac:dyDescent="0.3">
      <c r="A1812" s="2" t="s">
        <v>1961</v>
      </c>
      <c r="B1812" s="3">
        <v>45934</v>
      </c>
      <c r="C1812" s="2" t="s">
        <v>77</v>
      </c>
      <c r="D1812" s="2" t="s">
        <v>45</v>
      </c>
      <c r="E1812" s="2" t="s">
        <v>58</v>
      </c>
      <c r="F1812" s="2" t="s">
        <v>59</v>
      </c>
      <c r="G1812" s="2" t="s">
        <v>55</v>
      </c>
      <c r="H1812" s="2">
        <v>22</v>
      </c>
      <c r="I1812" s="4">
        <v>1695.1</v>
      </c>
      <c r="J1812" s="3">
        <v>45944</v>
      </c>
      <c r="K1812">
        <f t="shared" si="28"/>
        <v>37292.199999999997</v>
      </c>
      <c r="L1812" t="str">
        <f>INDEX(Raw_Shipments!L1812:L4240,MATCH(A1812,Raw_Shipments!B1812:B4240))</f>
        <v>No</v>
      </c>
    </row>
    <row r="1813" spans="1:12" x14ac:dyDescent="0.3">
      <c r="A1813" s="5" t="s">
        <v>1962</v>
      </c>
      <c r="B1813" s="6">
        <v>45934</v>
      </c>
      <c r="C1813" s="5" t="s">
        <v>39</v>
      </c>
      <c r="D1813" s="5" t="s">
        <v>45</v>
      </c>
      <c r="E1813" s="5" t="s">
        <v>119</v>
      </c>
      <c r="F1813" s="5" t="s">
        <v>120</v>
      </c>
      <c r="G1813" s="5" t="s">
        <v>22</v>
      </c>
      <c r="H1813" s="5">
        <v>37</v>
      </c>
      <c r="I1813" s="7">
        <v>912.26</v>
      </c>
      <c r="J1813" s="6">
        <v>45943</v>
      </c>
      <c r="K1813">
        <f t="shared" si="28"/>
        <v>33753.620000000003</v>
      </c>
      <c r="L1813" t="str">
        <f>INDEX(Raw_Shipments!L1813:L4241,MATCH(A1813,Raw_Shipments!B1813:B4241))</f>
        <v>No</v>
      </c>
    </row>
    <row r="1814" spans="1:12" x14ac:dyDescent="0.3">
      <c r="A1814" s="2" t="s">
        <v>1963</v>
      </c>
      <c r="B1814" s="3">
        <v>45934</v>
      </c>
      <c r="C1814" s="2" t="s">
        <v>96</v>
      </c>
      <c r="D1814" s="2" t="s">
        <v>30</v>
      </c>
      <c r="E1814" s="2" t="s">
        <v>26</v>
      </c>
      <c r="F1814" s="2" t="s">
        <v>27</v>
      </c>
      <c r="G1814" s="2" t="s">
        <v>22</v>
      </c>
      <c r="H1814" s="2">
        <v>30</v>
      </c>
      <c r="I1814" s="4">
        <v>1646.8</v>
      </c>
      <c r="J1814" s="3">
        <v>45937</v>
      </c>
      <c r="K1814">
        <f t="shared" si="28"/>
        <v>49404</v>
      </c>
      <c r="L1814" t="str">
        <f>INDEX(Raw_Shipments!L1814:L4242,MATCH(A1814,Raw_Shipments!B1814:B4242))</f>
        <v>No</v>
      </c>
    </row>
    <row r="1815" spans="1:12" x14ac:dyDescent="0.3">
      <c r="A1815" s="5" t="s">
        <v>1964</v>
      </c>
      <c r="B1815" s="6">
        <v>45934</v>
      </c>
      <c r="C1815" s="5" t="s">
        <v>420</v>
      </c>
      <c r="D1815" s="5" t="s">
        <v>25</v>
      </c>
      <c r="E1815" s="5" t="s">
        <v>36</v>
      </c>
      <c r="F1815" s="5" t="s">
        <v>37</v>
      </c>
      <c r="G1815" s="5" t="s">
        <v>33</v>
      </c>
      <c r="H1815" s="5">
        <v>58</v>
      </c>
      <c r="I1815" s="7">
        <v>1064.79</v>
      </c>
      <c r="J1815" s="6">
        <v>45938</v>
      </c>
      <c r="K1815">
        <f t="shared" si="28"/>
        <v>61757.82</v>
      </c>
      <c r="L1815" t="str">
        <f>INDEX(Raw_Shipments!L1815:L4243,MATCH(A1815,Raw_Shipments!B1815:B4243))</f>
        <v>No</v>
      </c>
    </row>
    <row r="1816" spans="1:12" x14ac:dyDescent="0.3">
      <c r="A1816" s="2" t="s">
        <v>1965</v>
      </c>
      <c r="B1816" s="3">
        <v>45934</v>
      </c>
      <c r="C1816" s="2" t="s">
        <v>57</v>
      </c>
      <c r="D1816" s="2" t="s">
        <v>30</v>
      </c>
      <c r="E1816" s="2" t="s">
        <v>86</v>
      </c>
      <c r="F1816" s="2" t="s">
        <v>87</v>
      </c>
      <c r="G1816" s="2" t="s">
        <v>33</v>
      </c>
      <c r="H1816" s="2">
        <v>25</v>
      </c>
      <c r="I1816" s="4">
        <v>815.88</v>
      </c>
      <c r="J1816" s="3">
        <v>45937</v>
      </c>
      <c r="K1816">
        <f t="shared" si="28"/>
        <v>20397</v>
      </c>
      <c r="L1816" t="str">
        <f>INDEX(Raw_Shipments!L1816:L4244,MATCH(A1816,Raw_Shipments!B1816:B4244))</f>
        <v>No</v>
      </c>
    </row>
    <row r="1817" spans="1:12" x14ac:dyDescent="0.3">
      <c r="A1817" s="5" t="s">
        <v>1966</v>
      </c>
      <c r="B1817" s="6">
        <v>45935</v>
      </c>
      <c r="C1817" s="5" t="s">
        <v>122</v>
      </c>
      <c r="D1817" s="5" t="s">
        <v>25</v>
      </c>
      <c r="E1817" s="5" t="s">
        <v>58</v>
      </c>
      <c r="F1817" s="5" t="s">
        <v>59</v>
      </c>
      <c r="G1817" s="5" t="s">
        <v>55</v>
      </c>
      <c r="H1817" s="5">
        <v>22</v>
      </c>
      <c r="I1817" s="7">
        <v>1695.1</v>
      </c>
      <c r="J1817" s="6">
        <v>45943</v>
      </c>
      <c r="K1817">
        <f t="shared" si="28"/>
        <v>37292.199999999997</v>
      </c>
      <c r="L1817" t="str">
        <f>INDEX(Raw_Shipments!L1817:L4245,MATCH(A1817,Raw_Shipments!B1817:B4245))</f>
        <v>No</v>
      </c>
    </row>
    <row r="1818" spans="1:12" x14ac:dyDescent="0.3">
      <c r="A1818" s="2" t="s">
        <v>1967</v>
      </c>
      <c r="B1818" s="3">
        <v>45935</v>
      </c>
      <c r="C1818" s="2" t="s">
        <v>150</v>
      </c>
      <c r="D1818" s="2" t="s">
        <v>45</v>
      </c>
      <c r="E1818" s="2" t="s">
        <v>66</v>
      </c>
      <c r="F1818" s="2" t="s">
        <v>67</v>
      </c>
      <c r="G1818" s="2" t="s">
        <v>17</v>
      </c>
      <c r="H1818" s="2">
        <v>30</v>
      </c>
      <c r="I1818" s="4">
        <v>850.8</v>
      </c>
      <c r="J1818" s="3">
        <v>45941</v>
      </c>
      <c r="K1818">
        <f t="shared" si="28"/>
        <v>25524</v>
      </c>
      <c r="L1818" t="str">
        <f>INDEX(Raw_Shipments!L1818:L4246,MATCH(A1818,Raw_Shipments!B1818:B4246))</f>
        <v>No</v>
      </c>
    </row>
    <row r="1819" spans="1:12" x14ac:dyDescent="0.3">
      <c r="A1819" s="5" t="s">
        <v>1968</v>
      </c>
      <c r="B1819" s="6">
        <v>45935</v>
      </c>
      <c r="C1819" s="5" t="s">
        <v>191</v>
      </c>
      <c r="D1819" s="5" t="s">
        <v>30</v>
      </c>
      <c r="E1819" s="5" t="s">
        <v>97</v>
      </c>
      <c r="F1819" s="5" t="s">
        <v>98</v>
      </c>
      <c r="G1819" s="5" t="s">
        <v>17</v>
      </c>
      <c r="H1819" s="5">
        <v>41</v>
      </c>
      <c r="I1819" s="7">
        <v>1110.6500000000001</v>
      </c>
      <c r="J1819" s="6">
        <v>45942</v>
      </c>
      <c r="K1819">
        <f t="shared" si="28"/>
        <v>45536.65</v>
      </c>
      <c r="L1819" t="str">
        <f>INDEX(Raw_Shipments!L1819:L4247,MATCH(A1819,Raw_Shipments!B1819:B4247))</f>
        <v>Yes</v>
      </c>
    </row>
    <row r="1820" spans="1:12" x14ac:dyDescent="0.3">
      <c r="A1820" s="2" t="s">
        <v>1969</v>
      </c>
      <c r="B1820" s="3">
        <v>45935</v>
      </c>
      <c r="C1820" s="2" t="s">
        <v>195</v>
      </c>
      <c r="D1820" s="2" t="s">
        <v>14</v>
      </c>
      <c r="E1820" s="2" t="s">
        <v>20</v>
      </c>
      <c r="F1820" s="2" t="s">
        <v>21</v>
      </c>
      <c r="G1820" s="2" t="s">
        <v>22</v>
      </c>
      <c r="H1820" s="2">
        <v>19</v>
      </c>
      <c r="I1820" s="4">
        <v>2108.56</v>
      </c>
      <c r="J1820" s="3">
        <v>45941</v>
      </c>
      <c r="K1820">
        <f t="shared" si="28"/>
        <v>40062.639999999999</v>
      </c>
      <c r="L1820" t="str">
        <f>INDEX(Raw_Shipments!L1820:L4248,MATCH(A1820,Raw_Shipments!B1820:B4248))</f>
        <v>No</v>
      </c>
    </row>
    <row r="1821" spans="1:12" x14ac:dyDescent="0.3">
      <c r="A1821" s="5" t="s">
        <v>1970</v>
      </c>
      <c r="B1821" s="6">
        <v>45935</v>
      </c>
      <c r="C1821" s="5" t="s">
        <v>141</v>
      </c>
      <c r="D1821" s="5" t="s">
        <v>45</v>
      </c>
      <c r="E1821" s="5" t="s">
        <v>119</v>
      </c>
      <c r="F1821" s="5" t="s">
        <v>120</v>
      </c>
      <c r="G1821" s="5" t="s">
        <v>22</v>
      </c>
      <c r="H1821" s="5">
        <v>63</v>
      </c>
      <c r="I1821" s="7">
        <v>912.26</v>
      </c>
      <c r="J1821" s="6">
        <v>45943</v>
      </c>
      <c r="K1821">
        <f t="shared" si="28"/>
        <v>57472.38</v>
      </c>
      <c r="L1821" t="str">
        <f>INDEX(Raw_Shipments!L1821:L4249,MATCH(A1821,Raw_Shipments!B1821:B4249))</f>
        <v>Yes</v>
      </c>
    </row>
    <row r="1822" spans="1:12" x14ac:dyDescent="0.3">
      <c r="A1822" s="2" t="s">
        <v>1971</v>
      </c>
      <c r="B1822" s="3">
        <v>45935</v>
      </c>
      <c r="C1822" s="2" t="s">
        <v>166</v>
      </c>
      <c r="D1822" s="2" t="s">
        <v>14</v>
      </c>
      <c r="E1822" s="2" t="s">
        <v>26</v>
      </c>
      <c r="F1822" s="2" t="s">
        <v>27</v>
      </c>
      <c r="G1822" s="2" t="s">
        <v>22</v>
      </c>
      <c r="H1822" s="2">
        <v>25</v>
      </c>
      <c r="I1822" s="4">
        <v>1646.8</v>
      </c>
      <c r="J1822" s="3">
        <v>45945</v>
      </c>
      <c r="K1822">
        <f t="shared" si="28"/>
        <v>41170</v>
      </c>
      <c r="L1822" t="str">
        <f>INDEX(Raw_Shipments!L1822:L4250,MATCH(A1822,Raw_Shipments!B1822:B4250))</f>
        <v>No</v>
      </c>
    </row>
    <row r="1823" spans="1:12" x14ac:dyDescent="0.3">
      <c r="A1823" s="5" t="s">
        <v>1972</v>
      </c>
      <c r="B1823" s="6">
        <v>45935</v>
      </c>
      <c r="C1823" s="5" t="s">
        <v>451</v>
      </c>
      <c r="D1823" s="5" t="s">
        <v>25</v>
      </c>
      <c r="E1823" s="5" t="s">
        <v>86</v>
      </c>
      <c r="F1823" s="5" t="s">
        <v>87</v>
      </c>
      <c r="G1823" s="5" t="s">
        <v>33</v>
      </c>
      <c r="H1823" s="5">
        <v>12</v>
      </c>
      <c r="I1823" s="7">
        <v>815.88</v>
      </c>
      <c r="J1823" s="6">
        <v>45940</v>
      </c>
      <c r="K1823">
        <f t="shared" si="28"/>
        <v>9790.56</v>
      </c>
      <c r="L1823" t="str">
        <f>INDEX(Raw_Shipments!L1823:L4251,MATCH(A1823,Raw_Shipments!B1823:B4251))</f>
        <v>No</v>
      </c>
    </row>
    <row r="1824" spans="1:12" x14ac:dyDescent="0.3">
      <c r="A1824" s="2" t="s">
        <v>1973</v>
      </c>
      <c r="B1824" s="3">
        <v>45935</v>
      </c>
      <c r="C1824" s="2" t="s">
        <v>180</v>
      </c>
      <c r="D1824" s="2" t="s">
        <v>14</v>
      </c>
      <c r="E1824" s="2" t="s">
        <v>40</v>
      </c>
      <c r="F1824" s="2" t="s">
        <v>41</v>
      </c>
      <c r="G1824" s="2" t="s">
        <v>42</v>
      </c>
      <c r="H1824" s="2">
        <v>33</v>
      </c>
      <c r="I1824" s="4">
        <v>2445.11</v>
      </c>
      <c r="J1824" s="3">
        <v>45939</v>
      </c>
      <c r="K1824">
        <f t="shared" si="28"/>
        <v>80688.63</v>
      </c>
      <c r="L1824" t="str">
        <f>INDEX(Raw_Shipments!L1824:L4252,MATCH(A1824,Raw_Shipments!B1824:B4252))</f>
        <v>No</v>
      </c>
    </row>
    <row r="1825" spans="1:12" x14ac:dyDescent="0.3">
      <c r="A1825" s="5" t="s">
        <v>1974</v>
      </c>
      <c r="B1825" s="6">
        <v>45935</v>
      </c>
      <c r="C1825" s="5" t="s">
        <v>125</v>
      </c>
      <c r="D1825" s="5" t="s">
        <v>30</v>
      </c>
      <c r="E1825" s="5" t="s">
        <v>46</v>
      </c>
      <c r="F1825" s="5" t="s">
        <v>47</v>
      </c>
      <c r="G1825" s="5" t="s">
        <v>42</v>
      </c>
      <c r="H1825" s="5">
        <v>9</v>
      </c>
      <c r="I1825" s="7">
        <v>1833.14</v>
      </c>
      <c r="J1825" s="6">
        <v>45943</v>
      </c>
      <c r="K1825">
        <f t="shared" si="28"/>
        <v>16498.260000000002</v>
      </c>
      <c r="L1825" t="str">
        <f>INDEX(Raw_Shipments!L1825:L4253,MATCH(A1825,Raw_Shipments!B1825:B4253))</f>
        <v>No</v>
      </c>
    </row>
    <row r="1826" spans="1:12" x14ac:dyDescent="0.3">
      <c r="A1826" s="2" t="s">
        <v>1975</v>
      </c>
      <c r="B1826" s="3">
        <v>45935</v>
      </c>
      <c r="C1826" s="2" t="s">
        <v>431</v>
      </c>
      <c r="D1826" s="2" t="s">
        <v>14</v>
      </c>
      <c r="E1826" s="2" t="s">
        <v>50</v>
      </c>
      <c r="F1826" s="2" t="s">
        <v>51</v>
      </c>
      <c r="G1826" s="2" t="s">
        <v>42</v>
      </c>
      <c r="H1826" s="2">
        <v>15</v>
      </c>
      <c r="I1826" s="4">
        <v>1952.28</v>
      </c>
      <c r="J1826" s="3">
        <v>45944</v>
      </c>
      <c r="K1826">
        <f t="shared" si="28"/>
        <v>29284.2</v>
      </c>
      <c r="L1826" t="str">
        <f>INDEX(Raw_Shipments!L1826:L4254,MATCH(A1826,Raw_Shipments!B1826:B4254))</f>
        <v>No</v>
      </c>
    </row>
    <row r="1827" spans="1:12" x14ac:dyDescent="0.3">
      <c r="A1827" s="5" t="s">
        <v>1976</v>
      </c>
      <c r="B1827" s="6">
        <v>45936</v>
      </c>
      <c r="C1827" s="5" t="s">
        <v>185</v>
      </c>
      <c r="D1827" s="5" t="s">
        <v>14</v>
      </c>
      <c r="E1827" s="5" t="s">
        <v>15</v>
      </c>
      <c r="F1827" s="5" t="s">
        <v>16</v>
      </c>
      <c r="G1827" s="5" t="s">
        <v>17</v>
      </c>
      <c r="H1827" s="5">
        <v>21</v>
      </c>
      <c r="I1827" s="7">
        <v>183.06</v>
      </c>
      <c r="J1827" s="6">
        <v>45941</v>
      </c>
      <c r="K1827">
        <f t="shared" si="28"/>
        <v>3844.26</v>
      </c>
      <c r="L1827" t="str">
        <f>INDEX(Raw_Shipments!L1827:L4255,MATCH(A1827,Raw_Shipments!B1827:B4255))</f>
        <v>No</v>
      </c>
    </row>
    <row r="1828" spans="1:12" x14ac:dyDescent="0.3">
      <c r="A1828" s="2" t="s">
        <v>1977</v>
      </c>
      <c r="B1828" s="3">
        <v>45936</v>
      </c>
      <c r="C1828" s="2" t="s">
        <v>122</v>
      </c>
      <c r="D1828" s="2" t="s">
        <v>30</v>
      </c>
      <c r="E1828" s="2" t="s">
        <v>20</v>
      </c>
      <c r="F1828" s="2" t="s">
        <v>21</v>
      </c>
      <c r="G1828" s="2" t="s">
        <v>22</v>
      </c>
      <c r="H1828" s="2">
        <v>15</v>
      </c>
      <c r="I1828" s="4">
        <v>2108.56</v>
      </c>
      <c r="J1828" s="3">
        <v>45945</v>
      </c>
      <c r="K1828">
        <f t="shared" si="28"/>
        <v>31628.399999999998</v>
      </c>
      <c r="L1828" t="str">
        <f>INDEX(Raw_Shipments!L1828:L4256,MATCH(A1828,Raw_Shipments!B1828:B4256))</f>
        <v>No</v>
      </c>
    </row>
    <row r="1829" spans="1:12" x14ac:dyDescent="0.3">
      <c r="A1829" s="5" t="s">
        <v>1978</v>
      </c>
      <c r="B1829" s="6">
        <v>45936</v>
      </c>
      <c r="C1829" s="5" t="s">
        <v>248</v>
      </c>
      <c r="D1829" s="5" t="s">
        <v>14</v>
      </c>
      <c r="E1829" s="5" t="s">
        <v>26</v>
      </c>
      <c r="F1829" s="5" t="s">
        <v>27</v>
      </c>
      <c r="G1829" s="5" t="s">
        <v>22</v>
      </c>
      <c r="H1829" s="5">
        <v>30</v>
      </c>
      <c r="I1829" s="7">
        <v>1646.8</v>
      </c>
      <c r="J1829" s="6">
        <v>45939</v>
      </c>
      <c r="K1829">
        <f t="shared" si="28"/>
        <v>49404</v>
      </c>
      <c r="L1829" t="str">
        <f>INDEX(Raw_Shipments!L1829:L4257,MATCH(A1829,Raw_Shipments!B1829:B4257))</f>
        <v>No</v>
      </c>
    </row>
    <row r="1830" spans="1:12" x14ac:dyDescent="0.3">
      <c r="A1830" s="2" t="s">
        <v>1979</v>
      </c>
      <c r="B1830" s="3">
        <v>45936</v>
      </c>
      <c r="C1830" s="2" t="s">
        <v>81</v>
      </c>
      <c r="D1830" s="2" t="s">
        <v>14</v>
      </c>
      <c r="E1830" s="2" t="s">
        <v>36</v>
      </c>
      <c r="F1830" s="2" t="s">
        <v>37</v>
      </c>
      <c r="G1830" s="2" t="s">
        <v>33</v>
      </c>
      <c r="H1830" s="2">
        <v>31</v>
      </c>
      <c r="I1830" s="4">
        <v>1064.79</v>
      </c>
      <c r="J1830" s="3">
        <v>45945</v>
      </c>
      <c r="K1830">
        <f t="shared" si="28"/>
        <v>33008.49</v>
      </c>
      <c r="L1830" t="str">
        <f>INDEX(Raw_Shipments!L1830:L4258,MATCH(A1830,Raw_Shipments!B1830:B4258))</f>
        <v>Yes</v>
      </c>
    </row>
    <row r="1831" spans="1:12" x14ac:dyDescent="0.3">
      <c r="A1831" s="5" t="s">
        <v>1980</v>
      </c>
      <c r="B1831" s="6">
        <v>45936</v>
      </c>
      <c r="C1831" s="5" t="s">
        <v>104</v>
      </c>
      <c r="D1831" s="5" t="s">
        <v>14</v>
      </c>
      <c r="E1831" s="5" t="s">
        <v>86</v>
      </c>
      <c r="F1831" s="5" t="s">
        <v>87</v>
      </c>
      <c r="G1831" s="5" t="s">
        <v>33</v>
      </c>
      <c r="H1831" s="5">
        <v>50</v>
      </c>
      <c r="I1831" s="7">
        <v>815.88</v>
      </c>
      <c r="J1831" s="6">
        <v>45942</v>
      </c>
      <c r="K1831">
        <f t="shared" si="28"/>
        <v>40794</v>
      </c>
      <c r="L1831" t="str">
        <f>INDEX(Raw_Shipments!L1831:L4259,MATCH(A1831,Raw_Shipments!B1831:B4259))</f>
        <v>Yes</v>
      </c>
    </row>
    <row r="1832" spans="1:12" x14ac:dyDescent="0.3">
      <c r="A1832" s="2" t="s">
        <v>1981</v>
      </c>
      <c r="B1832" s="3">
        <v>45936</v>
      </c>
      <c r="C1832" s="2" t="s">
        <v>545</v>
      </c>
      <c r="D1832" s="2" t="s">
        <v>14</v>
      </c>
      <c r="E1832" s="2" t="s">
        <v>40</v>
      </c>
      <c r="F1832" s="2" t="s">
        <v>41</v>
      </c>
      <c r="G1832" s="2" t="s">
        <v>42</v>
      </c>
      <c r="H1832" s="2">
        <v>41</v>
      </c>
      <c r="I1832" s="4">
        <v>2445.11</v>
      </c>
      <c r="J1832" s="3">
        <v>45941</v>
      </c>
      <c r="K1832">
        <f t="shared" si="28"/>
        <v>100249.51000000001</v>
      </c>
      <c r="L1832" t="str">
        <f>INDEX(Raw_Shipments!L1832:L4260,MATCH(A1832,Raw_Shipments!B1832:B4260))</f>
        <v>No</v>
      </c>
    </row>
    <row r="1833" spans="1:12" x14ac:dyDescent="0.3">
      <c r="A1833" s="5" t="s">
        <v>1982</v>
      </c>
      <c r="B1833" s="6">
        <v>45936</v>
      </c>
      <c r="C1833" s="5" t="s">
        <v>44</v>
      </c>
      <c r="D1833" s="5" t="s">
        <v>30</v>
      </c>
      <c r="E1833" s="5" t="s">
        <v>46</v>
      </c>
      <c r="F1833" s="5" t="s">
        <v>47</v>
      </c>
      <c r="G1833" s="5" t="s">
        <v>42</v>
      </c>
      <c r="H1833" s="5">
        <v>9</v>
      </c>
      <c r="I1833" s="7">
        <v>1833.14</v>
      </c>
      <c r="J1833" s="6">
        <v>45945</v>
      </c>
      <c r="K1833">
        <f t="shared" si="28"/>
        <v>16498.260000000002</v>
      </c>
      <c r="L1833" t="str">
        <f>INDEX(Raw_Shipments!L1833:L4261,MATCH(A1833,Raw_Shipments!B1833:B4261))</f>
        <v>No</v>
      </c>
    </row>
    <row r="1834" spans="1:12" x14ac:dyDescent="0.3">
      <c r="A1834" s="2" t="s">
        <v>1983</v>
      </c>
      <c r="B1834" s="3">
        <v>45936</v>
      </c>
      <c r="C1834" s="2" t="s">
        <v>166</v>
      </c>
      <c r="D1834" s="2" t="s">
        <v>45</v>
      </c>
      <c r="E1834" s="2" t="s">
        <v>50</v>
      </c>
      <c r="F1834" s="2" t="s">
        <v>51</v>
      </c>
      <c r="G1834" s="2" t="s">
        <v>42</v>
      </c>
      <c r="H1834" s="2">
        <v>15</v>
      </c>
      <c r="I1834" s="4">
        <v>1952.28</v>
      </c>
      <c r="J1834" s="3">
        <v>45941</v>
      </c>
      <c r="K1834">
        <f t="shared" si="28"/>
        <v>29284.2</v>
      </c>
      <c r="L1834" t="str">
        <f>INDEX(Raw_Shipments!L1834:L4262,MATCH(A1834,Raw_Shipments!B1834:B4262))</f>
        <v>No</v>
      </c>
    </row>
    <row r="1835" spans="1:12" x14ac:dyDescent="0.3">
      <c r="A1835" s="5" t="s">
        <v>1984</v>
      </c>
      <c r="B1835" s="6">
        <v>45937</v>
      </c>
      <c r="C1835" s="5" t="s">
        <v>473</v>
      </c>
      <c r="D1835" s="5" t="s">
        <v>30</v>
      </c>
      <c r="E1835" s="5" t="s">
        <v>58</v>
      </c>
      <c r="F1835" s="5" t="s">
        <v>59</v>
      </c>
      <c r="G1835" s="5" t="s">
        <v>55</v>
      </c>
      <c r="H1835" s="5">
        <v>19</v>
      </c>
      <c r="I1835" s="7">
        <v>1695.1</v>
      </c>
      <c r="J1835" s="6">
        <v>45941</v>
      </c>
      <c r="K1835">
        <f t="shared" si="28"/>
        <v>32206.899999999998</v>
      </c>
      <c r="L1835" t="str">
        <f>INDEX(Raw_Shipments!L1835:L4263,MATCH(A1835,Raw_Shipments!B1835:B4263))</f>
        <v>No</v>
      </c>
    </row>
    <row r="1836" spans="1:12" x14ac:dyDescent="0.3">
      <c r="A1836" s="2" t="s">
        <v>1985</v>
      </c>
      <c r="B1836" s="3">
        <v>45937</v>
      </c>
      <c r="C1836" s="2" t="s">
        <v>279</v>
      </c>
      <c r="D1836" s="2" t="s">
        <v>30</v>
      </c>
      <c r="E1836" s="2" t="s">
        <v>66</v>
      </c>
      <c r="F1836" s="2" t="s">
        <v>67</v>
      </c>
      <c r="G1836" s="2" t="s">
        <v>17</v>
      </c>
      <c r="H1836" s="2">
        <v>14</v>
      </c>
      <c r="I1836" s="4">
        <v>850.8</v>
      </c>
      <c r="J1836" s="3">
        <v>45946</v>
      </c>
      <c r="K1836">
        <f t="shared" si="28"/>
        <v>11911.199999999999</v>
      </c>
      <c r="L1836" t="str">
        <f>INDEX(Raw_Shipments!L1836:L4264,MATCH(A1836,Raw_Shipments!B1836:B4264))</f>
        <v>Yes</v>
      </c>
    </row>
    <row r="1837" spans="1:12" x14ac:dyDescent="0.3">
      <c r="A1837" s="5" t="s">
        <v>1986</v>
      </c>
      <c r="B1837" s="6">
        <v>45937</v>
      </c>
      <c r="C1837" s="5" t="s">
        <v>545</v>
      </c>
      <c r="D1837" s="5" t="s">
        <v>45</v>
      </c>
      <c r="E1837" s="5" t="s">
        <v>97</v>
      </c>
      <c r="F1837" s="5" t="s">
        <v>98</v>
      </c>
      <c r="G1837" s="5" t="s">
        <v>17</v>
      </c>
      <c r="H1837" s="5">
        <v>48</v>
      </c>
      <c r="I1837" s="7">
        <v>1110.6500000000001</v>
      </c>
      <c r="J1837" s="6">
        <v>45946</v>
      </c>
      <c r="K1837">
        <f t="shared" si="28"/>
        <v>53311.200000000004</v>
      </c>
      <c r="L1837" t="str">
        <f>INDEX(Raw_Shipments!L1837:L4265,MATCH(A1837,Raw_Shipments!B1837:B4265))</f>
        <v>No</v>
      </c>
    </row>
    <row r="1838" spans="1:12" x14ac:dyDescent="0.3">
      <c r="A1838" s="2" t="s">
        <v>1987</v>
      </c>
      <c r="B1838" s="3">
        <v>45937</v>
      </c>
      <c r="C1838" s="2" t="s">
        <v>331</v>
      </c>
      <c r="D1838" s="2" t="s">
        <v>25</v>
      </c>
      <c r="E1838" s="2" t="s">
        <v>15</v>
      </c>
      <c r="F1838" s="2" t="s">
        <v>16</v>
      </c>
      <c r="G1838" s="2" t="s">
        <v>17</v>
      </c>
      <c r="H1838" s="2">
        <v>17</v>
      </c>
      <c r="I1838" s="4">
        <v>183.06</v>
      </c>
      <c r="J1838" s="3">
        <v>45947</v>
      </c>
      <c r="K1838">
        <f t="shared" si="28"/>
        <v>3112.02</v>
      </c>
      <c r="L1838" t="str">
        <f>INDEX(Raw_Shipments!L1838:L4266,MATCH(A1838,Raw_Shipments!B1838:B4266))</f>
        <v>No</v>
      </c>
    </row>
    <row r="1839" spans="1:12" x14ac:dyDescent="0.3">
      <c r="A1839" s="5" t="s">
        <v>1988</v>
      </c>
      <c r="B1839" s="6">
        <v>45937</v>
      </c>
      <c r="C1839" s="5" t="s">
        <v>545</v>
      </c>
      <c r="D1839" s="5" t="s">
        <v>30</v>
      </c>
      <c r="E1839" s="5" t="s">
        <v>36</v>
      </c>
      <c r="F1839" s="5" t="s">
        <v>37</v>
      </c>
      <c r="G1839" s="5" t="s">
        <v>33</v>
      </c>
      <c r="H1839" s="5">
        <v>72</v>
      </c>
      <c r="I1839" s="7">
        <v>1064.79</v>
      </c>
      <c r="J1839" s="6">
        <v>45942</v>
      </c>
      <c r="K1839">
        <f t="shared" si="28"/>
        <v>76664.88</v>
      </c>
      <c r="L1839" t="str">
        <f>INDEX(Raw_Shipments!L1839:L4267,MATCH(A1839,Raw_Shipments!B1839:B4267))</f>
        <v>No</v>
      </c>
    </row>
    <row r="1840" spans="1:12" x14ac:dyDescent="0.3">
      <c r="A1840" s="2" t="s">
        <v>1989</v>
      </c>
      <c r="B1840" s="3">
        <v>45937</v>
      </c>
      <c r="C1840" s="2" t="s">
        <v>595</v>
      </c>
      <c r="D1840" s="2" t="s">
        <v>30</v>
      </c>
      <c r="E1840" s="2" t="s">
        <v>40</v>
      </c>
      <c r="F1840" s="2" t="s">
        <v>41</v>
      </c>
      <c r="G1840" s="2" t="s">
        <v>42</v>
      </c>
      <c r="H1840" s="2">
        <v>59</v>
      </c>
      <c r="I1840" s="4">
        <v>2445.11</v>
      </c>
      <c r="J1840" s="3">
        <v>45944</v>
      </c>
      <c r="K1840">
        <f t="shared" si="28"/>
        <v>144261.49000000002</v>
      </c>
      <c r="L1840" t="str">
        <f>INDEX(Raw_Shipments!L1840:L4268,MATCH(A1840,Raw_Shipments!B1840:B4268))</f>
        <v>No</v>
      </c>
    </row>
    <row r="1841" spans="1:12" x14ac:dyDescent="0.3">
      <c r="A1841" s="5" t="s">
        <v>1990</v>
      </c>
      <c r="B1841" s="6">
        <v>45937</v>
      </c>
      <c r="C1841" s="5" t="s">
        <v>69</v>
      </c>
      <c r="D1841" s="5" t="s">
        <v>45</v>
      </c>
      <c r="E1841" s="5" t="s">
        <v>46</v>
      </c>
      <c r="F1841" s="5" t="s">
        <v>47</v>
      </c>
      <c r="G1841" s="5" t="s">
        <v>42</v>
      </c>
      <c r="H1841" s="5">
        <v>8</v>
      </c>
      <c r="I1841" s="7">
        <v>1833.14</v>
      </c>
      <c r="J1841" s="6">
        <v>45947</v>
      </c>
      <c r="K1841">
        <f t="shared" si="28"/>
        <v>14665.12</v>
      </c>
      <c r="L1841" t="str">
        <f>INDEX(Raw_Shipments!L1841:L4269,MATCH(A1841,Raw_Shipments!B1841:B4269))</f>
        <v>No</v>
      </c>
    </row>
    <row r="1842" spans="1:12" x14ac:dyDescent="0.3">
      <c r="A1842" s="2" t="s">
        <v>1991</v>
      </c>
      <c r="B1842" s="3">
        <v>45937</v>
      </c>
      <c r="C1842" s="2" t="s">
        <v>93</v>
      </c>
      <c r="D1842" s="2" t="s">
        <v>30</v>
      </c>
      <c r="E1842" s="2" t="s">
        <v>50</v>
      </c>
      <c r="F1842" s="2" t="s">
        <v>51</v>
      </c>
      <c r="G1842" s="2" t="s">
        <v>42</v>
      </c>
      <c r="H1842" s="2">
        <v>7</v>
      </c>
      <c r="I1842" s="4">
        <v>1952.28</v>
      </c>
      <c r="J1842" s="3">
        <v>45945</v>
      </c>
      <c r="K1842">
        <f t="shared" si="28"/>
        <v>13665.96</v>
      </c>
      <c r="L1842" t="str">
        <f>INDEX(Raw_Shipments!L1842:L4270,MATCH(A1842,Raw_Shipments!B1842:B4270))</f>
        <v>No</v>
      </c>
    </row>
    <row r="1843" spans="1:12" x14ac:dyDescent="0.3">
      <c r="A1843" s="5" t="s">
        <v>1992</v>
      </c>
      <c r="B1843" s="6">
        <v>45938</v>
      </c>
      <c r="C1843" s="5" t="s">
        <v>343</v>
      </c>
      <c r="D1843" s="5" t="s">
        <v>45</v>
      </c>
      <c r="E1843" s="5" t="s">
        <v>53</v>
      </c>
      <c r="F1843" s="5" t="s">
        <v>54</v>
      </c>
      <c r="G1843" s="5" t="s">
        <v>55</v>
      </c>
      <c r="H1843" s="5">
        <v>42</v>
      </c>
      <c r="I1843" s="7">
        <v>2055.9</v>
      </c>
      <c r="J1843" s="6">
        <v>45945</v>
      </c>
      <c r="K1843">
        <f t="shared" si="28"/>
        <v>86347.8</v>
      </c>
      <c r="L1843" t="str">
        <f>INDEX(Raw_Shipments!L1843:L4271,MATCH(A1843,Raw_Shipments!B1843:B4271))</f>
        <v>No</v>
      </c>
    </row>
    <row r="1844" spans="1:12" x14ac:dyDescent="0.3">
      <c r="A1844" s="2" t="s">
        <v>1993</v>
      </c>
      <c r="B1844" s="3">
        <v>45938</v>
      </c>
      <c r="C1844" s="2" t="s">
        <v>451</v>
      </c>
      <c r="D1844" s="2" t="s">
        <v>45</v>
      </c>
      <c r="E1844" s="2" t="s">
        <v>62</v>
      </c>
      <c r="F1844" s="2" t="s">
        <v>63</v>
      </c>
      <c r="G1844" s="2" t="s">
        <v>55</v>
      </c>
      <c r="H1844" s="2">
        <v>42</v>
      </c>
      <c r="I1844" s="4">
        <v>2555.2199999999998</v>
      </c>
      <c r="J1844" s="3">
        <v>45946</v>
      </c>
      <c r="K1844">
        <f t="shared" si="28"/>
        <v>107319.23999999999</v>
      </c>
      <c r="L1844" t="str">
        <f>INDEX(Raw_Shipments!L1844:L4272,MATCH(A1844,Raw_Shipments!B1844:B4272))</f>
        <v>No</v>
      </c>
    </row>
    <row r="1845" spans="1:12" x14ac:dyDescent="0.3">
      <c r="A1845" s="5" t="s">
        <v>1994</v>
      </c>
      <c r="B1845" s="6">
        <v>45938</v>
      </c>
      <c r="C1845" s="5" t="s">
        <v>152</v>
      </c>
      <c r="D1845" s="5" t="s">
        <v>30</v>
      </c>
      <c r="E1845" s="5" t="s">
        <v>97</v>
      </c>
      <c r="F1845" s="5" t="s">
        <v>98</v>
      </c>
      <c r="G1845" s="5" t="s">
        <v>17</v>
      </c>
      <c r="H1845" s="5">
        <v>35</v>
      </c>
      <c r="I1845" s="7">
        <v>1110.6500000000001</v>
      </c>
      <c r="J1845" s="6">
        <v>45941</v>
      </c>
      <c r="K1845">
        <f t="shared" si="28"/>
        <v>38872.75</v>
      </c>
      <c r="L1845" t="str">
        <f>INDEX(Raw_Shipments!L1845:L4273,MATCH(A1845,Raw_Shipments!B1845:B4273))</f>
        <v>No</v>
      </c>
    </row>
    <row r="1846" spans="1:12" x14ac:dyDescent="0.3">
      <c r="A1846" s="2" t="s">
        <v>1995</v>
      </c>
      <c r="B1846" s="3">
        <v>45938</v>
      </c>
      <c r="C1846" s="2" t="s">
        <v>144</v>
      </c>
      <c r="D1846" s="2" t="s">
        <v>30</v>
      </c>
      <c r="E1846" s="2" t="s">
        <v>15</v>
      </c>
      <c r="F1846" s="2" t="s">
        <v>16</v>
      </c>
      <c r="G1846" s="2" t="s">
        <v>17</v>
      </c>
      <c r="H1846" s="2">
        <v>19</v>
      </c>
      <c r="I1846" s="4">
        <v>183.06</v>
      </c>
      <c r="J1846" s="3">
        <v>45943</v>
      </c>
      <c r="K1846">
        <f t="shared" si="28"/>
        <v>3478.14</v>
      </c>
      <c r="L1846" t="str">
        <f>INDEX(Raw_Shipments!L1846:L4274,MATCH(A1846,Raw_Shipments!B1846:B4274))</f>
        <v>No</v>
      </c>
    </row>
    <row r="1847" spans="1:12" x14ac:dyDescent="0.3">
      <c r="A1847" s="5" t="s">
        <v>1996</v>
      </c>
      <c r="B1847" s="6">
        <v>45938</v>
      </c>
      <c r="C1847" s="5" t="s">
        <v>208</v>
      </c>
      <c r="D1847" s="5" t="s">
        <v>30</v>
      </c>
      <c r="E1847" s="5" t="s">
        <v>20</v>
      </c>
      <c r="F1847" s="5" t="s">
        <v>21</v>
      </c>
      <c r="G1847" s="5" t="s">
        <v>22</v>
      </c>
      <c r="H1847" s="5">
        <v>18</v>
      </c>
      <c r="I1847" s="7">
        <v>2108.56</v>
      </c>
      <c r="J1847" s="6">
        <v>45945</v>
      </c>
      <c r="K1847">
        <f t="shared" si="28"/>
        <v>37954.080000000002</v>
      </c>
      <c r="L1847" t="str">
        <f>INDEX(Raw_Shipments!L1847:L4275,MATCH(A1847,Raw_Shipments!B1847:B4275))</f>
        <v>No</v>
      </c>
    </row>
    <row r="1848" spans="1:12" x14ac:dyDescent="0.3">
      <c r="A1848" s="2" t="s">
        <v>1997</v>
      </c>
      <c r="B1848" s="3">
        <v>45938</v>
      </c>
      <c r="C1848" s="2" t="s">
        <v>104</v>
      </c>
      <c r="D1848" s="2" t="s">
        <v>45</v>
      </c>
      <c r="E1848" s="2" t="s">
        <v>26</v>
      </c>
      <c r="F1848" s="2" t="s">
        <v>27</v>
      </c>
      <c r="G1848" s="2" t="s">
        <v>22</v>
      </c>
      <c r="H1848" s="2">
        <v>31</v>
      </c>
      <c r="I1848" s="4">
        <v>1646.8</v>
      </c>
      <c r="J1848" s="3">
        <v>45948</v>
      </c>
      <c r="K1848">
        <f t="shared" si="28"/>
        <v>51050.799999999996</v>
      </c>
      <c r="L1848" t="str">
        <f>INDEX(Raw_Shipments!L1848:L4276,MATCH(A1848,Raw_Shipments!B1848:B4276))</f>
        <v>Yes</v>
      </c>
    </row>
    <row r="1849" spans="1:12" x14ac:dyDescent="0.3">
      <c r="A1849" s="5" t="s">
        <v>1998</v>
      </c>
      <c r="B1849" s="6">
        <v>45938</v>
      </c>
      <c r="C1849" s="5" t="s">
        <v>135</v>
      </c>
      <c r="D1849" s="5" t="s">
        <v>45</v>
      </c>
      <c r="E1849" s="5" t="s">
        <v>31</v>
      </c>
      <c r="F1849" s="5" t="s">
        <v>32</v>
      </c>
      <c r="G1849" s="5" t="s">
        <v>33</v>
      </c>
      <c r="H1849" s="5">
        <v>19</v>
      </c>
      <c r="I1849" s="7">
        <v>689</v>
      </c>
      <c r="J1849" s="6">
        <v>45941</v>
      </c>
      <c r="K1849">
        <f t="shared" si="28"/>
        <v>13091</v>
      </c>
      <c r="L1849" t="str">
        <f>INDEX(Raw_Shipments!L1849:L4277,MATCH(A1849,Raw_Shipments!B1849:B4277))</f>
        <v>No</v>
      </c>
    </row>
    <row r="1850" spans="1:12" x14ac:dyDescent="0.3">
      <c r="A1850" s="2" t="s">
        <v>1999</v>
      </c>
      <c r="B1850" s="3">
        <v>45938</v>
      </c>
      <c r="C1850" s="2" t="s">
        <v>545</v>
      </c>
      <c r="D1850" s="2" t="s">
        <v>30</v>
      </c>
      <c r="E1850" s="2" t="s">
        <v>36</v>
      </c>
      <c r="F1850" s="2" t="s">
        <v>37</v>
      </c>
      <c r="G1850" s="2" t="s">
        <v>33</v>
      </c>
      <c r="H1850" s="2">
        <v>55</v>
      </c>
      <c r="I1850" s="4">
        <v>1064.79</v>
      </c>
      <c r="J1850" s="3">
        <v>45945</v>
      </c>
      <c r="K1850">
        <f t="shared" si="28"/>
        <v>58563.45</v>
      </c>
      <c r="L1850" t="str">
        <f>INDEX(Raw_Shipments!L1850:L4278,MATCH(A1850,Raw_Shipments!B1850:B4278))</f>
        <v>No</v>
      </c>
    </row>
    <row r="1851" spans="1:12" x14ac:dyDescent="0.3">
      <c r="A1851" s="5" t="s">
        <v>2000</v>
      </c>
      <c r="B1851" s="6">
        <v>45938</v>
      </c>
      <c r="C1851" s="5" t="s">
        <v>180</v>
      </c>
      <c r="D1851" s="5" t="s">
        <v>45</v>
      </c>
      <c r="E1851" s="5" t="s">
        <v>86</v>
      </c>
      <c r="F1851" s="5" t="s">
        <v>87</v>
      </c>
      <c r="G1851" s="5" t="s">
        <v>33</v>
      </c>
      <c r="H1851" s="5">
        <v>32</v>
      </c>
      <c r="I1851" s="7">
        <v>815.88</v>
      </c>
      <c r="J1851" s="6">
        <v>45945</v>
      </c>
      <c r="K1851">
        <f t="shared" si="28"/>
        <v>26108.16</v>
      </c>
      <c r="L1851" t="str">
        <f>INDEX(Raw_Shipments!L1851:L4279,MATCH(A1851,Raw_Shipments!B1851:B4279))</f>
        <v>Yes</v>
      </c>
    </row>
    <row r="1852" spans="1:12" x14ac:dyDescent="0.3">
      <c r="A1852" s="2" t="s">
        <v>2001</v>
      </c>
      <c r="B1852" s="3">
        <v>45938</v>
      </c>
      <c r="C1852" s="2" t="s">
        <v>451</v>
      </c>
      <c r="D1852" s="2" t="s">
        <v>14</v>
      </c>
      <c r="E1852" s="2" t="s">
        <v>46</v>
      </c>
      <c r="F1852" s="2" t="s">
        <v>47</v>
      </c>
      <c r="G1852" s="2" t="s">
        <v>42</v>
      </c>
      <c r="H1852" s="2">
        <v>9</v>
      </c>
      <c r="I1852" s="4">
        <v>1833.14</v>
      </c>
      <c r="J1852" s="3">
        <v>45945</v>
      </c>
      <c r="K1852">
        <f t="shared" si="28"/>
        <v>16498.260000000002</v>
      </c>
      <c r="L1852" t="str">
        <f>INDEX(Raw_Shipments!L1852:L4280,MATCH(A1852,Raw_Shipments!B1852:B4280))</f>
        <v>No</v>
      </c>
    </row>
    <row r="1853" spans="1:12" x14ac:dyDescent="0.3">
      <c r="A1853" s="5" t="s">
        <v>2002</v>
      </c>
      <c r="B1853" s="6">
        <v>45939</v>
      </c>
      <c r="C1853" s="5" t="s">
        <v>456</v>
      </c>
      <c r="D1853" s="5" t="s">
        <v>30</v>
      </c>
      <c r="E1853" s="5" t="s">
        <v>53</v>
      </c>
      <c r="F1853" s="5" t="s">
        <v>54</v>
      </c>
      <c r="G1853" s="5" t="s">
        <v>55</v>
      </c>
      <c r="H1853" s="5">
        <v>48</v>
      </c>
      <c r="I1853" s="7">
        <v>2055.9</v>
      </c>
      <c r="J1853" s="6">
        <v>45949</v>
      </c>
      <c r="K1853">
        <f t="shared" si="28"/>
        <v>98683.200000000012</v>
      </c>
      <c r="L1853" t="str">
        <f>INDEX(Raw_Shipments!L1853:L4281,MATCH(A1853,Raw_Shipments!B1853:B4281))</f>
        <v>No</v>
      </c>
    </row>
    <row r="1854" spans="1:12" x14ac:dyDescent="0.3">
      <c r="A1854" s="2" t="s">
        <v>2003</v>
      </c>
      <c r="B1854" s="3">
        <v>45939</v>
      </c>
      <c r="C1854" s="2" t="s">
        <v>312</v>
      </c>
      <c r="D1854" s="2" t="s">
        <v>30</v>
      </c>
      <c r="E1854" s="2" t="s">
        <v>58</v>
      </c>
      <c r="F1854" s="2" t="s">
        <v>59</v>
      </c>
      <c r="G1854" s="2" t="s">
        <v>55</v>
      </c>
      <c r="H1854" s="2">
        <v>19</v>
      </c>
      <c r="I1854" s="4">
        <v>1695.1</v>
      </c>
      <c r="J1854" s="3">
        <v>45942</v>
      </c>
      <c r="K1854">
        <f t="shared" si="28"/>
        <v>32206.899999999998</v>
      </c>
      <c r="L1854" t="str">
        <f>INDEX(Raw_Shipments!L1854:L4282,MATCH(A1854,Raw_Shipments!B1854:B4282))</f>
        <v>No</v>
      </c>
    </row>
    <row r="1855" spans="1:12" x14ac:dyDescent="0.3">
      <c r="A1855" s="5" t="s">
        <v>2004</v>
      </c>
      <c r="B1855" s="6">
        <v>45939</v>
      </c>
      <c r="C1855" s="5" t="s">
        <v>131</v>
      </c>
      <c r="D1855" s="5" t="s">
        <v>45</v>
      </c>
      <c r="E1855" s="5" t="s">
        <v>97</v>
      </c>
      <c r="F1855" s="5" t="s">
        <v>98</v>
      </c>
      <c r="G1855" s="5" t="s">
        <v>17</v>
      </c>
      <c r="H1855" s="5">
        <v>27</v>
      </c>
      <c r="I1855" s="7">
        <v>1110.6500000000001</v>
      </c>
      <c r="J1855" s="6">
        <v>45948</v>
      </c>
      <c r="K1855">
        <f t="shared" si="28"/>
        <v>29987.550000000003</v>
      </c>
      <c r="L1855" t="str">
        <f>INDEX(Raw_Shipments!L1855:L4283,MATCH(A1855,Raw_Shipments!B1855:B4283))</f>
        <v>Yes</v>
      </c>
    </row>
    <row r="1856" spans="1:12" x14ac:dyDescent="0.3">
      <c r="A1856" s="2" t="s">
        <v>2005</v>
      </c>
      <c r="B1856" s="3">
        <v>45939</v>
      </c>
      <c r="C1856" s="2" t="s">
        <v>229</v>
      </c>
      <c r="D1856" s="2" t="s">
        <v>14</v>
      </c>
      <c r="E1856" s="2" t="s">
        <v>119</v>
      </c>
      <c r="F1856" s="2" t="s">
        <v>120</v>
      </c>
      <c r="G1856" s="2" t="s">
        <v>22</v>
      </c>
      <c r="H1856" s="2">
        <v>20</v>
      </c>
      <c r="I1856" s="4">
        <v>912.26</v>
      </c>
      <c r="J1856" s="3">
        <v>45947</v>
      </c>
      <c r="K1856">
        <f t="shared" si="28"/>
        <v>18245.2</v>
      </c>
      <c r="L1856" t="str">
        <f>INDEX(Raw_Shipments!L1856:L4284,MATCH(A1856,Raw_Shipments!B1856:B4284))</f>
        <v>No</v>
      </c>
    </row>
    <row r="1857" spans="1:12" x14ac:dyDescent="0.3">
      <c r="A1857" s="5" t="s">
        <v>2006</v>
      </c>
      <c r="B1857" s="6">
        <v>45939</v>
      </c>
      <c r="C1857" s="5" t="s">
        <v>248</v>
      </c>
      <c r="D1857" s="5" t="s">
        <v>45</v>
      </c>
      <c r="E1857" s="5" t="s">
        <v>26</v>
      </c>
      <c r="F1857" s="5" t="s">
        <v>27</v>
      </c>
      <c r="G1857" s="5" t="s">
        <v>22</v>
      </c>
      <c r="H1857" s="5">
        <v>27</v>
      </c>
      <c r="I1857" s="7">
        <v>1646.8</v>
      </c>
      <c r="J1857" s="6">
        <v>45947</v>
      </c>
      <c r="K1857">
        <f t="shared" si="28"/>
        <v>44463.6</v>
      </c>
      <c r="L1857" t="str">
        <f>INDEX(Raw_Shipments!L1857:L4285,MATCH(A1857,Raw_Shipments!B1857:B4285))</f>
        <v>Yes</v>
      </c>
    </row>
    <row r="1858" spans="1:12" x14ac:dyDescent="0.3">
      <c r="A1858" s="2" t="s">
        <v>2007</v>
      </c>
      <c r="B1858" s="3">
        <v>45939</v>
      </c>
      <c r="C1858" s="2" t="s">
        <v>178</v>
      </c>
      <c r="D1858" s="2" t="s">
        <v>45</v>
      </c>
      <c r="E1858" s="2" t="s">
        <v>46</v>
      </c>
      <c r="F1858" s="2" t="s">
        <v>47</v>
      </c>
      <c r="G1858" s="2" t="s">
        <v>42</v>
      </c>
      <c r="H1858" s="2">
        <v>5</v>
      </c>
      <c r="I1858" s="4">
        <v>1833.14</v>
      </c>
      <c r="J1858" s="3">
        <v>45949</v>
      </c>
      <c r="K1858">
        <f t="shared" si="28"/>
        <v>9165.7000000000007</v>
      </c>
      <c r="L1858" t="str">
        <f>INDEX(Raw_Shipments!L1858:L4286,MATCH(A1858,Raw_Shipments!B1858:B4286))</f>
        <v>No</v>
      </c>
    </row>
    <row r="1859" spans="1:12" x14ac:dyDescent="0.3">
      <c r="A1859" s="5" t="s">
        <v>2008</v>
      </c>
      <c r="B1859" s="6">
        <v>45939</v>
      </c>
      <c r="C1859" s="5" t="s">
        <v>208</v>
      </c>
      <c r="D1859" s="5" t="s">
        <v>30</v>
      </c>
      <c r="E1859" s="5" t="s">
        <v>50</v>
      </c>
      <c r="F1859" s="5" t="s">
        <v>51</v>
      </c>
      <c r="G1859" s="5" t="s">
        <v>42</v>
      </c>
      <c r="H1859" s="5">
        <v>8</v>
      </c>
      <c r="I1859" s="7">
        <v>1952.28</v>
      </c>
      <c r="J1859" s="6">
        <v>45947</v>
      </c>
      <c r="K1859">
        <f t="shared" ref="K1859:K1922" si="29">I1859*H1859</f>
        <v>15618.24</v>
      </c>
      <c r="L1859" t="str">
        <f>INDEX(Raw_Shipments!L1859:L4287,MATCH(A1859,Raw_Shipments!B1859:B4287))</f>
        <v>No</v>
      </c>
    </row>
    <row r="1860" spans="1:12" x14ac:dyDescent="0.3">
      <c r="A1860" s="2" t="s">
        <v>2009</v>
      </c>
      <c r="B1860" s="3">
        <v>45940</v>
      </c>
      <c r="C1860" s="2" t="s">
        <v>44</v>
      </c>
      <c r="D1860" s="2" t="s">
        <v>30</v>
      </c>
      <c r="E1860" s="2" t="s">
        <v>53</v>
      </c>
      <c r="F1860" s="2" t="s">
        <v>54</v>
      </c>
      <c r="G1860" s="2" t="s">
        <v>55</v>
      </c>
      <c r="H1860" s="2">
        <v>52</v>
      </c>
      <c r="I1860" s="4">
        <v>2055.9</v>
      </c>
      <c r="J1860" s="3">
        <v>45945</v>
      </c>
      <c r="K1860">
        <f t="shared" si="29"/>
        <v>106906.8</v>
      </c>
      <c r="L1860" t="str">
        <f>INDEX(Raw_Shipments!L1860:L4288,MATCH(A1860,Raw_Shipments!B1860:B4288))</f>
        <v>No</v>
      </c>
    </row>
    <row r="1861" spans="1:12" x14ac:dyDescent="0.3">
      <c r="A1861" s="5" t="s">
        <v>2010</v>
      </c>
      <c r="B1861" s="6">
        <v>45940</v>
      </c>
      <c r="C1861" s="5" t="s">
        <v>39</v>
      </c>
      <c r="D1861" s="5" t="s">
        <v>45</v>
      </c>
      <c r="E1861" s="5" t="s">
        <v>58</v>
      </c>
      <c r="F1861" s="5" t="s">
        <v>59</v>
      </c>
      <c r="G1861" s="5" t="s">
        <v>55</v>
      </c>
      <c r="H1861" s="5">
        <v>14</v>
      </c>
      <c r="I1861" s="7">
        <v>1695.1</v>
      </c>
      <c r="J1861" s="6">
        <v>45943</v>
      </c>
      <c r="K1861">
        <f t="shared" si="29"/>
        <v>23731.399999999998</v>
      </c>
      <c r="L1861" t="str">
        <f>INDEX(Raw_Shipments!L1861:L4289,MATCH(A1861,Raw_Shipments!B1861:B4289))</f>
        <v>No</v>
      </c>
    </row>
    <row r="1862" spans="1:12" x14ac:dyDescent="0.3">
      <c r="A1862" s="2" t="s">
        <v>2011</v>
      </c>
      <c r="B1862" s="3">
        <v>45940</v>
      </c>
      <c r="C1862" s="2" t="s">
        <v>451</v>
      </c>
      <c r="D1862" s="2" t="s">
        <v>25</v>
      </c>
      <c r="E1862" s="2" t="s">
        <v>97</v>
      </c>
      <c r="F1862" s="2" t="s">
        <v>98</v>
      </c>
      <c r="G1862" s="2" t="s">
        <v>17</v>
      </c>
      <c r="H1862" s="2">
        <v>43</v>
      </c>
      <c r="I1862" s="4">
        <v>1110.6500000000001</v>
      </c>
      <c r="J1862" s="3">
        <v>45948</v>
      </c>
      <c r="K1862">
        <f t="shared" si="29"/>
        <v>47757.950000000004</v>
      </c>
      <c r="L1862" t="str">
        <f>INDEX(Raw_Shipments!L1862:L4290,MATCH(A1862,Raw_Shipments!B1862:B4290))</f>
        <v>No</v>
      </c>
    </row>
    <row r="1863" spans="1:12" x14ac:dyDescent="0.3">
      <c r="A1863" s="5" t="s">
        <v>2012</v>
      </c>
      <c r="B1863" s="6">
        <v>45940</v>
      </c>
      <c r="C1863" s="5" t="s">
        <v>75</v>
      </c>
      <c r="D1863" s="5" t="s">
        <v>25</v>
      </c>
      <c r="E1863" s="5" t="s">
        <v>26</v>
      </c>
      <c r="F1863" s="5" t="s">
        <v>27</v>
      </c>
      <c r="G1863" s="5" t="s">
        <v>22</v>
      </c>
      <c r="H1863" s="5">
        <v>47</v>
      </c>
      <c r="I1863" s="7">
        <v>1646.8</v>
      </c>
      <c r="J1863" s="6">
        <v>45945</v>
      </c>
      <c r="K1863">
        <f t="shared" si="29"/>
        <v>77399.599999999991</v>
      </c>
      <c r="L1863" t="str">
        <f>INDEX(Raw_Shipments!L1863:L4291,MATCH(A1863,Raw_Shipments!B1863:B4291))</f>
        <v>Yes</v>
      </c>
    </row>
    <row r="1864" spans="1:12" x14ac:dyDescent="0.3">
      <c r="A1864" s="2" t="s">
        <v>2013</v>
      </c>
      <c r="B1864" s="3">
        <v>45940</v>
      </c>
      <c r="C1864" s="2" t="s">
        <v>178</v>
      </c>
      <c r="D1864" s="2" t="s">
        <v>30</v>
      </c>
      <c r="E1864" s="2" t="s">
        <v>36</v>
      </c>
      <c r="F1864" s="2" t="s">
        <v>37</v>
      </c>
      <c r="G1864" s="2" t="s">
        <v>33</v>
      </c>
      <c r="H1864" s="2">
        <v>50</v>
      </c>
      <c r="I1864" s="4">
        <v>1064.79</v>
      </c>
      <c r="J1864" s="3">
        <v>45947</v>
      </c>
      <c r="K1864">
        <f t="shared" si="29"/>
        <v>53239.5</v>
      </c>
      <c r="L1864" t="str">
        <f>INDEX(Raw_Shipments!L1864:L4292,MATCH(A1864,Raw_Shipments!B1864:B4292))</f>
        <v>Yes</v>
      </c>
    </row>
    <row r="1865" spans="1:12" x14ac:dyDescent="0.3">
      <c r="A1865" s="5" t="s">
        <v>2014</v>
      </c>
      <c r="B1865" s="6">
        <v>45940</v>
      </c>
      <c r="C1865" s="5" t="s">
        <v>111</v>
      </c>
      <c r="D1865" s="5" t="s">
        <v>45</v>
      </c>
      <c r="E1865" s="5" t="s">
        <v>40</v>
      </c>
      <c r="F1865" s="5" t="s">
        <v>41</v>
      </c>
      <c r="G1865" s="5" t="s">
        <v>42</v>
      </c>
      <c r="H1865" s="5">
        <v>13</v>
      </c>
      <c r="I1865" s="7">
        <v>2445.11</v>
      </c>
      <c r="J1865" s="6">
        <v>45945</v>
      </c>
      <c r="K1865">
        <f t="shared" si="29"/>
        <v>31786.43</v>
      </c>
      <c r="L1865" t="str">
        <f>INDEX(Raw_Shipments!L1865:L4293,MATCH(A1865,Raw_Shipments!B1865:B4293))</f>
        <v>No</v>
      </c>
    </row>
    <row r="1866" spans="1:12" x14ac:dyDescent="0.3">
      <c r="A1866" s="2" t="s">
        <v>2015</v>
      </c>
      <c r="B1866" s="3">
        <v>45940</v>
      </c>
      <c r="C1866" s="2" t="s">
        <v>107</v>
      </c>
      <c r="D1866" s="2" t="s">
        <v>14</v>
      </c>
      <c r="E1866" s="2" t="s">
        <v>46</v>
      </c>
      <c r="F1866" s="2" t="s">
        <v>47</v>
      </c>
      <c r="G1866" s="2" t="s">
        <v>42</v>
      </c>
      <c r="H1866" s="2">
        <v>9</v>
      </c>
      <c r="I1866" s="4">
        <v>1833.14</v>
      </c>
      <c r="J1866" s="3">
        <v>45947</v>
      </c>
      <c r="K1866">
        <f t="shared" si="29"/>
        <v>16498.260000000002</v>
      </c>
      <c r="L1866" t="str">
        <f>INDEX(Raw_Shipments!L1866:L4294,MATCH(A1866,Raw_Shipments!B1866:B4294))</f>
        <v>No</v>
      </c>
    </row>
    <row r="1867" spans="1:12" x14ac:dyDescent="0.3">
      <c r="A1867" s="5" t="s">
        <v>2016</v>
      </c>
      <c r="B1867" s="6">
        <v>45941</v>
      </c>
      <c r="C1867" s="5" t="s">
        <v>260</v>
      </c>
      <c r="D1867" s="5" t="s">
        <v>25</v>
      </c>
      <c r="E1867" s="5" t="s">
        <v>66</v>
      </c>
      <c r="F1867" s="5" t="s">
        <v>67</v>
      </c>
      <c r="G1867" s="5" t="s">
        <v>17</v>
      </c>
      <c r="H1867" s="5">
        <v>35</v>
      </c>
      <c r="I1867" s="7">
        <v>850.8</v>
      </c>
      <c r="J1867" s="6">
        <v>45947</v>
      </c>
      <c r="K1867">
        <f t="shared" si="29"/>
        <v>29778</v>
      </c>
      <c r="L1867" t="str">
        <f>INDEX(Raw_Shipments!L1867:L4295,MATCH(A1867,Raw_Shipments!B1867:B4295))</f>
        <v>No</v>
      </c>
    </row>
    <row r="1868" spans="1:12" x14ac:dyDescent="0.3">
      <c r="A1868" s="2" t="s">
        <v>2017</v>
      </c>
      <c r="B1868" s="3">
        <v>45941</v>
      </c>
      <c r="C1868" s="2" t="s">
        <v>331</v>
      </c>
      <c r="D1868" s="2" t="s">
        <v>30</v>
      </c>
      <c r="E1868" s="2" t="s">
        <v>97</v>
      </c>
      <c r="F1868" s="2" t="s">
        <v>98</v>
      </c>
      <c r="G1868" s="2" t="s">
        <v>17</v>
      </c>
      <c r="H1868" s="2">
        <v>30</v>
      </c>
      <c r="I1868" s="4">
        <v>1110.6500000000001</v>
      </c>
      <c r="J1868" s="3">
        <v>45949</v>
      </c>
      <c r="K1868">
        <f t="shared" si="29"/>
        <v>33319.5</v>
      </c>
      <c r="L1868" t="str">
        <f>INDEX(Raw_Shipments!L1868:L4296,MATCH(A1868,Raw_Shipments!B1868:B4296))</f>
        <v>Yes</v>
      </c>
    </row>
    <row r="1869" spans="1:12" x14ac:dyDescent="0.3">
      <c r="A1869" s="5" t="s">
        <v>2018</v>
      </c>
      <c r="B1869" s="6">
        <v>45941</v>
      </c>
      <c r="C1869" s="5" t="s">
        <v>337</v>
      </c>
      <c r="D1869" s="5" t="s">
        <v>30</v>
      </c>
      <c r="E1869" s="5" t="s">
        <v>15</v>
      </c>
      <c r="F1869" s="5" t="s">
        <v>16</v>
      </c>
      <c r="G1869" s="5" t="s">
        <v>17</v>
      </c>
      <c r="H1869" s="5">
        <v>19</v>
      </c>
      <c r="I1869" s="7">
        <v>183.06</v>
      </c>
      <c r="J1869" s="6">
        <v>45950</v>
      </c>
      <c r="K1869">
        <f t="shared" si="29"/>
        <v>3478.14</v>
      </c>
      <c r="L1869" t="str">
        <f>INDEX(Raw_Shipments!L1869:L4297,MATCH(A1869,Raw_Shipments!B1869:B4297))</f>
        <v>No</v>
      </c>
    </row>
    <row r="1870" spans="1:12" x14ac:dyDescent="0.3">
      <c r="A1870" s="2" t="s">
        <v>2019</v>
      </c>
      <c r="B1870" s="3">
        <v>45941</v>
      </c>
      <c r="C1870" s="2" t="s">
        <v>115</v>
      </c>
      <c r="D1870" s="2" t="s">
        <v>25</v>
      </c>
      <c r="E1870" s="2" t="s">
        <v>20</v>
      </c>
      <c r="F1870" s="2" t="s">
        <v>21</v>
      </c>
      <c r="G1870" s="2" t="s">
        <v>22</v>
      </c>
      <c r="H1870" s="2">
        <v>20</v>
      </c>
      <c r="I1870" s="4">
        <v>2108.56</v>
      </c>
      <c r="J1870" s="3">
        <v>45946</v>
      </c>
      <c r="K1870">
        <f t="shared" si="29"/>
        <v>42171.199999999997</v>
      </c>
      <c r="L1870" t="str">
        <f>INDEX(Raw_Shipments!L1870:L4298,MATCH(A1870,Raw_Shipments!B1870:B4298))</f>
        <v>No</v>
      </c>
    </row>
    <row r="1871" spans="1:12" x14ac:dyDescent="0.3">
      <c r="A1871" s="5" t="s">
        <v>2020</v>
      </c>
      <c r="B1871" s="6">
        <v>45941</v>
      </c>
      <c r="C1871" s="5" t="s">
        <v>150</v>
      </c>
      <c r="D1871" s="5" t="s">
        <v>30</v>
      </c>
      <c r="E1871" s="5" t="s">
        <v>119</v>
      </c>
      <c r="F1871" s="5" t="s">
        <v>120</v>
      </c>
      <c r="G1871" s="5" t="s">
        <v>22</v>
      </c>
      <c r="H1871" s="5">
        <v>45</v>
      </c>
      <c r="I1871" s="7">
        <v>912.26</v>
      </c>
      <c r="J1871" s="6">
        <v>45949</v>
      </c>
      <c r="K1871">
        <f t="shared" si="29"/>
        <v>41051.699999999997</v>
      </c>
      <c r="L1871" t="str">
        <f>INDEX(Raw_Shipments!L1871:L4299,MATCH(A1871,Raw_Shipments!B1871:B4299))</f>
        <v>Yes</v>
      </c>
    </row>
    <row r="1872" spans="1:12" x14ac:dyDescent="0.3">
      <c r="A1872" s="2" t="s">
        <v>2021</v>
      </c>
      <c r="B1872" s="3">
        <v>45941</v>
      </c>
      <c r="C1872" s="2" t="s">
        <v>198</v>
      </c>
      <c r="D1872" s="2" t="s">
        <v>14</v>
      </c>
      <c r="E1872" s="2" t="s">
        <v>36</v>
      </c>
      <c r="F1872" s="2" t="s">
        <v>37</v>
      </c>
      <c r="G1872" s="2" t="s">
        <v>33</v>
      </c>
      <c r="H1872" s="2">
        <v>33</v>
      </c>
      <c r="I1872" s="4">
        <v>1064.79</v>
      </c>
      <c r="J1872" s="3">
        <v>45950</v>
      </c>
      <c r="K1872">
        <f t="shared" si="29"/>
        <v>35138.07</v>
      </c>
      <c r="L1872" t="str">
        <f>INDEX(Raw_Shipments!L1872:L4300,MATCH(A1872,Raw_Shipments!B1872:B4300))</f>
        <v>Yes</v>
      </c>
    </row>
    <row r="1873" spans="1:12" x14ac:dyDescent="0.3">
      <c r="A1873" s="5" t="s">
        <v>2022</v>
      </c>
      <c r="B1873" s="6">
        <v>45941</v>
      </c>
      <c r="C1873" s="5" t="s">
        <v>122</v>
      </c>
      <c r="D1873" s="5" t="s">
        <v>30</v>
      </c>
      <c r="E1873" s="5" t="s">
        <v>46</v>
      </c>
      <c r="F1873" s="5" t="s">
        <v>47</v>
      </c>
      <c r="G1873" s="5" t="s">
        <v>42</v>
      </c>
      <c r="H1873" s="5">
        <v>6</v>
      </c>
      <c r="I1873" s="7">
        <v>1833.14</v>
      </c>
      <c r="J1873" s="6">
        <v>45945</v>
      </c>
      <c r="K1873">
        <f t="shared" si="29"/>
        <v>10998.84</v>
      </c>
      <c r="L1873" t="str">
        <f>INDEX(Raw_Shipments!L1873:L4301,MATCH(A1873,Raw_Shipments!B1873:B4301))</f>
        <v>No</v>
      </c>
    </row>
    <row r="1874" spans="1:12" x14ac:dyDescent="0.3">
      <c r="A1874" s="2" t="s">
        <v>2023</v>
      </c>
      <c r="B1874" s="3">
        <v>45942</v>
      </c>
      <c r="C1874" s="2" t="s">
        <v>279</v>
      </c>
      <c r="D1874" s="2" t="s">
        <v>45</v>
      </c>
      <c r="E1874" s="2" t="s">
        <v>53</v>
      </c>
      <c r="F1874" s="2" t="s">
        <v>54</v>
      </c>
      <c r="G1874" s="2" t="s">
        <v>55</v>
      </c>
      <c r="H1874" s="2">
        <v>41</v>
      </c>
      <c r="I1874" s="4">
        <v>2055.9</v>
      </c>
      <c r="J1874" s="3">
        <v>45952</v>
      </c>
      <c r="K1874">
        <f t="shared" si="29"/>
        <v>84291.900000000009</v>
      </c>
      <c r="L1874" t="str">
        <f>INDEX(Raw_Shipments!L1874:L4302,MATCH(A1874,Raw_Shipments!B1874:B4302))</f>
        <v>No</v>
      </c>
    </row>
    <row r="1875" spans="1:12" x14ac:dyDescent="0.3">
      <c r="A1875" s="5" t="s">
        <v>2024</v>
      </c>
      <c r="B1875" s="6">
        <v>45942</v>
      </c>
      <c r="C1875" s="5" t="s">
        <v>217</v>
      </c>
      <c r="D1875" s="5" t="s">
        <v>14</v>
      </c>
      <c r="E1875" s="5" t="s">
        <v>62</v>
      </c>
      <c r="F1875" s="5" t="s">
        <v>63</v>
      </c>
      <c r="G1875" s="5" t="s">
        <v>55</v>
      </c>
      <c r="H1875" s="5">
        <v>64</v>
      </c>
      <c r="I1875" s="7">
        <v>2555.2199999999998</v>
      </c>
      <c r="J1875" s="6">
        <v>45951</v>
      </c>
      <c r="K1875">
        <f t="shared" si="29"/>
        <v>163534.07999999999</v>
      </c>
      <c r="L1875" t="str">
        <f>INDEX(Raw_Shipments!L1875:L4303,MATCH(A1875,Raw_Shipments!B1875:B4303))</f>
        <v>Yes</v>
      </c>
    </row>
    <row r="1876" spans="1:12" x14ac:dyDescent="0.3">
      <c r="A1876" s="2" t="s">
        <v>2025</v>
      </c>
      <c r="B1876" s="3">
        <v>45942</v>
      </c>
      <c r="C1876" s="2" t="s">
        <v>220</v>
      </c>
      <c r="D1876" s="2" t="s">
        <v>14</v>
      </c>
      <c r="E1876" s="2" t="s">
        <v>97</v>
      </c>
      <c r="F1876" s="2" t="s">
        <v>98</v>
      </c>
      <c r="G1876" s="2" t="s">
        <v>17</v>
      </c>
      <c r="H1876" s="2">
        <v>17</v>
      </c>
      <c r="I1876" s="4">
        <v>1110.6500000000001</v>
      </c>
      <c r="J1876" s="3">
        <v>45947</v>
      </c>
      <c r="K1876">
        <f t="shared" si="29"/>
        <v>18881.050000000003</v>
      </c>
      <c r="L1876" t="str">
        <f>INDEX(Raw_Shipments!L1876:L4304,MATCH(A1876,Raw_Shipments!B1876:B4304))</f>
        <v>No</v>
      </c>
    </row>
    <row r="1877" spans="1:12" x14ac:dyDescent="0.3">
      <c r="A1877" s="5" t="s">
        <v>2026</v>
      </c>
      <c r="B1877" s="6">
        <v>45942</v>
      </c>
      <c r="C1877" s="5" t="s">
        <v>222</v>
      </c>
      <c r="D1877" s="5" t="s">
        <v>45</v>
      </c>
      <c r="E1877" s="5" t="s">
        <v>15</v>
      </c>
      <c r="F1877" s="5" t="s">
        <v>16</v>
      </c>
      <c r="G1877" s="5" t="s">
        <v>17</v>
      </c>
      <c r="H1877" s="5">
        <v>26</v>
      </c>
      <c r="I1877" s="7">
        <v>183.06</v>
      </c>
      <c r="J1877" s="6">
        <v>45949</v>
      </c>
      <c r="K1877">
        <f t="shared" si="29"/>
        <v>4759.5600000000004</v>
      </c>
      <c r="L1877" t="str">
        <f>INDEX(Raw_Shipments!L1877:L4305,MATCH(A1877,Raw_Shipments!B1877:B4305))</f>
        <v>No</v>
      </c>
    </row>
    <row r="1878" spans="1:12" x14ac:dyDescent="0.3">
      <c r="A1878" s="2" t="s">
        <v>2027</v>
      </c>
      <c r="B1878" s="3">
        <v>45942</v>
      </c>
      <c r="C1878" s="2" t="s">
        <v>262</v>
      </c>
      <c r="D1878" s="2" t="s">
        <v>14</v>
      </c>
      <c r="E1878" s="2" t="s">
        <v>20</v>
      </c>
      <c r="F1878" s="2" t="s">
        <v>21</v>
      </c>
      <c r="G1878" s="2" t="s">
        <v>22</v>
      </c>
      <c r="H1878" s="2">
        <v>13</v>
      </c>
      <c r="I1878" s="4">
        <v>2108.56</v>
      </c>
      <c r="J1878" s="3">
        <v>45952</v>
      </c>
      <c r="K1878">
        <f t="shared" si="29"/>
        <v>27411.279999999999</v>
      </c>
      <c r="L1878" t="str">
        <f>INDEX(Raw_Shipments!L1878:L4306,MATCH(A1878,Raw_Shipments!B1878:B4306))</f>
        <v>No</v>
      </c>
    </row>
    <row r="1879" spans="1:12" x14ac:dyDescent="0.3">
      <c r="A1879" s="5" t="s">
        <v>2028</v>
      </c>
      <c r="B1879" s="6">
        <v>45942</v>
      </c>
      <c r="C1879" s="5" t="s">
        <v>96</v>
      </c>
      <c r="D1879" s="5" t="s">
        <v>14</v>
      </c>
      <c r="E1879" s="5" t="s">
        <v>31</v>
      </c>
      <c r="F1879" s="5" t="s">
        <v>32</v>
      </c>
      <c r="G1879" s="5" t="s">
        <v>33</v>
      </c>
      <c r="H1879" s="5">
        <v>50</v>
      </c>
      <c r="I1879" s="7">
        <v>689</v>
      </c>
      <c r="J1879" s="6">
        <v>45950</v>
      </c>
      <c r="K1879">
        <f t="shared" si="29"/>
        <v>34450</v>
      </c>
      <c r="L1879" t="str">
        <f>INDEX(Raw_Shipments!L1879:L4307,MATCH(A1879,Raw_Shipments!B1879:B4307))</f>
        <v>No</v>
      </c>
    </row>
    <row r="1880" spans="1:12" x14ac:dyDescent="0.3">
      <c r="A1880" s="2" t="s">
        <v>2029</v>
      </c>
      <c r="B1880" s="3">
        <v>45942</v>
      </c>
      <c r="C1880" s="2" t="s">
        <v>227</v>
      </c>
      <c r="D1880" s="2" t="s">
        <v>45</v>
      </c>
      <c r="E1880" s="2" t="s">
        <v>40</v>
      </c>
      <c r="F1880" s="2" t="s">
        <v>41</v>
      </c>
      <c r="G1880" s="2" t="s">
        <v>42</v>
      </c>
      <c r="H1880" s="2">
        <v>48</v>
      </c>
      <c r="I1880" s="4">
        <v>2445.11</v>
      </c>
      <c r="J1880" s="3">
        <v>45952</v>
      </c>
      <c r="K1880">
        <f t="shared" si="29"/>
        <v>117365.28</v>
      </c>
      <c r="L1880" t="str">
        <f>INDEX(Raw_Shipments!L1880:L4308,MATCH(A1880,Raw_Shipments!B1880:B4308))</f>
        <v>No</v>
      </c>
    </row>
    <row r="1881" spans="1:12" x14ac:dyDescent="0.3">
      <c r="A1881" s="5" t="s">
        <v>2030</v>
      </c>
      <c r="B1881" s="6">
        <v>45943</v>
      </c>
      <c r="C1881" s="5" t="s">
        <v>238</v>
      </c>
      <c r="D1881" s="5" t="s">
        <v>30</v>
      </c>
      <c r="E1881" s="5" t="s">
        <v>20</v>
      </c>
      <c r="F1881" s="5" t="s">
        <v>21</v>
      </c>
      <c r="G1881" s="5" t="s">
        <v>22</v>
      </c>
      <c r="H1881" s="5">
        <v>19</v>
      </c>
      <c r="I1881" s="7">
        <v>2108.56</v>
      </c>
      <c r="J1881" s="6">
        <v>45946</v>
      </c>
      <c r="K1881">
        <f t="shared" si="29"/>
        <v>40062.639999999999</v>
      </c>
      <c r="L1881" t="str">
        <f>INDEX(Raw_Shipments!L1881:L4309,MATCH(A1881,Raw_Shipments!B1881:B4309))</f>
        <v>No</v>
      </c>
    </row>
    <row r="1882" spans="1:12" x14ac:dyDescent="0.3">
      <c r="A1882" s="2" t="s">
        <v>2031</v>
      </c>
      <c r="B1882" s="3">
        <v>45943</v>
      </c>
      <c r="C1882" s="2" t="s">
        <v>545</v>
      </c>
      <c r="D1882" s="2" t="s">
        <v>45</v>
      </c>
      <c r="E1882" s="2" t="s">
        <v>31</v>
      </c>
      <c r="F1882" s="2" t="s">
        <v>32</v>
      </c>
      <c r="G1882" s="2" t="s">
        <v>33</v>
      </c>
      <c r="H1882" s="2">
        <v>17</v>
      </c>
      <c r="I1882" s="4">
        <v>689</v>
      </c>
      <c r="J1882" s="3">
        <v>45953</v>
      </c>
      <c r="K1882">
        <f t="shared" si="29"/>
        <v>11713</v>
      </c>
      <c r="L1882" t="str">
        <f>INDEX(Raw_Shipments!L1882:L4310,MATCH(A1882,Raw_Shipments!B1882:B4310))</f>
        <v>Yes</v>
      </c>
    </row>
    <row r="1883" spans="1:12" x14ac:dyDescent="0.3">
      <c r="A1883" s="5" t="s">
        <v>2032</v>
      </c>
      <c r="B1883" s="6">
        <v>45943</v>
      </c>
      <c r="C1883" s="5" t="s">
        <v>150</v>
      </c>
      <c r="D1883" s="5" t="s">
        <v>45</v>
      </c>
      <c r="E1883" s="5" t="s">
        <v>36</v>
      </c>
      <c r="F1883" s="5" t="s">
        <v>37</v>
      </c>
      <c r="G1883" s="5" t="s">
        <v>33</v>
      </c>
      <c r="H1883" s="5">
        <v>71</v>
      </c>
      <c r="I1883" s="7">
        <v>1064.79</v>
      </c>
      <c r="J1883" s="6">
        <v>45950</v>
      </c>
      <c r="K1883">
        <f t="shared" si="29"/>
        <v>75600.09</v>
      </c>
      <c r="L1883" t="str">
        <f>INDEX(Raw_Shipments!L1883:L4311,MATCH(A1883,Raw_Shipments!B1883:B4311))</f>
        <v>Yes</v>
      </c>
    </row>
    <row r="1884" spans="1:12" x14ac:dyDescent="0.3">
      <c r="A1884" s="2" t="s">
        <v>2033</v>
      </c>
      <c r="B1884" s="3">
        <v>45943</v>
      </c>
      <c r="C1884" s="2" t="s">
        <v>65</v>
      </c>
      <c r="D1884" s="2" t="s">
        <v>14</v>
      </c>
      <c r="E1884" s="2" t="s">
        <v>40</v>
      </c>
      <c r="F1884" s="2" t="s">
        <v>41</v>
      </c>
      <c r="G1884" s="2" t="s">
        <v>42</v>
      </c>
      <c r="H1884" s="2">
        <v>29</v>
      </c>
      <c r="I1884" s="4">
        <v>2445.11</v>
      </c>
      <c r="J1884" s="3">
        <v>45949</v>
      </c>
      <c r="K1884">
        <f t="shared" si="29"/>
        <v>70908.19</v>
      </c>
      <c r="L1884" t="str">
        <f>INDEX(Raw_Shipments!L1884:L4312,MATCH(A1884,Raw_Shipments!B1884:B4312))</f>
        <v>No</v>
      </c>
    </row>
    <row r="1885" spans="1:12" x14ac:dyDescent="0.3">
      <c r="A1885" s="5" t="s">
        <v>2034</v>
      </c>
      <c r="B1885" s="6">
        <v>45943</v>
      </c>
      <c r="C1885" s="5" t="s">
        <v>117</v>
      </c>
      <c r="D1885" s="5" t="s">
        <v>45</v>
      </c>
      <c r="E1885" s="5" t="s">
        <v>46</v>
      </c>
      <c r="F1885" s="5" t="s">
        <v>47</v>
      </c>
      <c r="G1885" s="5" t="s">
        <v>42</v>
      </c>
      <c r="H1885" s="5">
        <v>6</v>
      </c>
      <c r="I1885" s="7">
        <v>1833.14</v>
      </c>
      <c r="J1885" s="6">
        <v>45951</v>
      </c>
      <c r="K1885">
        <f t="shared" si="29"/>
        <v>10998.84</v>
      </c>
      <c r="L1885" t="str">
        <f>INDEX(Raw_Shipments!L1885:L4313,MATCH(A1885,Raw_Shipments!B1885:B4313))</f>
        <v>No</v>
      </c>
    </row>
    <row r="1886" spans="1:12" x14ac:dyDescent="0.3">
      <c r="A1886" s="2" t="s">
        <v>2035</v>
      </c>
      <c r="B1886" s="3">
        <v>45944</v>
      </c>
      <c r="C1886" s="2" t="s">
        <v>431</v>
      </c>
      <c r="D1886" s="2" t="s">
        <v>25</v>
      </c>
      <c r="E1886" s="2" t="s">
        <v>66</v>
      </c>
      <c r="F1886" s="2" t="s">
        <v>67</v>
      </c>
      <c r="G1886" s="2" t="s">
        <v>17</v>
      </c>
      <c r="H1886" s="2">
        <v>15</v>
      </c>
      <c r="I1886" s="4">
        <v>850.8</v>
      </c>
      <c r="J1886" s="3">
        <v>45954</v>
      </c>
      <c r="K1886">
        <f t="shared" si="29"/>
        <v>12762</v>
      </c>
      <c r="L1886" t="str">
        <f>INDEX(Raw_Shipments!L1886:L4314,MATCH(A1886,Raw_Shipments!B1886:B4314))</f>
        <v>No</v>
      </c>
    </row>
    <row r="1887" spans="1:12" x14ac:dyDescent="0.3">
      <c r="A1887" s="5" t="s">
        <v>2036</v>
      </c>
      <c r="B1887" s="6">
        <v>45944</v>
      </c>
      <c r="C1887" s="5" t="s">
        <v>154</v>
      </c>
      <c r="D1887" s="5" t="s">
        <v>14</v>
      </c>
      <c r="E1887" s="5" t="s">
        <v>119</v>
      </c>
      <c r="F1887" s="5" t="s">
        <v>120</v>
      </c>
      <c r="G1887" s="5" t="s">
        <v>22</v>
      </c>
      <c r="H1887" s="5">
        <v>35</v>
      </c>
      <c r="I1887" s="7">
        <v>912.26</v>
      </c>
      <c r="J1887" s="6">
        <v>45951</v>
      </c>
      <c r="K1887">
        <f t="shared" si="29"/>
        <v>31929.1</v>
      </c>
      <c r="L1887" t="str">
        <f>INDEX(Raw_Shipments!L1887:L4315,MATCH(A1887,Raw_Shipments!B1887:B4315))</f>
        <v>No</v>
      </c>
    </row>
    <row r="1888" spans="1:12" x14ac:dyDescent="0.3">
      <c r="A1888" s="2" t="s">
        <v>2037</v>
      </c>
      <c r="B1888" s="3">
        <v>45944</v>
      </c>
      <c r="C1888" s="2" t="s">
        <v>220</v>
      </c>
      <c r="D1888" s="2" t="s">
        <v>30</v>
      </c>
      <c r="E1888" s="2" t="s">
        <v>86</v>
      </c>
      <c r="F1888" s="2" t="s">
        <v>87</v>
      </c>
      <c r="G1888" s="2" t="s">
        <v>33</v>
      </c>
      <c r="H1888" s="2">
        <v>29</v>
      </c>
      <c r="I1888" s="4">
        <v>815.88</v>
      </c>
      <c r="J1888" s="3">
        <v>45951</v>
      </c>
      <c r="K1888">
        <f t="shared" si="29"/>
        <v>23660.52</v>
      </c>
      <c r="L1888" t="str">
        <f>INDEX(Raw_Shipments!L1888:L4316,MATCH(A1888,Raw_Shipments!B1888:B4316))</f>
        <v>No</v>
      </c>
    </row>
    <row r="1889" spans="1:12" x14ac:dyDescent="0.3">
      <c r="A1889" s="5" t="s">
        <v>2038</v>
      </c>
      <c r="B1889" s="6">
        <v>45944</v>
      </c>
      <c r="C1889" s="5" t="s">
        <v>135</v>
      </c>
      <c r="D1889" s="5" t="s">
        <v>25</v>
      </c>
      <c r="E1889" s="5" t="s">
        <v>46</v>
      </c>
      <c r="F1889" s="5" t="s">
        <v>47</v>
      </c>
      <c r="G1889" s="5" t="s">
        <v>42</v>
      </c>
      <c r="H1889" s="5">
        <v>4</v>
      </c>
      <c r="I1889" s="7">
        <v>1833.14</v>
      </c>
      <c r="J1889" s="6">
        <v>45949</v>
      </c>
      <c r="K1889">
        <f t="shared" si="29"/>
        <v>7332.56</v>
      </c>
      <c r="L1889" t="str">
        <f>INDEX(Raw_Shipments!L1889:L4317,MATCH(A1889,Raw_Shipments!B1889:B4317))</f>
        <v>No</v>
      </c>
    </row>
    <row r="1890" spans="1:12" x14ac:dyDescent="0.3">
      <c r="A1890" s="2" t="s">
        <v>2039</v>
      </c>
      <c r="B1890" s="3">
        <v>45945</v>
      </c>
      <c r="C1890" s="2" t="s">
        <v>135</v>
      </c>
      <c r="D1890" s="2" t="s">
        <v>45</v>
      </c>
      <c r="E1890" s="2" t="s">
        <v>53</v>
      </c>
      <c r="F1890" s="2" t="s">
        <v>54</v>
      </c>
      <c r="G1890" s="2" t="s">
        <v>55</v>
      </c>
      <c r="H1890" s="2">
        <v>45</v>
      </c>
      <c r="I1890" s="4">
        <v>2055.9</v>
      </c>
      <c r="J1890" s="3">
        <v>45952</v>
      </c>
      <c r="K1890">
        <f t="shared" si="29"/>
        <v>92515.5</v>
      </c>
      <c r="L1890" t="str">
        <f>INDEX(Raw_Shipments!L1890:L4318,MATCH(A1890,Raw_Shipments!B1890:B4318))</f>
        <v>No</v>
      </c>
    </row>
    <row r="1891" spans="1:12" x14ac:dyDescent="0.3">
      <c r="A1891" s="5" t="s">
        <v>2040</v>
      </c>
      <c r="B1891" s="6">
        <v>45945</v>
      </c>
      <c r="C1891" s="5" t="s">
        <v>65</v>
      </c>
      <c r="D1891" s="5" t="s">
        <v>14</v>
      </c>
      <c r="E1891" s="5" t="s">
        <v>58</v>
      </c>
      <c r="F1891" s="5" t="s">
        <v>59</v>
      </c>
      <c r="G1891" s="5" t="s">
        <v>55</v>
      </c>
      <c r="H1891" s="5">
        <v>36</v>
      </c>
      <c r="I1891" s="7">
        <v>1695.1</v>
      </c>
      <c r="J1891" s="6">
        <v>45954</v>
      </c>
      <c r="K1891">
        <f t="shared" si="29"/>
        <v>61023.6</v>
      </c>
      <c r="L1891" t="str">
        <f>INDEX(Raw_Shipments!L1891:L4319,MATCH(A1891,Raw_Shipments!B1891:B4319))</f>
        <v>No</v>
      </c>
    </row>
    <row r="1892" spans="1:12" x14ac:dyDescent="0.3">
      <c r="A1892" s="2" t="s">
        <v>2041</v>
      </c>
      <c r="B1892" s="3">
        <v>45945</v>
      </c>
      <c r="C1892" s="2" t="s">
        <v>107</v>
      </c>
      <c r="D1892" s="2" t="s">
        <v>30</v>
      </c>
      <c r="E1892" s="2" t="s">
        <v>119</v>
      </c>
      <c r="F1892" s="2" t="s">
        <v>120</v>
      </c>
      <c r="G1892" s="2" t="s">
        <v>22</v>
      </c>
      <c r="H1892" s="2">
        <v>72</v>
      </c>
      <c r="I1892" s="4">
        <v>912.26</v>
      </c>
      <c r="J1892" s="3">
        <v>45955</v>
      </c>
      <c r="K1892">
        <f t="shared" si="29"/>
        <v>65682.720000000001</v>
      </c>
      <c r="L1892" t="str">
        <f>INDEX(Raw_Shipments!L1892:L4320,MATCH(A1892,Raw_Shipments!B1892:B4320))</f>
        <v>Yes</v>
      </c>
    </row>
    <row r="1893" spans="1:12" x14ac:dyDescent="0.3">
      <c r="A1893" s="5" t="s">
        <v>2042</v>
      </c>
      <c r="B1893" s="6">
        <v>45945</v>
      </c>
      <c r="C1893" s="5" t="s">
        <v>232</v>
      </c>
      <c r="D1893" s="5" t="s">
        <v>14</v>
      </c>
      <c r="E1893" s="5" t="s">
        <v>31</v>
      </c>
      <c r="F1893" s="5" t="s">
        <v>32</v>
      </c>
      <c r="G1893" s="5" t="s">
        <v>33</v>
      </c>
      <c r="H1893" s="5">
        <v>37</v>
      </c>
      <c r="I1893" s="7">
        <v>689</v>
      </c>
      <c r="J1893" s="6">
        <v>45949</v>
      </c>
      <c r="K1893">
        <f t="shared" si="29"/>
        <v>25493</v>
      </c>
      <c r="L1893" t="str">
        <f>INDEX(Raw_Shipments!L1893:L4321,MATCH(A1893,Raw_Shipments!B1893:B4321))</f>
        <v>No</v>
      </c>
    </row>
    <row r="1894" spans="1:12" x14ac:dyDescent="0.3">
      <c r="A1894" s="2" t="s">
        <v>2043</v>
      </c>
      <c r="B1894" s="3">
        <v>45945</v>
      </c>
      <c r="C1894" s="2" t="s">
        <v>473</v>
      </c>
      <c r="D1894" s="2" t="s">
        <v>14</v>
      </c>
      <c r="E1894" s="2" t="s">
        <v>36</v>
      </c>
      <c r="F1894" s="2" t="s">
        <v>37</v>
      </c>
      <c r="G1894" s="2" t="s">
        <v>33</v>
      </c>
      <c r="H1894" s="2">
        <v>50</v>
      </c>
      <c r="I1894" s="4">
        <v>1064.79</v>
      </c>
      <c r="J1894" s="3">
        <v>45949</v>
      </c>
      <c r="K1894">
        <f t="shared" si="29"/>
        <v>53239.5</v>
      </c>
      <c r="L1894" t="str">
        <f>INDEX(Raw_Shipments!L1894:L4322,MATCH(A1894,Raw_Shipments!B1894:B4322))</f>
        <v>No</v>
      </c>
    </row>
    <row r="1895" spans="1:12" x14ac:dyDescent="0.3">
      <c r="A1895" s="5" t="s">
        <v>2044</v>
      </c>
      <c r="B1895" s="6">
        <v>45945</v>
      </c>
      <c r="C1895" s="5" t="s">
        <v>195</v>
      </c>
      <c r="D1895" s="5" t="s">
        <v>45</v>
      </c>
      <c r="E1895" s="5" t="s">
        <v>86</v>
      </c>
      <c r="F1895" s="5" t="s">
        <v>87</v>
      </c>
      <c r="G1895" s="5" t="s">
        <v>33</v>
      </c>
      <c r="H1895" s="5">
        <v>41</v>
      </c>
      <c r="I1895" s="7">
        <v>815.88</v>
      </c>
      <c r="J1895" s="6">
        <v>45955</v>
      </c>
      <c r="K1895">
        <f t="shared" si="29"/>
        <v>33451.08</v>
      </c>
      <c r="L1895" t="str">
        <f>INDEX(Raw_Shipments!L1895:L4323,MATCH(A1895,Raw_Shipments!B1895:B4323))</f>
        <v>No</v>
      </c>
    </row>
    <row r="1896" spans="1:12" x14ac:dyDescent="0.3">
      <c r="A1896" s="2" t="s">
        <v>2045</v>
      </c>
      <c r="B1896" s="3">
        <v>45946</v>
      </c>
      <c r="C1896" s="2" t="s">
        <v>447</v>
      </c>
      <c r="D1896" s="2" t="s">
        <v>45</v>
      </c>
      <c r="E1896" s="2" t="s">
        <v>58</v>
      </c>
      <c r="F1896" s="2" t="s">
        <v>59</v>
      </c>
      <c r="G1896" s="2" t="s">
        <v>55</v>
      </c>
      <c r="H1896" s="2">
        <v>24</v>
      </c>
      <c r="I1896" s="4">
        <v>1695.1</v>
      </c>
      <c r="J1896" s="3">
        <v>45955</v>
      </c>
      <c r="K1896">
        <f t="shared" si="29"/>
        <v>40682.399999999994</v>
      </c>
      <c r="L1896" t="str">
        <f>INDEX(Raw_Shipments!L1896:L4324,MATCH(A1896,Raw_Shipments!B1896:B4324))</f>
        <v>No</v>
      </c>
    </row>
    <row r="1897" spans="1:12" x14ac:dyDescent="0.3">
      <c r="A1897" s="5" t="s">
        <v>2046</v>
      </c>
      <c r="B1897" s="6">
        <v>45946</v>
      </c>
      <c r="C1897" s="5" t="s">
        <v>71</v>
      </c>
      <c r="D1897" s="5" t="s">
        <v>30</v>
      </c>
      <c r="E1897" s="5" t="s">
        <v>97</v>
      </c>
      <c r="F1897" s="5" t="s">
        <v>98</v>
      </c>
      <c r="G1897" s="5" t="s">
        <v>17</v>
      </c>
      <c r="H1897" s="5">
        <v>50</v>
      </c>
      <c r="I1897" s="7">
        <v>1110.6500000000001</v>
      </c>
      <c r="J1897" s="6">
        <v>45950</v>
      </c>
      <c r="K1897">
        <f t="shared" si="29"/>
        <v>55532.500000000007</v>
      </c>
      <c r="L1897" t="str">
        <f>INDEX(Raw_Shipments!L1897:L4325,MATCH(A1897,Raw_Shipments!B1897:B4325))</f>
        <v>Yes</v>
      </c>
    </row>
    <row r="1898" spans="1:12" x14ac:dyDescent="0.3">
      <c r="A1898" s="2" t="s">
        <v>2047</v>
      </c>
      <c r="B1898" s="3">
        <v>45946</v>
      </c>
      <c r="C1898" s="2" t="s">
        <v>113</v>
      </c>
      <c r="D1898" s="2" t="s">
        <v>30</v>
      </c>
      <c r="E1898" s="2" t="s">
        <v>20</v>
      </c>
      <c r="F1898" s="2" t="s">
        <v>21</v>
      </c>
      <c r="G1898" s="2" t="s">
        <v>22</v>
      </c>
      <c r="H1898" s="2">
        <v>17</v>
      </c>
      <c r="I1898" s="4">
        <v>2108.56</v>
      </c>
      <c r="J1898" s="3">
        <v>45952</v>
      </c>
      <c r="K1898">
        <f t="shared" si="29"/>
        <v>35845.519999999997</v>
      </c>
      <c r="L1898" t="str">
        <f>INDEX(Raw_Shipments!L1898:L4326,MATCH(A1898,Raw_Shipments!B1898:B4326))</f>
        <v>No</v>
      </c>
    </row>
    <row r="1899" spans="1:12" x14ac:dyDescent="0.3">
      <c r="A1899" s="5" t="s">
        <v>2048</v>
      </c>
      <c r="B1899" s="6">
        <v>45946</v>
      </c>
      <c r="C1899" s="5" t="s">
        <v>217</v>
      </c>
      <c r="D1899" s="5" t="s">
        <v>25</v>
      </c>
      <c r="E1899" s="5" t="s">
        <v>119</v>
      </c>
      <c r="F1899" s="5" t="s">
        <v>120</v>
      </c>
      <c r="G1899" s="5" t="s">
        <v>22</v>
      </c>
      <c r="H1899" s="5">
        <v>78</v>
      </c>
      <c r="I1899" s="7">
        <v>912.26</v>
      </c>
      <c r="J1899" s="6">
        <v>45953</v>
      </c>
      <c r="K1899">
        <f t="shared" si="29"/>
        <v>71156.28</v>
      </c>
      <c r="L1899" t="str">
        <f>INDEX(Raw_Shipments!L1899:L4327,MATCH(A1899,Raw_Shipments!B1899:B4327))</f>
        <v>Yes</v>
      </c>
    </row>
    <row r="1900" spans="1:12" x14ac:dyDescent="0.3">
      <c r="A1900" s="2" t="s">
        <v>2049</v>
      </c>
      <c r="B1900" s="3">
        <v>45946</v>
      </c>
      <c r="C1900" s="2" t="s">
        <v>268</v>
      </c>
      <c r="D1900" s="2" t="s">
        <v>25</v>
      </c>
      <c r="E1900" s="2" t="s">
        <v>26</v>
      </c>
      <c r="F1900" s="2" t="s">
        <v>27</v>
      </c>
      <c r="G1900" s="2" t="s">
        <v>22</v>
      </c>
      <c r="H1900" s="2">
        <v>30</v>
      </c>
      <c r="I1900" s="4">
        <v>1646.8</v>
      </c>
      <c r="J1900" s="3">
        <v>45950</v>
      </c>
      <c r="K1900">
        <f t="shared" si="29"/>
        <v>49404</v>
      </c>
      <c r="L1900" t="str">
        <f>INDEX(Raw_Shipments!L1900:L4328,MATCH(A1900,Raw_Shipments!B1900:B4328))</f>
        <v>Yes</v>
      </c>
    </row>
    <row r="1901" spans="1:12" x14ac:dyDescent="0.3">
      <c r="A1901" s="5" t="s">
        <v>2050</v>
      </c>
      <c r="B1901" s="6">
        <v>45946</v>
      </c>
      <c r="C1901" s="5" t="s">
        <v>35</v>
      </c>
      <c r="D1901" s="5" t="s">
        <v>30</v>
      </c>
      <c r="E1901" s="5" t="s">
        <v>31</v>
      </c>
      <c r="F1901" s="5" t="s">
        <v>32</v>
      </c>
      <c r="G1901" s="5" t="s">
        <v>33</v>
      </c>
      <c r="H1901" s="5">
        <v>76</v>
      </c>
      <c r="I1901" s="7">
        <v>689</v>
      </c>
      <c r="J1901" s="6">
        <v>45952</v>
      </c>
      <c r="K1901">
        <f t="shared" si="29"/>
        <v>52364</v>
      </c>
      <c r="L1901" t="str">
        <f>INDEX(Raw_Shipments!L1901:L4329,MATCH(A1901,Raw_Shipments!B1901:B4329))</f>
        <v>No</v>
      </c>
    </row>
    <row r="1902" spans="1:12" x14ac:dyDescent="0.3">
      <c r="A1902" s="2" t="s">
        <v>2051</v>
      </c>
      <c r="B1902" s="3">
        <v>45946</v>
      </c>
      <c r="C1902" s="2" t="s">
        <v>57</v>
      </c>
      <c r="D1902" s="2" t="s">
        <v>45</v>
      </c>
      <c r="E1902" s="2" t="s">
        <v>46</v>
      </c>
      <c r="F1902" s="2" t="s">
        <v>47</v>
      </c>
      <c r="G1902" s="2" t="s">
        <v>42</v>
      </c>
      <c r="H1902" s="2">
        <v>6</v>
      </c>
      <c r="I1902" s="4">
        <v>1833.14</v>
      </c>
      <c r="J1902" s="3">
        <v>45950</v>
      </c>
      <c r="K1902">
        <f t="shared" si="29"/>
        <v>10998.84</v>
      </c>
      <c r="L1902" t="str">
        <f>INDEX(Raw_Shipments!L1902:L4330,MATCH(A1902,Raw_Shipments!B1902:B4330))</f>
        <v>No</v>
      </c>
    </row>
    <row r="1903" spans="1:12" x14ac:dyDescent="0.3">
      <c r="A1903" s="5" t="s">
        <v>2052</v>
      </c>
      <c r="B1903" s="6">
        <v>45947</v>
      </c>
      <c r="C1903" s="5" t="s">
        <v>122</v>
      </c>
      <c r="D1903" s="5" t="s">
        <v>30</v>
      </c>
      <c r="E1903" s="5" t="s">
        <v>53</v>
      </c>
      <c r="F1903" s="5" t="s">
        <v>54</v>
      </c>
      <c r="G1903" s="5" t="s">
        <v>55</v>
      </c>
      <c r="H1903" s="5">
        <v>34</v>
      </c>
      <c r="I1903" s="7">
        <v>2055.9</v>
      </c>
      <c r="J1903" s="6">
        <v>45953</v>
      </c>
      <c r="K1903">
        <f t="shared" si="29"/>
        <v>69900.600000000006</v>
      </c>
      <c r="L1903" t="str">
        <f>INDEX(Raw_Shipments!L1903:L4331,MATCH(A1903,Raw_Shipments!B1903:B4331))</f>
        <v>No</v>
      </c>
    </row>
    <row r="1904" spans="1:12" x14ac:dyDescent="0.3">
      <c r="A1904" s="2" t="s">
        <v>2053</v>
      </c>
      <c r="B1904" s="3">
        <v>45947</v>
      </c>
      <c r="C1904" s="2" t="s">
        <v>180</v>
      </c>
      <c r="D1904" s="2" t="s">
        <v>30</v>
      </c>
      <c r="E1904" s="2" t="s">
        <v>58</v>
      </c>
      <c r="F1904" s="2" t="s">
        <v>59</v>
      </c>
      <c r="G1904" s="2" t="s">
        <v>55</v>
      </c>
      <c r="H1904" s="2">
        <v>29</v>
      </c>
      <c r="I1904" s="4">
        <v>1695.1</v>
      </c>
      <c r="J1904" s="3">
        <v>45951</v>
      </c>
      <c r="K1904">
        <f t="shared" si="29"/>
        <v>49157.899999999994</v>
      </c>
      <c r="L1904" t="str">
        <f>INDEX(Raw_Shipments!L1904:L4332,MATCH(A1904,Raw_Shipments!B1904:B4332))</f>
        <v>No</v>
      </c>
    </row>
    <row r="1905" spans="1:12" x14ac:dyDescent="0.3">
      <c r="A1905" s="5" t="s">
        <v>2054</v>
      </c>
      <c r="B1905" s="6">
        <v>45947</v>
      </c>
      <c r="C1905" s="5" t="s">
        <v>125</v>
      </c>
      <c r="D1905" s="5" t="s">
        <v>25</v>
      </c>
      <c r="E1905" s="5" t="s">
        <v>66</v>
      </c>
      <c r="F1905" s="5" t="s">
        <v>67</v>
      </c>
      <c r="G1905" s="5" t="s">
        <v>17</v>
      </c>
      <c r="H1905" s="5">
        <v>17</v>
      </c>
      <c r="I1905" s="7">
        <v>850.8</v>
      </c>
      <c r="J1905" s="6">
        <v>45957</v>
      </c>
      <c r="K1905">
        <f t="shared" si="29"/>
        <v>14463.599999999999</v>
      </c>
      <c r="L1905" t="str">
        <f>INDEX(Raw_Shipments!L1905:L4333,MATCH(A1905,Raw_Shipments!B1905:B4333))</f>
        <v>No</v>
      </c>
    </row>
    <row r="1906" spans="1:12" x14ac:dyDescent="0.3">
      <c r="A1906" s="2" t="s">
        <v>2055</v>
      </c>
      <c r="B1906" s="3">
        <v>45947</v>
      </c>
      <c r="C1906" s="2" t="s">
        <v>77</v>
      </c>
      <c r="D1906" s="2" t="s">
        <v>14</v>
      </c>
      <c r="E1906" s="2" t="s">
        <v>119</v>
      </c>
      <c r="F1906" s="2" t="s">
        <v>120</v>
      </c>
      <c r="G1906" s="2" t="s">
        <v>22</v>
      </c>
      <c r="H1906" s="2">
        <v>29</v>
      </c>
      <c r="I1906" s="4">
        <v>912.26</v>
      </c>
      <c r="J1906" s="3">
        <v>45954</v>
      </c>
      <c r="K1906">
        <f t="shared" si="29"/>
        <v>26455.54</v>
      </c>
      <c r="L1906" t="str">
        <f>INDEX(Raw_Shipments!L1906:L4334,MATCH(A1906,Raw_Shipments!B1906:B4334))</f>
        <v>No</v>
      </c>
    </row>
    <row r="1907" spans="1:12" x14ac:dyDescent="0.3">
      <c r="A1907" s="5" t="s">
        <v>2056</v>
      </c>
      <c r="B1907" s="6">
        <v>45947</v>
      </c>
      <c r="C1907" s="5" t="s">
        <v>447</v>
      </c>
      <c r="D1907" s="5" t="s">
        <v>30</v>
      </c>
      <c r="E1907" s="5" t="s">
        <v>26</v>
      </c>
      <c r="F1907" s="5" t="s">
        <v>27</v>
      </c>
      <c r="G1907" s="5" t="s">
        <v>22</v>
      </c>
      <c r="H1907" s="5">
        <v>24</v>
      </c>
      <c r="I1907" s="7">
        <v>1646.8</v>
      </c>
      <c r="J1907" s="6">
        <v>45954</v>
      </c>
      <c r="K1907">
        <f t="shared" si="29"/>
        <v>39523.199999999997</v>
      </c>
      <c r="L1907" t="str">
        <f>INDEX(Raw_Shipments!L1907:L4335,MATCH(A1907,Raw_Shipments!B1907:B4335))</f>
        <v>No</v>
      </c>
    </row>
    <row r="1908" spans="1:12" x14ac:dyDescent="0.3">
      <c r="A1908" s="2" t="s">
        <v>2057</v>
      </c>
      <c r="B1908" s="3">
        <v>45947</v>
      </c>
      <c r="C1908" s="2" t="s">
        <v>185</v>
      </c>
      <c r="D1908" s="2" t="s">
        <v>30</v>
      </c>
      <c r="E1908" s="2" t="s">
        <v>31</v>
      </c>
      <c r="F1908" s="2" t="s">
        <v>32</v>
      </c>
      <c r="G1908" s="2" t="s">
        <v>33</v>
      </c>
      <c r="H1908" s="2">
        <v>48</v>
      </c>
      <c r="I1908" s="4">
        <v>689</v>
      </c>
      <c r="J1908" s="3">
        <v>45950</v>
      </c>
      <c r="K1908">
        <f t="shared" si="29"/>
        <v>33072</v>
      </c>
      <c r="L1908" t="str">
        <f>INDEX(Raw_Shipments!L1908:L4336,MATCH(A1908,Raw_Shipments!B1908:B4336))</f>
        <v>No</v>
      </c>
    </row>
    <row r="1909" spans="1:12" x14ac:dyDescent="0.3">
      <c r="A1909" s="5" t="s">
        <v>2058</v>
      </c>
      <c r="B1909" s="6">
        <v>45947</v>
      </c>
      <c r="C1909" s="5" t="s">
        <v>44</v>
      </c>
      <c r="D1909" s="5" t="s">
        <v>25</v>
      </c>
      <c r="E1909" s="5" t="s">
        <v>86</v>
      </c>
      <c r="F1909" s="5" t="s">
        <v>87</v>
      </c>
      <c r="G1909" s="5" t="s">
        <v>33</v>
      </c>
      <c r="H1909" s="5">
        <v>25</v>
      </c>
      <c r="I1909" s="7">
        <v>815.88</v>
      </c>
      <c r="J1909" s="6">
        <v>45956</v>
      </c>
      <c r="K1909">
        <f t="shared" si="29"/>
        <v>20397</v>
      </c>
      <c r="L1909" t="str">
        <f>INDEX(Raw_Shipments!L1909:L4337,MATCH(A1909,Raw_Shipments!B1909:B4337))</f>
        <v>No</v>
      </c>
    </row>
    <row r="1910" spans="1:12" x14ac:dyDescent="0.3">
      <c r="A1910" s="2" t="s">
        <v>2059</v>
      </c>
      <c r="B1910" s="3">
        <v>45947</v>
      </c>
      <c r="C1910" s="2" t="s">
        <v>213</v>
      </c>
      <c r="D1910" s="2" t="s">
        <v>45</v>
      </c>
      <c r="E1910" s="2" t="s">
        <v>40</v>
      </c>
      <c r="F1910" s="2" t="s">
        <v>41</v>
      </c>
      <c r="G1910" s="2" t="s">
        <v>42</v>
      </c>
      <c r="H1910" s="2">
        <v>39</v>
      </c>
      <c r="I1910" s="4">
        <v>2445.11</v>
      </c>
      <c r="J1910" s="3">
        <v>45952</v>
      </c>
      <c r="K1910">
        <f t="shared" si="29"/>
        <v>95359.290000000008</v>
      </c>
      <c r="L1910" t="str">
        <f>INDEX(Raw_Shipments!L1910:L4338,MATCH(A1910,Raw_Shipments!B1910:B4338))</f>
        <v>No</v>
      </c>
    </row>
    <row r="1911" spans="1:12" x14ac:dyDescent="0.3">
      <c r="A1911" s="5" t="s">
        <v>2060</v>
      </c>
      <c r="B1911" s="6">
        <v>45947</v>
      </c>
      <c r="C1911" s="5" t="s">
        <v>185</v>
      </c>
      <c r="D1911" s="5" t="s">
        <v>30</v>
      </c>
      <c r="E1911" s="5" t="s">
        <v>50</v>
      </c>
      <c r="F1911" s="5" t="s">
        <v>51</v>
      </c>
      <c r="G1911" s="5" t="s">
        <v>42</v>
      </c>
      <c r="H1911" s="5">
        <v>8</v>
      </c>
      <c r="I1911" s="7">
        <v>1952.28</v>
      </c>
      <c r="J1911" s="6">
        <v>45954</v>
      </c>
      <c r="K1911">
        <f t="shared" si="29"/>
        <v>15618.24</v>
      </c>
      <c r="L1911" t="str">
        <f>INDEX(Raw_Shipments!L1911:L4339,MATCH(A1911,Raw_Shipments!B1911:B4339))</f>
        <v>No</v>
      </c>
    </row>
    <row r="1912" spans="1:12" x14ac:dyDescent="0.3">
      <c r="A1912" s="2" t="s">
        <v>2061</v>
      </c>
      <c r="B1912" s="3">
        <v>45948</v>
      </c>
      <c r="C1912" s="2" t="s">
        <v>128</v>
      </c>
      <c r="D1912" s="2" t="s">
        <v>14</v>
      </c>
      <c r="E1912" s="2" t="s">
        <v>53</v>
      </c>
      <c r="F1912" s="2" t="s">
        <v>54</v>
      </c>
      <c r="G1912" s="2" t="s">
        <v>55</v>
      </c>
      <c r="H1912" s="2">
        <v>35</v>
      </c>
      <c r="I1912" s="4">
        <v>2055.9</v>
      </c>
      <c r="J1912" s="3">
        <v>45953</v>
      </c>
      <c r="K1912">
        <f t="shared" si="29"/>
        <v>71956.5</v>
      </c>
      <c r="L1912" t="str">
        <f>INDEX(Raw_Shipments!L1912:L4340,MATCH(A1912,Raw_Shipments!B1912:B4340))</f>
        <v>No</v>
      </c>
    </row>
    <row r="1913" spans="1:12" x14ac:dyDescent="0.3">
      <c r="A1913" s="5" t="s">
        <v>2062</v>
      </c>
      <c r="B1913" s="6">
        <v>45948</v>
      </c>
      <c r="C1913" s="5" t="s">
        <v>240</v>
      </c>
      <c r="D1913" s="5" t="s">
        <v>14</v>
      </c>
      <c r="E1913" s="5" t="s">
        <v>58</v>
      </c>
      <c r="F1913" s="5" t="s">
        <v>59</v>
      </c>
      <c r="G1913" s="5" t="s">
        <v>55</v>
      </c>
      <c r="H1913" s="5">
        <v>31</v>
      </c>
      <c r="I1913" s="7">
        <v>1695.1</v>
      </c>
      <c r="J1913" s="6">
        <v>45957</v>
      </c>
      <c r="K1913">
        <f t="shared" si="29"/>
        <v>52548.1</v>
      </c>
      <c r="L1913" t="str">
        <f>INDEX(Raw_Shipments!L1913:L4341,MATCH(A1913,Raw_Shipments!B1913:B4341))</f>
        <v>Yes</v>
      </c>
    </row>
    <row r="1914" spans="1:12" x14ac:dyDescent="0.3">
      <c r="A1914" s="2" t="s">
        <v>2063</v>
      </c>
      <c r="B1914" s="3">
        <v>45948</v>
      </c>
      <c r="C1914" s="2" t="s">
        <v>139</v>
      </c>
      <c r="D1914" s="2" t="s">
        <v>25</v>
      </c>
      <c r="E1914" s="2" t="s">
        <v>66</v>
      </c>
      <c r="F1914" s="2" t="s">
        <v>67</v>
      </c>
      <c r="G1914" s="2" t="s">
        <v>17</v>
      </c>
      <c r="H1914" s="2">
        <v>33</v>
      </c>
      <c r="I1914" s="4">
        <v>850.8</v>
      </c>
      <c r="J1914" s="3">
        <v>45957</v>
      </c>
      <c r="K1914">
        <f t="shared" si="29"/>
        <v>28076.399999999998</v>
      </c>
      <c r="L1914" t="str">
        <f>INDEX(Raw_Shipments!L1914:L4342,MATCH(A1914,Raw_Shipments!B1914:B4342))</f>
        <v>Yes</v>
      </c>
    </row>
    <row r="1915" spans="1:12" x14ac:dyDescent="0.3">
      <c r="A1915" s="5" t="s">
        <v>2064</v>
      </c>
      <c r="B1915" s="6">
        <v>45948</v>
      </c>
      <c r="C1915" s="5" t="s">
        <v>220</v>
      </c>
      <c r="D1915" s="5" t="s">
        <v>25</v>
      </c>
      <c r="E1915" s="5" t="s">
        <v>97</v>
      </c>
      <c r="F1915" s="5" t="s">
        <v>98</v>
      </c>
      <c r="G1915" s="5" t="s">
        <v>17</v>
      </c>
      <c r="H1915" s="5">
        <v>25</v>
      </c>
      <c r="I1915" s="7">
        <v>1110.6500000000001</v>
      </c>
      <c r="J1915" s="6">
        <v>45955</v>
      </c>
      <c r="K1915">
        <f t="shared" si="29"/>
        <v>27766.250000000004</v>
      </c>
      <c r="L1915" t="str">
        <f>INDEX(Raw_Shipments!L1915:L4343,MATCH(A1915,Raw_Shipments!B1915:B4343))</f>
        <v>No</v>
      </c>
    </row>
    <row r="1916" spans="1:12" x14ac:dyDescent="0.3">
      <c r="A1916" s="2" t="s">
        <v>2065</v>
      </c>
      <c r="B1916" s="3">
        <v>45948</v>
      </c>
      <c r="C1916" s="2" t="s">
        <v>175</v>
      </c>
      <c r="D1916" s="2" t="s">
        <v>25</v>
      </c>
      <c r="E1916" s="2" t="s">
        <v>15</v>
      </c>
      <c r="F1916" s="2" t="s">
        <v>16</v>
      </c>
      <c r="G1916" s="2" t="s">
        <v>17</v>
      </c>
      <c r="H1916" s="2">
        <v>14</v>
      </c>
      <c r="I1916" s="4">
        <v>183.06</v>
      </c>
      <c r="J1916" s="3">
        <v>45956</v>
      </c>
      <c r="K1916">
        <f t="shared" si="29"/>
        <v>2562.84</v>
      </c>
      <c r="L1916" t="str">
        <f>INDEX(Raw_Shipments!L1916:L4344,MATCH(A1916,Raw_Shipments!B1916:B4344))</f>
        <v>No</v>
      </c>
    </row>
    <row r="1917" spans="1:12" x14ac:dyDescent="0.3">
      <c r="A1917" s="5" t="s">
        <v>2066</v>
      </c>
      <c r="B1917" s="6">
        <v>45948</v>
      </c>
      <c r="C1917" s="5" t="s">
        <v>150</v>
      </c>
      <c r="D1917" s="5" t="s">
        <v>30</v>
      </c>
      <c r="E1917" s="5" t="s">
        <v>20</v>
      </c>
      <c r="F1917" s="5" t="s">
        <v>21</v>
      </c>
      <c r="G1917" s="5" t="s">
        <v>22</v>
      </c>
      <c r="H1917" s="5">
        <v>26</v>
      </c>
      <c r="I1917" s="7">
        <v>2108.56</v>
      </c>
      <c r="J1917" s="6">
        <v>45957</v>
      </c>
      <c r="K1917">
        <f t="shared" si="29"/>
        <v>54822.559999999998</v>
      </c>
      <c r="L1917" t="str">
        <f>INDEX(Raw_Shipments!L1917:L4345,MATCH(A1917,Raw_Shipments!B1917:B4345))</f>
        <v>Yes</v>
      </c>
    </row>
    <row r="1918" spans="1:12" x14ac:dyDescent="0.3">
      <c r="A1918" s="2" t="s">
        <v>2067</v>
      </c>
      <c r="B1918" s="3">
        <v>45948</v>
      </c>
      <c r="C1918" s="2" t="s">
        <v>183</v>
      </c>
      <c r="D1918" s="2" t="s">
        <v>14</v>
      </c>
      <c r="E1918" s="2" t="s">
        <v>119</v>
      </c>
      <c r="F1918" s="2" t="s">
        <v>120</v>
      </c>
      <c r="G1918" s="2" t="s">
        <v>22</v>
      </c>
      <c r="H1918" s="2">
        <v>55</v>
      </c>
      <c r="I1918" s="4">
        <v>912.26</v>
      </c>
      <c r="J1918" s="3">
        <v>45957</v>
      </c>
      <c r="K1918">
        <f t="shared" si="29"/>
        <v>50174.3</v>
      </c>
      <c r="L1918" t="str">
        <f>INDEX(Raw_Shipments!L1918:L4346,MATCH(A1918,Raw_Shipments!B1918:B4346))</f>
        <v>No</v>
      </c>
    </row>
    <row r="1919" spans="1:12" x14ac:dyDescent="0.3">
      <c r="A1919" s="5" t="s">
        <v>2068</v>
      </c>
      <c r="B1919" s="6">
        <v>45948</v>
      </c>
      <c r="C1919" s="5" t="s">
        <v>131</v>
      </c>
      <c r="D1919" s="5" t="s">
        <v>25</v>
      </c>
      <c r="E1919" s="5" t="s">
        <v>36</v>
      </c>
      <c r="F1919" s="5" t="s">
        <v>37</v>
      </c>
      <c r="G1919" s="5" t="s">
        <v>33</v>
      </c>
      <c r="H1919" s="5">
        <v>46</v>
      </c>
      <c r="I1919" s="7">
        <v>1064.79</v>
      </c>
      <c r="J1919" s="6">
        <v>45954</v>
      </c>
      <c r="K1919">
        <f t="shared" si="29"/>
        <v>48980.34</v>
      </c>
      <c r="L1919" t="str">
        <f>INDEX(Raw_Shipments!L1919:L4347,MATCH(A1919,Raw_Shipments!B1919:B4347))</f>
        <v>No</v>
      </c>
    </row>
    <row r="1920" spans="1:12" x14ac:dyDescent="0.3">
      <c r="A1920" s="2" t="s">
        <v>2069</v>
      </c>
      <c r="B1920" s="3">
        <v>45948</v>
      </c>
      <c r="C1920" s="2" t="s">
        <v>128</v>
      </c>
      <c r="D1920" s="2" t="s">
        <v>14</v>
      </c>
      <c r="E1920" s="2" t="s">
        <v>86</v>
      </c>
      <c r="F1920" s="2" t="s">
        <v>87</v>
      </c>
      <c r="G1920" s="2" t="s">
        <v>33</v>
      </c>
      <c r="H1920" s="2">
        <v>25</v>
      </c>
      <c r="I1920" s="4">
        <v>815.88</v>
      </c>
      <c r="J1920" s="3">
        <v>45957</v>
      </c>
      <c r="K1920">
        <f t="shared" si="29"/>
        <v>20397</v>
      </c>
      <c r="L1920" t="str">
        <f>INDEX(Raw_Shipments!L1920:L4348,MATCH(A1920,Raw_Shipments!B1920:B4348))</f>
        <v>No</v>
      </c>
    </row>
    <row r="1921" spans="1:12" x14ac:dyDescent="0.3">
      <c r="A1921" s="5" t="s">
        <v>2070</v>
      </c>
      <c r="B1921" s="6">
        <v>45948</v>
      </c>
      <c r="C1921" s="5" t="s">
        <v>49</v>
      </c>
      <c r="D1921" s="5" t="s">
        <v>45</v>
      </c>
      <c r="E1921" s="5" t="s">
        <v>50</v>
      </c>
      <c r="F1921" s="5" t="s">
        <v>51</v>
      </c>
      <c r="G1921" s="5" t="s">
        <v>42</v>
      </c>
      <c r="H1921" s="5">
        <v>13</v>
      </c>
      <c r="I1921" s="7">
        <v>1952.28</v>
      </c>
      <c r="J1921" s="6">
        <v>45955</v>
      </c>
      <c r="K1921">
        <f t="shared" si="29"/>
        <v>25379.64</v>
      </c>
      <c r="L1921" t="str">
        <f>INDEX(Raw_Shipments!L1921:L4349,MATCH(A1921,Raw_Shipments!B1921:B4349))</f>
        <v>No</v>
      </c>
    </row>
    <row r="1922" spans="1:12" x14ac:dyDescent="0.3">
      <c r="A1922" s="2" t="s">
        <v>2071</v>
      </c>
      <c r="B1922" s="3">
        <v>45949</v>
      </c>
      <c r="C1922" s="2" t="s">
        <v>104</v>
      </c>
      <c r="D1922" s="2" t="s">
        <v>30</v>
      </c>
      <c r="E1922" s="2" t="s">
        <v>53</v>
      </c>
      <c r="F1922" s="2" t="s">
        <v>54</v>
      </c>
      <c r="G1922" s="2" t="s">
        <v>55</v>
      </c>
      <c r="H1922" s="2">
        <v>34</v>
      </c>
      <c r="I1922" s="4">
        <v>2055.9</v>
      </c>
      <c r="J1922" s="3">
        <v>45959</v>
      </c>
      <c r="K1922">
        <f t="shared" si="29"/>
        <v>69900.600000000006</v>
      </c>
      <c r="L1922" t="str">
        <f>INDEX(Raw_Shipments!L1922:L4350,MATCH(A1922,Raw_Shipments!B1922:B4350))</f>
        <v>No</v>
      </c>
    </row>
    <row r="1923" spans="1:12" x14ac:dyDescent="0.3">
      <c r="A1923" s="5" t="s">
        <v>2072</v>
      </c>
      <c r="B1923" s="6">
        <v>45949</v>
      </c>
      <c r="C1923" s="5" t="s">
        <v>71</v>
      </c>
      <c r="D1923" s="5" t="s">
        <v>45</v>
      </c>
      <c r="E1923" s="5" t="s">
        <v>97</v>
      </c>
      <c r="F1923" s="5" t="s">
        <v>98</v>
      </c>
      <c r="G1923" s="5" t="s">
        <v>17</v>
      </c>
      <c r="H1923" s="5">
        <v>46</v>
      </c>
      <c r="I1923" s="7">
        <v>1110.6500000000001</v>
      </c>
      <c r="J1923" s="6">
        <v>45958</v>
      </c>
      <c r="K1923">
        <f t="shared" ref="K1923:K1986" si="30">I1923*H1923</f>
        <v>51089.9</v>
      </c>
      <c r="L1923" t="str">
        <f>INDEX(Raw_Shipments!L1923:L4351,MATCH(A1923,Raw_Shipments!B1923:B4351))</f>
        <v>No</v>
      </c>
    </row>
    <row r="1924" spans="1:12" x14ac:dyDescent="0.3">
      <c r="A1924" s="2" t="s">
        <v>2073</v>
      </c>
      <c r="B1924" s="3">
        <v>45949</v>
      </c>
      <c r="C1924" s="2" t="s">
        <v>69</v>
      </c>
      <c r="D1924" s="2" t="s">
        <v>45</v>
      </c>
      <c r="E1924" s="2" t="s">
        <v>15</v>
      </c>
      <c r="F1924" s="2" t="s">
        <v>16</v>
      </c>
      <c r="G1924" s="2" t="s">
        <v>17</v>
      </c>
      <c r="H1924" s="2">
        <v>13</v>
      </c>
      <c r="I1924" s="4">
        <v>183.06</v>
      </c>
      <c r="J1924" s="3">
        <v>45959</v>
      </c>
      <c r="K1924">
        <f t="shared" si="30"/>
        <v>2379.7800000000002</v>
      </c>
      <c r="L1924" t="str">
        <f>INDEX(Raw_Shipments!L1924:L4352,MATCH(A1924,Raw_Shipments!B1924:B4352))</f>
        <v>No</v>
      </c>
    </row>
    <row r="1925" spans="1:12" x14ac:dyDescent="0.3">
      <c r="A1925" s="5" t="s">
        <v>2074</v>
      </c>
      <c r="B1925" s="6">
        <v>45949</v>
      </c>
      <c r="C1925" s="5" t="s">
        <v>438</v>
      </c>
      <c r="D1925" s="5" t="s">
        <v>14</v>
      </c>
      <c r="E1925" s="5" t="s">
        <v>26</v>
      </c>
      <c r="F1925" s="5" t="s">
        <v>27</v>
      </c>
      <c r="G1925" s="5" t="s">
        <v>22</v>
      </c>
      <c r="H1925" s="5">
        <v>33</v>
      </c>
      <c r="I1925" s="7">
        <v>1646.8</v>
      </c>
      <c r="J1925" s="6">
        <v>45958</v>
      </c>
      <c r="K1925">
        <f t="shared" si="30"/>
        <v>54344.4</v>
      </c>
      <c r="L1925" t="str">
        <f>INDEX(Raw_Shipments!L1925:L4353,MATCH(A1925,Raw_Shipments!B1925:B4353))</f>
        <v>Yes</v>
      </c>
    </row>
    <row r="1926" spans="1:12" x14ac:dyDescent="0.3">
      <c r="A1926" s="2" t="s">
        <v>2075</v>
      </c>
      <c r="B1926" s="3">
        <v>45949</v>
      </c>
      <c r="C1926" s="2" t="s">
        <v>178</v>
      </c>
      <c r="D1926" s="2" t="s">
        <v>25</v>
      </c>
      <c r="E1926" s="2" t="s">
        <v>40</v>
      </c>
      <c r="F1926" s="2" t="s">
        <v>41</v>
      </c>
      <c r="G1926" s="2" t="s">
        <v>42</v>
      </c>
      <c r="H1926" s="2">
        <v>25</v>
      </c>
      <c r="I1926" s="4">
        <v>2445.11</v>
      </c>
      <c r="J1926" s="3">
        <v>45956</v>
      </c>
      <c r="K1926">
        <f t="shared" si="30"/>
        <v>61127.75</v>
      </c>
      <c r="L1926" t="str">
        <f>INDEX(Raw_Shipments!L1926:L4354,MATCH(A1926,Raw_Shipments!B1926:B4354))</f>
        <v>No</v>
      </c>
    </row>
    <row r="1927" spans="1:12" x14ac:dyDescent="0.3">
      <c r="A1927" s="5" t="s">
        <v>2076</v>
      </c>
      <c r="B1927" s="6">
        <v>45949</v>
      </c>
      <c r="C1927" s="5" t="s">
        <v>431</v>
      </c>
      <c r="D1927" s="5" t="s">
        <v>25</v>
      </c>
      <c r="E1927" s="5" t="s">
        <v>50</v>
      </c>
      <c r="F1927" s="5" t="s">
        <v>51</v>
      </c>
      <c r="G1927" s="5" t="s">
        <v>42</v>
      </c>
      <c r="H1927" s="5">
        <v>15</v>
      </c>
      <c r="I1927" s="7">
        <v>1952.28</v>
      </c>
      <c r="J1927" s="6">
        <v>45953</v>
      </c>
      <c r="K1927">
        <f t="shared" si="30"/>
        <v>29284.2</v>
      </c>
      <c r="L1927" t="str">
        <f>INDEX(Raw_Shipments!L1927:L4355,MATCH(A1927,Raw_Shipments!B1927:B4355))</f>
        <v>No</v>
      </c>
    </row>
    <row r="1928" spans="1:12" x14ac:dyDescent="0.3">
      <c r="A1928" s="2" t="s">
        <v>2077</v>
      </c>
      <c r="B1928" s="3">
        <v>45950</v>
      </c>
      <c r="C1928" s="2" t="s">
        <v>420</v>
      </c>
      <c r="D1928" s="2" t="s">
        <v>25</v>
      </c>
      <c r="E1928" s="2" t="s">
        <v>58</v>
      </c>
      <c r="F1928" s="2" t="s">
        <v>59</v>
      </c>
      <c r="G1928" s="2" t="s">
        <v>55</v>
      </c>
      <c r="H1928" s="2">
        <v>23</v>
      </c>
      <c r="I1928" s="4">
        <v>1695.1</v>
      </c>
      <c r="J1928" s="3">
        <v>45956</v>
      </c>
      <c r="K1928">
        <f t="shared" si="30"/>
        <v>38987.299999999996</v>
      </c>
      <c r="L1928" t="str">
        <f>INDEX(Raw_Shipments!L1928:L4356,MATCH(A1928,Raw_Shipments!B1928:B4356))</f>
        <v>No</v>
      </c>
    </row>
    <row r="1929" spans="1:12" x14ac:dyDescent="0.3">
      <c r="A1929" s="5" t="s">
        <v>2078</v>
      </c>
      <c r="B1929" s="6">
        <v>45950</v>
      </c>
      <c r="C1929" s="5" t="s">
        <v>93</v>
      </c>
      <c r="D1929" s="5" t="s">
        <v>45</v>
      </c>
      <c r="E1929" s="5" t="s">
        <v>97</v>
      </c>
      <c r="F1929" s="5" t="s">
        <v>98</v>
      </c>
      <c r="G1929" s="5" t="s">
        <v>17</v>
      </c>
      <c r="H1929" s="5">
        <v>14</v>
      </c>
      <c r="I1929" s="7">
        <v>1110.6500000000001</v>
      </c>
      <c r="J1929" s="6">
        <v>45957</v>
      </c>
      <c r="K1929">
        <f t="shared" si="30"/>
        <v>15549.100000000002</v>
      </c>
      <c r="L1929" t="str">
        <f>INDEX(Raw_Shipments!L1929:L4357,MATCH(A1929,Raw_Shipments!B1929:B4357))</f>
        <v>Yes</v>
      </c>
    </row>
    <row r="1930" spans="1:12" x14ac:dyDescent="0.3">
      <c r="A1930" s="2" t="s">
        <v>2079</v>
      </c>
      <c r="B1930" s="3">
        <v>45950</v>
      </c>
      <c r="C1930" s="2" t="s">
        <v>141</v>
      </c>
      <c r="D1930" s="2" t="s">
        <v>45</v>
      </c>
      <c r="E1930" s="2" t="s">
        <v>15</v>
      </c>
      <c r="F1930" s="2" t="s">
        <v>16</v>
      </c>
      <c r="G1930" s="2" t="s">
        <v>17</v>
      </c>
      <c r="H1930" s="2">
        <v>13</v>
      </c>
      <c r="I1930" s="4">
        <v>183.06</v>
      </c>
      <c r="J1930" s="3">
        <v>45960</v>
      </c>
      <c r="K1930">
        <f t="shared" si="30"/>
        <v>2379.7800000000002</v>
      </c>
      <c r="L1930" t="str">
        <f>INDEX(Raw_Shipments!L1930:L4358,MATCH(A1930,Raw_Shipments!B1930:B4358))</f>
        <v>No</v>
      </c>
    </row>
    <row r="1931" spans="1:12" x14ac:dyDescent="0.3">
      <c r="A1931" s="5" t="s">
        <v>2080</v>
      </c>
      <c r="B1931" s="6">
        <v>45950</v>
      </c>
      <c r="C1931" s="5" t="s">
        <v>24</v>
      </c>
      <c r="D1931" s="5" t="s">
        <v>25</v>
      </c>
      <c r="E1931" s="5" t="s">
        <v>26</v>
      </c>
      <c r="F1931" s="5" t="s">
        <v>27</v>
      </c>
      <c r="G1931" s="5" t="s">
        <v>22</v>
      </c>
      <c r="H1931" s="5">
        <v>17</v>
      </c>
      <c r="I1931" s="7">
        <v>1646.8</v>
      </c>
      <c r="J1931" s="6">
        <v>45959</v>
      </c>
      <c r="K1931">
        <f t="shared" si="30"/>
        <v>27995.599999999999</v>
      </c>
      <c r="L1931" t="str">
        <f>INDEX(Raw_Shipments!L1931:L4359,MATCH(A1931,Raw_Shipments!B1931:B4359))</f>
        <v>No</v>
      </c>
    </row>
    <row r="1932" spans="1:12" x14ac:dyDescent="0.3">
      <c r="A1932" s="2" t="s">
        <v>2081</v>
      </c>
      <c r="B1932" s="3">
        <v>45951</v>
      </c>
      <c r="C1932" s="2" t="s">
        <v>61</v>
      </c>
      <c r="D1932" s="2" t="s">
        <v>45</v>
      </c>
      <c r="E1932" s="2" t="s">
        <v>15</v>
      </c>
      <c r="F1932" s="2" t="s">
        <v>16</v>
      </c>
      <c r="G1932" s="2" t="s">
        <v>17</v>
      </c>
      <c r="H1932" s="2">
        <v>24</v>
      </c>
      <c r="I1932" s="4">
        <v>183.06</v>
      </c>
      <c r="J1932" s="3">
        <v>45957</v>
      </c>
      <c r="K1932">
        <f t="shared" si="30"/>
        <v>4393.4400000000005</v>
      </c>
      <c r="L1932" t="str">
        <f>INDEX(Raw_Shipments!L1932:L4360,MATCH(A1932,Raw_Shipments!B1932:B4360))</f>
        <v>No</v>
      </c>
    </row>
    <row r="1933" spans="1:12" x14ac:dyDescent="0.3">
      <c r="A1933" s="5" t="s">
        <v>2082</v>
      </c>
      <c r="B1933" s="6">
        <v>45951</v>
      </c>
      <c r="C1933" s="5" t="s">
        <v>156</v>
      </c>
      <c r="D1933" s="5" t="s">
        <v>30</v>
      </c>
      <c r="E1933" s="5" t="s">
        <v>119</v>
      </c>
      <c r="F1933" s="5" t="s">
        <v>120</v>
      </c>
      <c r="G1933" s="5" t="s">
        <v>22</v>
      </c>
      <c r="H1933" s="5">
        <v>39</v>
      </c>
      <c r="I1933" s="7">
        <v>912.26</v>
      </c>
      <c r="J1933" s="6">
        <v>45958</v>
      </c>
      <c r="K1933">
        <f t="shared" si="30"/>
        <v>35578.14</v>
      </c>
      <c r="L1933" t="str">
        <f>INDEX(Raw_Shipments!L1933:L4361,MATCH(A1933,Raw_Shipments!B1933:B4361))</f>
        <v>Yes</v>
      </c>
    </row>
    <row r="1934" spans="1:12" x14ac:dyDescent="0.3">
      <c r="A1934" s="2" t="s">
        <v>2083</v>
      </c>
      <c r="B1934" s="3">
        <v>45951</v>
      </c>
      <c r="C1934" s="2" t="s">
        <v>79</v>
      </c>
      <c r="D1934" s="2" t="s">
        <v>30</v>
      </c>
      <c r="E1934" s="2" t="s">
        <v>36</v>
      </c>
      <c r="F1934" s="2" t="s">
        <v>37</v>
      </c>
      <c r="G1934" s="2" t="s">
        <v>33</v>
      </c>
      <c r="H1934" s="2">
        <v>43</v>
      </c>
      <c r="I1934" s="4">
        <v>1064.79</v>
      </c>
      <c r="J1934" s="3">
        <v>45959</v>
      </c>
      <c r="K1934">
        <f t="shared" si="30"/>
        <v>45785.97</v>
      </c>
      <c r="L1934" t="str">
        <f>INDEX(Raw_Shipments!L1934:L4362,MATCH(A1934,Raw_Shipments!B1934:B4362))</f>
        <v>No</v>
      </c>
    </row>
    <row r="1935" spans="1:12" x14ac:dyDescent="0.3">
      <c r="A1935" s="5" t="s">
        <v>2084</v>
      </c>
      <c r="B1935" s="6">
        <v>45951</v>
      </c>
      <c r="C1935" s="5" t="s">
        <v>125</v>
      </c>
      <c r="D1935" s="5" t="s">
        <v>30</v>
      </c>
      <c r="E1935" s="5" t="s">
        <v>40</v>
      </c>
      <c r="F1935" s="5" t="s">
        <v>41</v>
      </c>
      <c r="G1935" s="5" t="s">
        <v>42</v>
      </c>
      <c r="H1935" s="5">
        <v>38</v>
      </c>
      <c r="I1935" s="7">
        <v>2445.11</v>
      </c>
      <c r="J1935" s="6">
        <v>45958</v>
      </c>
      <c r="K1935">
        <f t="shared" si="30"/>
        <v>92914.180000000008</v>
      </c>
      <c r="L1935" t="str">
        <f>INDEX(Raw_Shipments!L1935:L4363,MATCH(A1935,Raw_Shipments!B1935:B4363))</f>
        <v>No</v>
      </c>
    </row>
    <row r="1936" spans="1:12" x14ac:dyDescent="0.3">
      <c r="A1936" s="2" t="s">
        <v>2085</v>
      </c>
      <c r="B1936" s="3">
        <v>45951</v>
      </c>
      <c r="C1936" s="2" t="s">
        <v>248</v>
      </c>
      <c r="D1936" s="2" t="s">
        <v>25</v>
      </c>
      <c r="E1936" s="2" t="s">
        <v>46</v>
      </c>
      <c r="F1936" s="2" t="s">
        <v>47</v>
      </c>
      <c r="G1936" s="2" t="s">
        <v>42</v>
      </c>
      <c r="H1936" s="2">
        <v>8</v>
      </c>
      <c r="I1936" s="4">
        <v>1833.14</v>
      </c>
      <c r="J1936" s="3">
        <v>45958</v>
      </c>
      <c r="K1936">
        <f t="shared" si="30"/>
        <v>14665.12</v>
      </c>
      <c r="L1936" t="str">
        <f>INDEX(Raw_Shipments!L1936:L4364,MATCH(A1936,Raw_Shipments!B1936:B4364))</f>
        <v>No</v>
      </c>
    </row>
    <row r="1937" spans="1:12" x14ac:dyDescent="0.3">
      <c r="A1937" s="5" t="s">
        <v>2086</v>
      </c>
      <c r="B1937" s="6">
        <v>45952</v>
      </c>
      <c r="C1937" s="5" t="s">
        <v>91</v>
      </c>
      <c r="D1937" s="5" t="s">
        <v>14</v>
      </c>
      <c r="E1937" s="5" t="s">
        <v>58</v>
      </c>
      <c r="F1937" s="5" t="s">
        <v>59</v>
      </c>
      <c r="G1937" s="5" t="s">
        <v>55</v>
      </c>
      <c r="H1937" s="5">
        <v>29</v>
      </c>
      <c r="I1937" s="7">
        <v>1695.1</v>
      </c>
      <c r="J1937" s="6">
        <v>45960</v>
      </c>
      <c r="K1937">
        <f t="shared" si="30"/>
        <v>49157.899999999994</v>
      </c>
      <c r="L1937" t="str">
        <f>INDEX(Raw_Shipments!L1937:L4365,MATCH(A1937,Raw_Shipments!B1937:B4365))</f>
        <v>Yes</v>
      </c>
    </row>
    <row r="1938" spans="1:12" x14ac:dyDescent="0.3">
      <c r="A1938" s="2" t="s">
        <v>2087</v>
      </c>
      <c r="B1938" s="3">
        <v>45952</v>
      </c>
      <c r="C1938" s="2" t="s">
        <v>154</v>
      </c>
      <c r="D1938" s="2" t="s">
        <v>45</v>
      </c>
      <c r="E1938" s="2" t="s">
        <v>62</v>
      </c>
      <c r="F1938" s="2" t="s">
        <v>63</v>
      </c>
      <c r="G1938" s="2" t="s">
        <v>55</v>
      </c>
      <c r="H1938" s="2">
        <v>52</v>
      </c>
      <c r="I1938" s="4">
        <v>2555.2199999999998</v>
      </c>
      <c r="J1938" s="3">
        <v>45956</v>
      </c>
      <c r="K1938">
        <f t="shared" si="30"/>
        <v>132871.44</v>
      </c>
      <c r="L1938" t="str">
        <f>INDEX(Raw_Shipments!L1938:L4366,MATCH(A1938,Raw_Shipments!B1938:B4366))</f>
        <v>No</v>
      </c>
    </row>
    <row r="1939" spans="1:12" x14ac:dyDescent="0.3">
      <c r="A1939" s="5" t="s">
        <v>2088</v>
      </c>
      <c r="B1939" s="6">
        <v>45952</v>
      </c>
      <c r="C1939" s="5" t="s">
        <v>113</v>
      </c>
      <c r="D1939" s="5" t="s">
        <v>14</v>
      </c>
      <c r="E1939" s="5" t="s">
        <v>20</v>
      </c>
      <c r="F1939" s="5" t="s">
        <v>21</v>
      </c>
      <c r="G1939" s="5" t="s">
        <v>22</v>
      </c>
      <c r="H1939" s="5">
        <v>21</v>
      </c>
      <c r="I1939" s="7">
        <v>2108.56</v>
      </c>
      <c r="J1939" s="6">
        <v>45960</v>
      </c>
      <c r="K1939">
        <f t="shared" si="30"/>
        <v>44279.76</v>
      </c>
      <c r="L1939" t="str">
        <f>INDEX(Raw_Shipments!L1939:L4367,MATCH(A1939,Raw_Shipments!B1939:B4367))</f>
        <v>Yes</v>
      </c>
    </row>
    <row r="1940" spans="1:12" x14ac:dyDescent="0.3">
      <c r="A1940" s="2" t="s">
        <v>2089</v>
      </c>
      <c r="B1940" s="3">
        <v>45952</v>
      </c>
      <c r="C1940" s="2" t="s">
        <v>456</v>
      </c>
      <c r="D1940" s="2" t="s">
        <v>25</v>
      </c>
      <c r="E1940" s="2" t="s">
        <v>119</v>
      </c>
      <c r="F1940" s="2" t="s">
        <v>120</v>
      </c>
      <c r="G1940" s="2" t="s">
        <v>22</v>
      </c>
      <c r="H1940" s="2">
        <v>78</v>
      </c>
      <c r="I1940" s="4">
        <v>912.26</v>
      </c>
      <c r="J1940" s="3">
        <v>45958</v>
      </c>
      <c r="K1940">
        <f t="shared" si="30"/>
        <v>71156.28</v>
      </c>
      <c r="L1940" t="str">
        <f>INDEX(Raw_Shipments!L1940:L4368,MATCH(A1940,Raw_Shipments!B1940:B4368))</f>
        <v>No</v>
      </c>
    </row>
    <row r="1941" spans="1:12" x14ac:dyDescent="0.3">
      <c r="A1941" s="5" t="s">
        <v>2090</v>
      </c>
      <c r="B1941" s="6">
        <v>45952</v>
      </c>
      <c r="C1941" s="5" t="s">
        <v>13</v>
      </c>
      <c r="D1941" s="5" t="s">
        <v>30</v>
      </c>
      <c r="E1941" s="5" t="s">
        <v>26</v>
      </c>
      <c r="F1941" s="5" t="s">
        <v>27</v>
      </c>
      <c r="G1941" s="5" t="s">
        <v>22</v>
      </c>
      <c r="H1941" s="5">
        <v>46</v>
      </c>
      <c r="I1941" s="7">
        <v>1646.8</v>
      </c>
      <c r="J1941" s="6">
        <v>45962</v>
      </c>
      <c r="K1941">
        <f t="shared" si="30"/>
        <v>75752.800000000003</v>
      </c>
      <c r="L1941" t="str">
        <f>INDEX(Raw_Shipments!L1941:L4369,MATCH(A1941,Raw_Shipments!B1941:B4369))</f>
        <v>No</v>
      </c>
    </row>
    <row r="1942" spans="1:12" x14ac:dyDescent="0.3">
      <c r="A1942" s="2" t="s">
        <v>2091</v>
      </c>
      <c r="B1942" s="3">
        <v>45952</v>
      </c>
      <c r="C1942" s="2" t="s">
        <v>111</v>
      </c>
      <c r="D1942" s="2" t="s">
        <v>45</v>
      </c>
      <c r="E1942" s="2" t="s">
        <v>31</v>
      </c>
      <c r="F1942" s="2" t="s">
        <v>32</v>
      </c>
      <c r="G1942" s="2" t="s">
        <v>33</v>
      </c>
      <c r="H1942" s="2">
        <v>69</v>
      </c>
      <c r="I1942" s="4">
        <v>689</v>
      </c>
      <c r="J1942" s="3">
        <v>45958</v>
      </c>
      <c r="K1942">
        <f t="shared" si="30"/>
        <v>47541</v>
      </c>
      <c r="L1942" t="str">
        <f>INDEX(Raw_Shipments!L1942:L4370,MATCH(A1942,Raw_Shipments!B1942:B4370))</f>
        <v>No</v>
      </c>
    </row>
    <row r="1943" spans="1:12" x14ac:dyDescent="0.3">
      <c r="A1943" s="5" t="s">
        <v>2092</v>
      </c>
      <c r="B1943" s="6">
        <v>45952</v>
      </c>
      <c r="C1943" s="5" t="s">
        <v>595</v>
      </c>
      <c r="D1943" s="5" t="s">
        <v>14</v>
      </c>
      <c r="E1943" s="5" t="s">
        <v>36</v>
      </c>
      <c r="F1943" s="5" t="s">
        <v>37</v>
      </c>
      <c r="G1943" s="5" t="s">
        <v>33</v>
      </c>
      <c r="H1943" s="5">
        <v>24</v>
      </c>
      <c r="I1943" s="7">
        <v>1064.79</v>
      </c>
      <c r="J1943" s="6">
        <v>45961</v>
      </c>
      <c r="K1943">
        <f t="shared" si="30"/>
        <v>25554.959999999999</v>
      </c>
      <c r="L1943" t="str">
        <f>INDEX(Raw_Shipments!L1943:L4371,MATCH(A1943,Raw_Shipments!B1943:B4371))</f>
        <v>Yes</v>
      </c>
    </row>
    <row r="1944" spans="1:12" x14ac:dyDescent="0.3">
      <c r="A1944" s="2" t="s">
        <v>2093</v>
      </c>
      <c r="B1944" s="3">
        <v>45952</v>
      </c>
      <c r="C1944" s="2" t="s">
        <v>96</v>
      </c>
      <c r="D1944" s="2" t="s">
        <v>14</v>
      </c>
      <c r="E1944" s="2" t="s">
        <v>46</v>
      </c>
      <c r="F1944" s="2" t="s">
        <v>47</v>
      </c>
      <c r="G1944" s="2" t="s">
        <v>42</v>
      </c>
      <c r="H1944" s="2">
        <v>11</v>
      </c>
      <c r="I1944" s="4">
        <v>1833.14</v>
      </c>
      <c r="J1944" s="3">
        <v>45956</v>
      </c>
      <c r="K1944">
        <f t="shared" si="30"/>
        <v>20164.54</v>
      </c>
      <c r="L1944" t="str">
        <f>INDEX(Raw_Shipments!L1944:L4372,MATCH(A1944,Raw_Shipments!B1944:B4372))</f>
        <v>No</v>
      </c>
    </row>
    <row r="1945" spans="1:12" x14ac:dyDescent="0.3">
      <c r="A1945" s="5" t="s">
        <v>2094</v>
      </c>
      <c r="B1945" s="6">
        <v>45952</v>
      </c>
      <c r="C1945" s="5" t="s">
        <v>442</v>
      </c>
      <c r="D1945" s="5" t="s">
        <v>25</v>
      </c>
      <c r="E1945" s="5" t="s">
        <v>50</v>
      </c>
      <c r="F1945" s="5" t="s">
        <v>51</v>
      </c>
      <c r="G1945" s="5" t="s">
        <v>42</v>
      </c>
      <c r="H1945" s="5">
        <v>10</v>
      </c>
      <c r="I1945" s="7">
        <v>1952.28</v>
      </c>
      <c r="J1945" s="6">
        <v>45962</v>
      </c>
      <c r="K1945">
        <f t="shared" si="30"/>
        <v>19522.8</v>
      </c>
      <c r="L1945" t="str">
        <f>INDEX(Raw_Shipments!L1945:L4373,MATCH(A1945,Raw_Shipments!B1945:B4373))</f>
        <v>No</v>
      </c>
    </row>
    <row r="1946" spans="1:12" x14ac:dyDescent="0.3">
      <c r="A1946" s="2" t="s">
        <v>2095</v>
      </c>
      <c r="B1946" s="3">
        <v>45953</v>
      </c>
      <c r="C1946" s="2" t="s">
        <v>65</v>
      </c>
      <c r="D1946" s="2" t="s">
        <v>25</v>
      </c>
      <c r="E1946" s="2" t="s">
        <v>58</v>
      </c>
      <c r="F1946" s="2" t="s">
        <v>59</v>
      </c>
      <c r="G1946" s="2" t="s">
        <v>55</v>
      </c>
      <c r="H1946" s="2">
        <v>29</v>
      </c>
      <c r="I1946" s="4">
        <v>1695.1</v>
      </c>
      <c r="J1946" s="3">
        <v>45961</v>
      </c>
      <c r="K1946">
        <f t="shared" si="30"/>
        <v>49157.899999999994</v>
      </c>
      <c r="L1946" t="str">
        <f>INDEX(Raw_Shipments!L1946:L4374,MATCH(A1946,Raw_Shipments!B1946:B4374))</f>
        <v>No</v>
      </c>
    </row>
    <row r="1947" spans="1:12" x14ac:dyDescent="0.3">
      <c r="A1947" s="5" t="s">
        <v>2096</v>
      </c>
      <c r="B1947" s="6">
        <v>45953</v>
      </c>
      <c r="C1947" s="5" t="s">
        <v>260</v>
      </c>
      <c r="D1947" s="5" t="s">
        <v>30</v>
      </c>
      <c r="E1947" s="5" t="s">
        <v>97</v>
      </c>
      <c r="F1947" s="5" t="s">
        <v>98</v>
      </c>
      <c r="G1947" s="5" t="s">
        <v>17</v>
      </c>
      <c r="H1947" s="5">
        <v>66</v>
      </c>
      <c r="I1947" s="7">
        <v>1110.6500000000001</v>
      </c>
      <c r="J1947" s="6">
        <v>45962</v>
      </c>
      <c r="K1947">
        <f t="shared" si="30"/>
        <v>73302.900000000009</v>
      </c>
      <c r="L1947" t="str">
        <f>INDEX(Raw_Shipments!L1947:L4375,MATCH(A1947,Raw_Shipments!B1947:B4375))</f>
        <v>Yes</v>
      </c>
    </row>
    <row r="1948" spans="1:12" x14ac:dyDescent="0.3">
      <c r="A1948" s="2" t="s">
        <v>2097</v>
      </c>
      <c r="B1948" s="3">
        <v>45953</v>
      </c>
      <c r="C1948" s="2" t="s">
        <v>102</v>
      </c>
      <c r="D1948" s="2" t="s">
        <v>25</v>
      </c>
      <c r="E1948" s="2" t="s">
        <v>20</v>
      </c>
      <c r="F1948" s="2" t="s">
        <v>21</v>
      </c>
      <c r="G1948" s="2" t="s">
        <v>22</v>
      </c>
      <c r="H1948" s="2">
        <v>14</v>
      </c>
      <c r="I1948" s="4">
        <v>2108.56</v>
      </c>
      <c r="J1948" s="3">
        <v>45957</v>
      </c>
      <c r="K1948">
        <f t="shared" si="30"/>
        <v>29519.84</v>
      </c>
      <c r="L1948" t="str">
        <f>INDEX(Raw_Shipments!L1948:L4376,MATCH(A1948,Raw_Shipments!B1948:B4376))</f>
        <v>No</v>
      </c>
    </row>
    <row r="1949" spans="1:12" x14ac:dyDescent="0.3">
      <c r="A1949" s="5" t="s">
        <v>2098</v>
      </c>
      <c r="B1949" s="6">
        <v>45953</v>
      </c>
      <c r="C1949" s="5" t="s">
        <v>473</v>
      </c>
      <c r="D1949" s="5" t="s">
        <v>30</v>
      </c>
      <c r="E1949" s="5" t="s">
        <v>119</v>
      </c>
      <c r="F1949" s="5" t="s">
        <v>120</v>
      </c>
      <c r="G1949" s="5" t="s">
        <v>22</v>
      </c>
      <c r="H1949" s="5">
        <v>61</v>
      </c>
      <c r="I1949" s="7">
        <v>912.26</v>
      </c>
      <c r="J1949" s="6">
        <v>45957</v>
      </c>
      <c r="K1949">
        <f t="shared" si="30"/>
        <v>55647.86</v>
      </c>
      <c r="L1949" t="str">
        <f>INDEX(Raw_Shipments!L1949:L4377,MATCH(A1949,Raw_Shipments!B1949:B4377))</f>
        <v>No</v>
      </c>
    </row>
    <row r="1950" spans="1:12" x14ac:dyDescent="0.3">
      <c r="A1950" s="2" t="s">
        <v>2099</v>
      </c>
      <c r="B1950" s="3">
        <v>45953</v>
      </c>
      <c r="C1950" s="2" t="s">
        <v>104</v>
      </c>
      <c r="D1950" s="2" t="s">
        <v>14</v>
      </c>
      <c r="E1950" s="2" t="s">
        <v>31</v>
      </c>
      <c r="F1950" s="2" t="s">
        <v>32</v>
      </c>
      <c r="G1950" s="2" t="s">
        <v>33</v>
      </c>
      <c r="H1950" s="2">
        <v>74</v>
      </c>
      <c r="I1950" s="4">
        <v>689</v>
      </c>
      <c r="J1950" s="3">
        <v>45961</v>
      </c>
      <c r="K1950">
        <f t="shared" si="30"/>
        <v>50986</v>
      </c>
      <c r="L1950" t="str">
        <f>INDEX(Raw_Shipments!L1950:L4378,MATCH(A1950,Raw_Shipments!B1950:B4378))</f>
        <v>Yes</v>
      </c>
    </row>
    <row r="1951" spans="1:12" x14ac:dyDescent="0.3">
      <c r="A1951" s="5" t="s">
        <v>2100</v>
      </c>
      <c r="B1951" s="6">
        <v>45953</v>
      </c>
      <c r="C1951" s="5" t="s">
        <v>268</v>
      </c>
      <c r="D1951" s="5" t="s">
        <v>14</v>
      </c>
      <c r="E1951" s="5" t="s">
        <v>86</v>
      </c>
      <c r="F1951" s="5" t="s">
        <v>87</v>
      </c>
      <c r="G1951" s="5" t="s">
        <v>33</v>
      </c>
      <c r="H1951" s="5">
        <v>28</v>
      </c>
      <c r="I1951" s="7">
        <v>815.88</v>
      </c>
      <c r="J1951" s="6">
        <v>45956</v>
      </c>
      <c r="K1951">
        <f t="shared" si="30"/>
        <v>22844.639999999999</v>
      </c>
      <c r="L1951" t="str">
        <f>INDEX(Raw_Shipments!L1951:L4379,MATCH(A1951,Raw_Shipments!B1951:B4379))</f>
        <v>No</v>
      </c>
    </row>
    <row r="1952" spans="1:12" x14ac:dyDescent="0.3">
      <c r="A1952" s="2" t="s">
        <v>2101</v>
      </c>
      <c r="B1952" s="3">
        <v>45953</v>
      </c>
      <c r="C1952" s="2" t="s">
        <v>442</v>
      </c>
      <c r="D1952" s="2" t="s">
        <v>25</v>
      </c>
      <c r="E1952" s="2" t="s">
        <v>40</v>
      </c>
      <c r="F1952" s="2" t="s">
        <v>41</v>
      </c>
      <c r="G1952" s="2" t="s">
        <v>42</v>
      </c>
      <c r="H1952" s="2">
        <v>29</v>
      </c>
      <c r="I1952" s="4">
        <v>2445.11</v>
      </c>
      <c r="J1952" s="3">
        <v>45959</v>
      </c>
      <c r="K1952">
        <f t="shared" si="30"/>
        <v>70908.19</v>
      </c>
      <c r="L1952" t="str">
        <f>INDEX(Raw_Shipments!L1952:L4380,MATCH(A1952,Raw_Shipments!B1952:B4380))</f>
        <v>No</v>
      </c>
    </row>
    <row r="1953" spans="1:12" x14ac:dyDescent="0.3">
      <c r="A1953" s="5" t="s">
        <v>2102</v>
      </c>
      <c r="B1953" s="6">
        <v>45953</v>
      </c>
      <c r="C1953" s="5" t="s">
        <v>96</v>
      </c>
      <c r="D1953" s="5" t="s">
        <v>30</v>
      </c>
      <c r="E1953" s="5" t="s">
        <v>46</v>
      </c>
      <c r="F1953" s="5" t="s">
        <v>47</v>
      </c>
      <c r="G1953" s="5" t="s">
        <v>42</v>
      </c>
      <c r="H1953" s="5">
        <v>8</v>
      </c>
      <c r="I1953" s="7">
        <v>1833.14</v>
      </c>
      <c r="J1953" s="6">
        <v>45962</v>
      </c>
      <c r="K1953">
        <f t="shared" si="30"/>
        <v>14665.12</v>
      </c>
      <c r="L1953" t="str">
        <f>INDEX(Raw_Shipments!L1953:L4381,MATCH(A1953,Raw_Shipments!B1953:B4381))</f>
        <v>No</v>
      </c>
    </row>
    <row r="1954" spans="1:12" x14ac:dyDescent="0.3">
      <c r="A1954" s="2" t="s">
        <v>2103</v>
      </c>
      <c r="B1954" s="3">
        <v>45953</v>
      </c>
      <c r="C1954" s="2" t="s">
        <v>356</v>
      </c>
      <c r="D1954" s="2" t="s">
        <v>45</v>
      </c>
      <c r="E1954" s="2" t="s">
        <v>50</v>
      </c>
      <c r="F1954" s="2" t="s">
        <v>51</v>
      </c>
      <c r="G1954" s="2" t="s">
        <v>42</v>
      </c>
      <c r="H1954" s="2">
        <v>20</v>
      </c>
      <c r="I1954" s="4">
        <v>1952.28</v>
      </c>
      <c r="J1954" s="3">
        <v>45958</v>
      </c>
      <c r="K1954">
        <f t="shared" si="30"/>
        <v>39045.599999999999</v>
      </c>
      <c r="L1954" t="str">
        <f>INDEX(Raw_Shipments!L1954:L4382,MATCH(A1954,Raw_Shipments!B1954:B4382))</f>
        <v>No</v>
      </c>
    </row>
    <row r="1955" spans="1:12" x14ac:dyDescent="0.3">
      <c r="A1955" s="5" t="s">
        <v>2104</v>
      </c>
      <c r="B1955" s="6">
        <v>45954</v>
      </c>
      <c r="C1955" s="5" t="s">
        <v>318</v>
      </c>
      <c r="D1955" s="5" t="s">
        <v>30</v>
      </c>
      <c r="E1955" s="5" t="s">
        <v>58</v>
      </c>
      <c r="F1955" s="5" t="s">
        <v>59</v>
      </c>
      <c r="G1955" s="5" t="s">
        <v>55</v>
      </c>
      <c r="H1955" s="5">
        <v>14</v>
      </c>
      <c r="I1955" s="7">
        <v>1695.1</v>
      </c>
      <c r="J1955" s="6">
        <v>45960</v>
      </c>
      <c r="K1955">
        <f t="shared" si="30"/>
        <v>23731.399999999998</v>
      </c>
      <c r="L1955" t="str">
        <f>INDEX(Raw_Shipments!L1955:L4383,MATCH(A1955,Raw_Shipments!B1955:B4383))</f>
        <v>No</v>
      </c>
    </row>
    <row r="1956" spans="1:12" x14ac:dyDescent="0.3">
      <c r="A1956" s="2" t="s">
        <v>2105</v>
      </c>
      <c r="B1956" s="3">
        <v>45954</v>
      </c>
      <c r="C1956" s="2" t="s">
        <v>154</v>
      </c>
      <c r="D1956" s="2" t="s">
        <v>30</v>
      </c>
      <c r="E1956" s="2" t="s">
        <v>97</v>
      </c>
      <c r="F1956" s="2" t="s">
        <v>98</v>
      </c>
      <c r="G1956" s="2" t="s">
        <v>17</v>
      </c>
      <c r="H1956" s="2">
        <v>25</v>
      </c>
      <c r="I1956" s="4">
        <v>1110.6500000000001</v>
      </c>
      <c r="J1956" s="3">
        <v>45962</v>
      </c>
      <c r="K1956">
        <f t="shared" si="30"/>
        <v>27766.250000000004</v>
      </c>
      <c r="L1956" t="str">
        <f>INDEX(Raw_Shipments!L1956:L4384,MATCH(A1956,Raw_Shipments!B1956:B4384))</f>
        <v>No</v>
      </c>
    </row>
    <row r="1957" spans="1:12" x14ac:dyDescent="0.3">
      <c r="A1957" s="5" t="s">
        <v>2106</v>
      </c>
      <c r="B1957" s="6">
        <v>45954</v>
      </c>
      <c r="C1957" s="5" t="s">
        <v>198</v>
      </c>
      <c r="D1957" s="5" t="s">
        <v>45</v>
      </c>
      <c r="E1957" s="5" t="s">
        <v>15</v>
      </c>
      <c r="F1957" s="5" t="s">
        <v>16</v>
      </c>
      <c r="G1957" s="5" t="s">
        <v>17</v>
      </c>
      <c r="H1957" s="5">
        <v>26</v>
      </c>
      <c r="I1957" s="7">
        <v>183.06</v>
      </c>
      <c r="J1957" s="6">
        <v>45959</v>
      </c>
      <c r="K1957">
        <f t="shared" si="30"/>
        <v>4759.5600000000004</v>
      </c>
      <c r="L1957" t="str">
        <f>INDEX(Raw_Shipments!L1957:L4385,MATCH(A1957,Raw_Shipments!B1957:B4385))</f>
        <v>No</v>
      </c>
    </row>
    <row r="1958" spans="1:12" x14ac:dyDescent="0.3">
      <c r="A1958" s="2" t="s">
        <v>2107</v>
      </c>
      <c r="B1958" s="3">
        <v>45954</v>
      </c>
      <c r="C1958" s="2" t="s">
        <v>250</v>
      </c>
      <c r="D1958" s="2" t="s">
        <v>30</v>
      </c>
      <c r="E1958" s="2" t="s">
        <v>31</v>
      </c>
      <c r="F1958" s="2" t="s">
        <v>32</v>
      </c>
      <c r="G1958" s="2" t="s">
        <v>33</v>
      </c>
      <c r="H1958" s="2">
        <v>60</v>
      </c>
      <c r="I1958" s="4">
        <v>689</v>
      </c>
      <c r="J1958" s="3">
        <v>45960</v>
      </c>
      <c r="K1958">
        <f t="shared" si="30"/>
        <v>41340</v>
      </c>
      <c r="L1958" t="str">
        <f>INDEX(Raw_Shipments!L1958:L4386,MATCH(A1958,Raw_Shipments!B1958:B4386))</f>
        <v>Yes</v>
      </c>
    </row>
    <row r="1959" spans="1:12" x14ac:dyDescent="0.3">
      <c r="A1959" s="5" t="s">
        <v>2108</v>
      </c>
      <c r="B1959" s="6">
        <v>45954</v>
      </c>
      <c r="C1959" s="5" t="s">
        <v>156</v>
      </c>
      <c r="D1959" s="5" t="s">
        <v>30</v>
      </c>
      <c r="E1959" s="5" t="s">
        <v>86</v>
      </c>
      <c r="F1959" s="5" t="s">
        <v>87</v>
      </c>
      <c r="G1959" s="5" t="s">
        <v>33</v>
      </c>
      <c r="H1959" s="5">
        <v>39</v>
      </c>
      <c r="I1959" s="7">
        <v>815.88</v>
      </c>
      <c r="J1959" s="6">
        <v>45964</v>
      </c>
      <c r="K1959">
        <f t="shared" si="30"/>
        <v>31819.32</v>
      </c>
      <c r="L1959" t="str">
        <f>INDEX(Raw_Shipments!L1959:L4387,MATCH(A1959,Raw_Shipments!B1959:B4387))</f>
        <v>No</v>
      </c>
    </row>
    <row r="1960" spans="1:12" x14ac:dyDescent="0.3">
      <c r="A1960" s="2" t="s">
        <v>2109</v>
      </c>
      <c r="B1960" s="3">
        <v>45954</v>
      </c>
      <c r="C1960" s="2" t="s">
        <v>220</v>
      </c>
      <c r="D1960" s="2" t="s">
        <v>30</v>
      </c>
      <c r="E1960" s="2" t="s">
        <v>50</v>
      </c>
      <c r="F1960" s="2" t="s">
        <v>51</v>
      </c>
      <c r="G1960" s="2" t="s">
        <v>42</v>
      </c>
      <c r="H1960" s="2">
        <v>6</v>
      </c>
      <c r="I1960" s="4">
        <v>1952.28</v>
      </c>
      <c r="J1960" s="3">
        <v>45961</v>
      </c>
      <c r="K1960">
        <f t="shared" si="30"/>
        <v>11713.68</v>
      </c>
      <c r="L1960" t="str">
        <f>INDEX(Raw_Shipments!L1960:L4388,MATCH(A1960,Raw_Shipments!B1960:B4388))</f>
        <v>No</v>
      </c>
    </row>
    <row r="1961" spans="1:12" x14ac:dyDescent="0.3">
      <c r="A1961" s="5" t="s">
        <v>2110</v>
      </c>
      <c r="B1961" s="6">
        <v>45955</v>
      </c>
      <c r="C1961" s="5" t="s">
        <v>39</v>
      </c>
      <c r="D1961" s="5" t="s">
        <v>25</v>
      </c>
      <c r="E1961" s="5" t="s">
        <v>58</v>
      </c>
      <c r="F1961" s="5" t="s">
        <v>59</v>
      </c>
      <c r="G1961" s="5" t="s">
        <v>55</v>
      </c>
      <c r="H1961" s="5">
        <v>15</v>
      </c>
      <c r="I1961" s="7">
        <v>1695.1</v>
      </c>
      <c r="J1961" s="6">
        <v>45963</v>
      </c>
      <c r="K1961">
        <f t="shared" si="30"/>
        <v>25426.5</v>
      </c>
      <c r="L1961" t="str">
        <f>INDEX(Raw_Shipments!L1961:L4389,MATCH(A1961,Raw_Shipments!B1961:B4389))</f>
        <v>No</v>
      </c>
    </row>
    <row r="1962" spans="1:12" x14ac:dyDescent="0.3">
      <c r="A1962" s="2" t="s">
        <v>2111</v>
      </c>
      <c r="B1962" s="3">
        <v>45955</v>
      </c>
      <c r="C1962" s="2" t="s">
        <v>268</v>
      </c>
      <c r="D1962" s="2" t="s">
        <v>14</v>
      </c>
      <c r="E1962" s="2" t="s">
        <v>97</v>
      </c>
      <c r="F1962" s="2" t="s">
        <v>98</v>
      </c>
      <c r="G1962" s="2" t="s">
        <v>17</v>
      </c>
      <c r="H1962" s="2">
        <v>11</v>
      </c>
      <c r="I1962" s="4">
        <v>1110.6500000000001</v>
      </c>
      <c r="J1962" s="3">
        <v>45961</v>
      </c>
      <c r="K1962">
        <f t="shared" si="30"/>
        <v>12217.150000000001</v>
      </c>
      <c r="L1962" t="str">
        <f>INDEX(Raw_Shipments!L1962:L4390,MATCH(A1962,Raw_Shipments!B1962:B4390))</f>
        <v>No</v>
      </c>
    </row>
    <row r="1963" spans="1:12" x14ac:dyDescent="0.3">
      <c r="A1963" s="5" t="s">
        <v>2112</v>
      </c>
      <c r="B1963" s="6">
        <v>45955</v>
      </c>
      <c r="C1963" s="5" t="s">
        <v>89</v>
      </c>
      <c r="D1963" s="5" t="s">
        <v>45</v>
      </c>
      <c r="E1963" s="5" t="s">
        <v>119</v>
      </c>
      <c r="F1963" s="5" t="s">
        <v>120</v>
      </c>
      <c r="G1963" s="5" t="s">
        <v>22</v>
      </c>
      <c r="H1963" s="5">
        <v>51</v>
      </c>
      <c r="I1963" s="7">
        <v>912.26</v>
      </c>
      <c r="J1963" s="6">
        <v>45959</v>
      </c>
      <c r="K1963">
        <f t="shared" si="30"/>
        <v>46525.26</v>
      </c>
      <c r="L1963" t="str">
        <f>INDEX(Raw_Shipments!L1963:L4391,MATCH(A1963,Raw_Shipments!B1963:B4391))</f>
        <v>No</v>
      </c>
    </row>
    <row r="1964" spans="1:12" x14ac:dyDescent="0.3">
      <c r="A1964" s="2" t="s">
        <v>2113</v>
      </c>
      <c r="B1964" s="3">
        <v>45955</v>
      </c>
      <c r="C1964" s="2" t="s">
        <v>420</v>
      </c>
      <c r="D1964" s="2" t="s">
        <v>25</v>
      </c>
      <c r="E1964" s="2" t="s">
        <v>31</v>
      </c>
      <c r="F1964" s="2" t="s">
        <v>32</v>
      </c>
      <c r="G1964" s="2" t="s">
        <v>33</v>
      </c>
      <c r="H1964" s="2">
        <v>38</v>
      </c>
      <c r="I1964" s="4">
        <v>689</v>
      </c>
      <c r="J1964" s="3">
        <v>45962</v>
      </c>
      <c r="K1964">
        <f t="shared" si="30"/>
        <v>26182</v>
      </c>
      <c r="L1964" t="str">
        <f>INDEX(Raw_Shipments!L1964:L4392,MATCH(A1964,Raw_Shipments!B1964:B4392))</f>
        <v>No</v>
      </c>
    </row>
    <row r="1965" spans="1:12" x14ac:dyDescent="0.3">
      <c r="A1965" s="5" t="s">
        <v>2114</v>
      </c>
      <c r="B1965" s="6">
        <v>45955</v>
      </c>
      <c r="C1965" s="5" t="s">
        <v>109</v>
      </c>
      <c r="D1965" s="5" t="s">
        <v>25</v>
      </c>
      <c r="E1965" s="5" t="s">
        <v>36</v>
      </c>
      <c r="F1965" s="5" t="s">
        <v>37</v>
      </c>
      <c r="G1965" s="5" t="s">
        <v>33</v>
      </c>
      <c r="H1965" s="5">
        <v>39</v>
      </c>
      <c r="I1965" s="7">
        <v>1064.79</v>
      </c>
      <c r="J1965" s="6">
        <v>45965</v>
      </c>
      <c r="K1965">
        <f t="shared" si="30"/>
        <v>41526.81</v>
      </c>
      <c r="L1965" t="str">
        <f>INDEX(Raw_Shipments!L1965:L4393,MATCH(A1965,Raw_Shipments!B1965:B4393))</f>
        <v>Yes</v>
      </c>
    </row>
    <row r="1966" spans="1:12" x14ac:dyDescent="0.3">
      <c r="A1966" s="2" t="s">
        <v>2115</v>
      </c>
      <c r="B1966" s="3">
        <v>45955</v>
      </c>
      <c r="C1966" s="2" t="s">
        <v>89</v>
      </c>
      <c r="D1966" s="2" t="s">
        <v>30</v>
      </c>
      <c r="E1966" s="2" t="s">
        <v>40</v>
      </c>
      <c r="F1966" s="2" t="s">
        <v>41</v>
      </c>
      <c r="G1966" s="2" t="s">
        <v>42</v>
      </c>
      <c r="H1966" s="2">
        <v>17</v>
      </c>
      <c r="I1966" s="4">
        <v>2445.11</v>
      </c>
      <c r="J1966" s="3">
        <v>45958</v>
      </c>
      <c r="K1966">
        <f t="shared" si="30"/>
        <v>41566.870000000003</v>
      </c>
      <c r="L1966" t="str">
        <f>INDEX(Raw_Shipments!L1966:L4394,MATCH(A1966,Raw_Shipments!B1966:B4394))</f>
        <v>No</v>
      </c>
    </row>
    <row r="1967" spans="1:12" x14ac:dyDescent="0.3">
      <c r="A1967" s="5" t="s">
        <v>2116</v>
      </c>
      <c r="B1967" s="6">
        <v>45956</v>
      </c>
      <c r="C1967" s="5" t="s">
        <v>262</v>
      </c>
      <c r="D1967" s="5" t="s">
        <v>14</v>
      </c>
      <c r="E1967" s="5" t="s">
        <v>58</v>
      </c>
      <c r="F1967" s="5" t="s">
        <v>59</v>
      </c>
      <c r="G1967" s="5" t="s">
        <v>55</v>
      </c>
      <c r="H1967" s="5">
        <v>26</v>
      </c>
      <c r="I1967" s="7">
        <v>1695.1</v>
      </c>
      <c r="J1967" s="6">
        <v>45959</v>
      </c>
      <c r="K1967">
        <f t="shared" si="30"/>
        <v>44072.6</v>
      </c>
      <c r="L1967" t="str">
        <f>INDEX(Raw_Shipments!L1967:L4395,MATCH(A1967,Raw_Shipments!B1967:B4395))</f>
        <v>No</v>
      </c>
    </row>
    <row r="1968" spans="1:12" x14ac:dyDescent="0.3">
      <c r="A1968" s="2" t="s">
        <v>2117</v>
      </c>
      <c r="B1968" s="3">
        <v>45956</v>
      </c>
      <c r="C1968" s="2" t="s">
        <v>213</v>
      </c>
      <c r="D1968" s="2" t="s">
        <v>30</v>
      </c>
      <c r="E1968" s="2" t="s">
        <v>62</v>
      </c>
      <c r="F1968" s="2" t="s">
        <v>63</v>
      </c>
      <c r="G1968" s="2" t="s">
        <v>55</v>
      </c>
      <c r="H1968" s="2">
        <v>62</v>
      </c>
      <c r="I1968" s="4">
        <v>2555.2199999999998</v>
      </c>
      <c r="J1968" s="3">
        <v>45964</v>
      </c>
      <c r="K1968">
        <f t="shared" si="30"/>
        <v>158423.63999999998</v>
      </c>
      <c r="L1968" t="str">
        <f>INDEX(Raw_Shipments!L1968:L4396,MATCH(A1968,Raw_Shipments!B1968:B4396))</f>
        <v>No</v>
      </c>
    </row>
    <row r="1969" spans="1:12" x14ac:dyDescent="0.3">
      <c r="A1969" s="5" t="s">
        <v>2118</v>
      </c>
      <c r="B1969" s="6">
        <v>45956</v>
      </c>
      <c r="C1969" s="5" t="s">
        <v>234</v>
      </c>
      <c r="D1969" s="5" t="s">
        <v>30</v>
      </c>
      <c r="E1969" s="5" t="s">
        <v>97</v>
      </c>
      <c r="F1969" s="5" t="s">
        <v>98</v>
      </c>
      <c r="G1969" s="5" t="s">
        <v>17</v>
      </c>
      <c r="H1969" s="5">
        <v>35</v>
      </c>
      <c r="I1969" s="7">
        <v>1110.6500000000001</v>
      </c>
      <c r="J1969" s="6">
        <v>45963</v>
      </c>
      <c r="K1969">
        <f t="shared" si="30"/>
        <v>38872.75</v>
      </c>
      <c r="L1969" t="str">
        <f>INDEX(Raw_Shipments!L1969:L4397,MATCH(A1969,Raw_Shipments!B1969:B4397))</f>
        <v>Yes</v>
      </c>
    </row>
    <row r="1970" spans="1:12" x14ac:dyDescent="0.3">
      <c r="A1970" s="2" t="s">
        <v>2119</v>
      </c>
      <c r="B1970" s="3">
        <v>45956</v>
      </c>
      <c r="C1970" s="2" t="s">
        <v>232</v>
      </c>
      <c r="D1970" s="2" t="s">
        <v>14</v>
      </c>
      <c r="E1970" s="2" t="s">
        <v>15</v>
      </c>
      <c r="F1970" s="2" t="s">
        <v>16</v>
      </c>
      <c r="G1970" s="2" t="s">
        <v>17</v>
      </c>
      <c r="H1970" s="2">
        <v>15</v>
      </c>
      <c r="I1970" s="4">
        <v>183.06</v>
      </c>
      <c r="J1970" s="3">
        <v>45964</v>
      </c>
      <c r="K1970">
        <f t="shared" si="30"/>
        <v>2745.9</v>
      </c>
      <c r="L1970" t="str">
        <f>INDEX(Raw_Shipments!L1970:L4398,MATCH(A1970,Raw_Shipments!B1970:B4398))</f>
        <v>Yes</v>
      </c>
    </row>
    <row r="1971" spans="1:12" x14ac:dyDescent="0.3">
      <c r="A1971" s="5" t="s">
        <v>2120</v>
      </c>
      <c r="B1971" s="6">
        <v>45956</v>
      </c>
      <c r="C1971" s="5" t="s">
        <v>343</v>
      </c>
      <c r="D1971" s="5" t="s">
        <v>30</v>
      </c>
      <c r="E1971" s="5" t="s">
        <v>20</v>
      </c>
      <c r="F1971" s="5" t="s">
        <v>21</v>
      </c>
      <c r="G1971" s="5" t="s">
        <v>22</v>
      </c>
      <c r="H1971" s="5">
        <v>27</v>
      </c>
      <c r="I1971" s="7">
        <v>2108.56</v>
      </c>
      <c r="J1971" s="6">
        <v>45966</v>
      </c>
      <c r="K1971">
        <f t="shared" si="30"/>
        <v>56931.119999999995</v>
      </c>
      <c r="L1971" t="str">
        <f>INDEX(Raw_Shipments!L1971:L4399,MATCH(A1971,Raw_Shipments!B1971:B4399))</f>
        <v>Yes</v>
      </c>
    </row>
    <row r="1972" spans="1:12" x14ac:dyDescent="0.3">
      <c r="A1972" s="2" t="s">
        <v>2121</v>
      </c>
      <c r="B1972" s="3">
        <v>45956</v>
      </c>
      <c r="C1972" s="2" t="s">
        <v>545</v>
      </c>
      <c r="D1972" s="2" t="s">
        <v>45</v>
      </c>
      <c r="E1972" s="2" t="s">
        <v>31</v>
      </c>
      <c r="F1972" s="2" t="s">
        <v>32</v>
      </c>
      <c r="G1972" s="2" t="s">
        <v>33</v>
      </c>
      <c r="H1972" s="2">
        <v>41</v>
      </c>
      <c r="I1972" s="4">
        <v>689</v>
      </c>
      <c r="J1972" s="3">
        <v>45964</v>
      </c>
      <c r="K1972">
        <f t="shared" si="30"/>
        <v>28249</v>
      </c>
      <c r="L1972" t="str">
        <f>INDEX(Raw_Shipments!L1972:L4400,MATCH(A1972,Raw_Shipments!B1972:B4400))</f>
        <v>No</v>
      </c>
    </row>
    <row r="1973" spans="1:12" x14ac:dyDescent="0.3">
      <c r="A1973" s="5" t="s">
        <v>2122</v>
      </c>
      <c r="B1973" s="6">
        <v>45956</v>
      </c>
      <c r="C1973" s="5" t="s">
        <v>79</v>
      </c>
      <c r="D1973" s="5" t="s">
        <v>45</v>
      </c>
      <c r="E1973" s="5" t="s">
        <v>86</v>
      </c>
      <c r="F1973" s="5" t="s">
        <v>87</v>
      </c>
      <c r="G1973" s="5" t="s">
        <v>33</v>
      </c>
      <c r="H1973" s="5">
        <v>32</v>
      </c>
      <c r="I1973" s="7">
        <v>815.88</v>
      </c>
      <c r="J1973" s="6">
        <v>45962</v>
      </c>
      <c r="K1973">
        <f t="shared" si="30"/>
        <v>26108.16</v>
      </c>
      <c r="L1973" t="str">
        <f>INDEX(Raw_Shipments!L1973:L4401,MATCH(A1973,Raw_Shipments!B1973:B4401))</f>
        <v>Yes</v>
      </c>
    </row>
    <row r="1974" spans="1:12" x14ac:dyDescent="0.3">
      <c r="A1974" s="2" t="s">
        <v>2123</v>
      </c>
      <c r="B1974" s="3">
        <v>45956</v>
      </c>
      <c r="C1974" s="2" t="s">
        <v>318</v>
      </c>
      <c r="D1974" s="2" t="s">
        <v>30</v>
      </c>
      <c r="E1974" s="2" t="s">
        <v>40</v>
      </c>
      <c r="F1974" s="2" t="s">
        <v>41</v>
      </c>
      <c r="G1974" s="2" t="s">
        <v>42</v>
      </c>
      <c r="H1974" s="2">
        <v>31</v>
      </c>
      <c r="I1974" s="4">
        <v>2445.11</v>
      </c>
      <c r="J1974" s="3">
        <v>45964</v>
      </c>
      <c r="K1974">
        <f t="shared" si="30"/>
        <v>75798.41</v>
      </c>
      <c r="L1974" t="str">
        <f>INDEX(Raw_Shipments!L1974:L4402,MATCH(A1974,Raw_Shipments!B1974:B4402))</f>
        <v>No</v>
      </c>
    </row>
    <row r="1975" spans="1:12" x14ac:dyDescent="0.3">
      <c r="A1975" s="5" t="s">
        <v>2124</v>
      </c>
      <c r="B1975" s="6">
        <v>45956</v>
      </c>
      <c r="C1975" s="5" t="s">
        <v>331</v>
      </c>
      <c r="D1975" s="5" t="s">
        <v>14</v>
      </c>
      <c r="E1975" s="5" t="s">
        <v>46</v>
      </c>
      <c r="F1975" s="5" t="s">
        <v>47</v>
      </c>
      <c r="G1975" s="5" t="s">
        <v>42</v>
      </c>
      <c r="H1975" s="5">
        <v>6</v>
      </c>
      <c r="I1975" s="7">
        <v>1833.14</v>
      </c>
      <c r="J1975" s="6">
        <v>45960</v>
      </c>
      <c r="K1975">
        <f t="shared" si="30"/>
        <v>10998.84</v>
      </c>
      <c r="L1975" t="str">
        <f>INDEX(Raw_Shipments!L1975:L4403,MATCH(A1975,Raw_Shipments!B1975:B4403))</f>
        <v>No</v>
      </c>
    </row>
    <row r="1976" spans="1:12" x14ac:dyDescent="0.3">
      <c r="A1976" s="2" t="s">
        <v>2125</v>
      </c>
      <c r="B1976" s="3">
        <v>45956</v>
      </c>
      <c r="C1976" s="2" t="s">
        <v>135</v>
      </c>
      <c r="D1976" s="2" t="s">
        <v>14</v>
      </c>
      <c r="E1976" s="2" t="s">
        <v>50</v>
      </c>
      <c r="F1976" s="2" t="s">
        <v>51</v>
      </c>
      <c r="G1976" s="2" t="s">
        <v>42</v>
      </c>
      <c r="H1976" s="2">
        <v>23</v>
      </c>
      <c r="I1976" s="4">
        <v>1952.28</v>
      </c>
      <c r="J1976" s="3">
        <v>45962</v>
      </c>
      <c r="K1976">
        <f t="shared" si="30"/>
        <v>44902.44</v>
      </c>
      <c r="L1976" t="str">
        <f>INDEX(Raw_Shipments!L1976:L4404,MATCH(A1976,Raw_Shipments!B1976:B4404))</f>
        <v>No</v>
      </c>
    </row>
    <row r="1977" spans="1:12" x14ac:dyDescent="0.3">
      <c r="A1977" s="5" t="s">
        <v>2126</v>
      </c>
      <c r="B1977" s="6">
        <v>45957</v>
      </c>
      <c r="C1977" s="5" t="s">
        <v>304</v>
      </c>
      <c r="D1977" s="5" t="s">
        <v>14</v>
      </c>
      <c r="E1977" s="5" t="s">
        <v>58</v>
      </c>
      <c r="F1977" s="5" t="s">
        <v>59</v>
      </c>
      <c r="G1977" s="5" t="s">
        <v>55</v>
      </c>
      <c r="H1977" s="5">
        <v>12</v>
      </c>
      <c r="I1977" s="7">
        <v>1695.1</v>
      </c>
      <c r="J1977" s="6">
        <v>45965</v>
      </c>
      <c r="K1977">
        <f t="shared" si="30"/>
        <v>20341.199999999997</v>
      </c>
      <c r="L1977" t="str">
        <f>INDEX(Raw_Shipments!L1977:L4405,MATCH(A1977,Raw_Shipments!B1977:B4405))</f>
        <v>No</v>
      </c>
    </row>
    <row r="1978" spans="1:12" x14ac:dyDescent="0.3">
      <c r="A1978" s="2" t="s">
        <v>2127</v>
      </c>
      <c r="B1978" s="3">
        <v>45957</v>
      </c>
      <c r="C1978" s="2" t="s">
        <v>83</v>
      </c>
      <c r="D1978" s="2" t="s">
        <v>14</v>
      </c>
      <c r="E1978" s="2" t="s">
        <v>97</v>
      </c>
      <c r="F1978" s="2" t="s">
        <v>98</v>
      </c>
      <c r="G1978" s="2" t="s">
        <v>17</v>
      </c>
      <c r="H1978" s="2">
        <v>19</v>
      </c>
      <c r="I1978" s="4">
        <v>1110.6500000000001</v>
      </c>
      <c r="J1978" s="3">
        <v>45962</v>
      </c>
      <c r="K1978">
        <f t="shared" si="30"/>
        <v>21102.350000000002</v>
      </c>
      <c r="L1978" t="str">
        <f>INDEX(Raw_Shipments!L1978:L4406,MATCH(A1978,Raw_Shipments!B1978:B4406))</f>
        <v>No</v>
      </c>
    </row>
    <row r="1979" spans="1:12" x14ac:dyDescent="0.3">
      <c r="A1979" s="5" t="s">
        <v>2128</v>
      </c>
      <c r="B1979" s="6">
        <v>45957</v>
      </c>
      <c r="C1979" s="5" t="s">
        <v>144</v>
      </c>
      <c r="D1979" s="5" t="s">
        <v>14</v>
      </c>
      <c r="E1979" s="5" t="s">
        <v>15</v>
      </c>
      <c r="F1979" s="5" t="s">
        <v>16</v>
      </c>
      <c r="G1979" s="5" t="s">
        <v>17</v>
      </c>
      <c r="H1979" s="5">
        <v>15</v>
      </c>
      <c r="I1979" s="7">
        <v>183.06</v>
      </c>
      <c r="J1979" s="6">
        <v>45962</v>
      </c>
      <c r="K1979">
        <f t="shared" si="30"/>
        <v>2745.9</v>
      </c>
      <c r="L1979" t="str">
        <f>INDEX(Raw_Shipments!L1979:L4407,MATCH(A1979,Raw_Shipments!B1979:B4407))</f>
        <v>No</v>
      </c>
    </row>
    <row r="1980" spans="1:12" x14ac:dyDescent="0.3">
      <c r="A1980" s="2" t="s">
        <v>2129</v>
      </c>
      <c r="B1980" s="3">
        <v>45957</v>
      </c>
      <c r="C1980" s="2" t="s">
        <v>29</v>
      </c>
      <c r="D1980" s="2" t="s">
        <v>45</v>
      </c>
      <c r="E1980" s="2" t="s">
        <v>26</v>
      </c>
      <c r="F1980" s="2" t="s">
        <v>27</v>
      </c>
      <c r="G1980" s="2" t="s">
        <v>22</v>
      </c>
      <c r="H1980" s="2">
        <v>35</v>
      </c>
      <c r="I1980" s="4">
        <v>1646.8</v>
      </c>
      <c r="J1980" s="3">
        <v>45963</v>
      </c>
      <c r="K1980">
        <f t="shared" si="30"/>
        <v>57638</v>
      </c>
      <c r="L1980" t="str">
        <f>INDEX(Raw_Shipments!L1980:L4408,MATCH(A1980,Raw_Shipments!B1980:B4408))</f>
        <v>Yes</v>
      </c>
    </row>
    <row r="1981" spans="1:12" x14ac:dyDescent="0.3">
      <c r="A1981" s="5" t="s">
        <v>2130</v>
      </c>
      <c r="B1981" s="6">
        <v>45957</v>
      </c>
      <c r="C1981" s="5" t="s">
        <v>220</v>
      </c>
      <c r="D1981" s="5" t="s">
        <v>30</v>
      </c>
      <c r="E1981" s="5" t="s">
        <v>86</v>
      </c>
      <c r="F1981" s="5" t="s">
        <v>87</v>
      </c>
      <c r="G1981" s="5" t="s">
        <v>33</v>
      </c>
      <c r="H1981" s="5">
        <v>27</v>
      </c>
      <c r="I1981" s="7">
        <v>815.88</v>
      </c>
      <c r="J1981" s="6">
        <v>45966</v>
      </c>
      <c r="K1981">
        <f t="shared" si="30"/>
        <v>22028.76</v>
      </c>
      <c r="L1981" t="str">
        <f>INDEX(Raw_Shipments!L1981:L4409,MATCH(A1981,Raw_Shipments!B1981:B4409))</f>
        <v>Yes</v>
      </c>
    </row>
    <row r="1982" spans="1:12" x14ac:dyDescent="0.3">
      <c r="A1982" s="2" t="s">
        <v>2131</v>
      </c>
      <c r="B1982" s="3">
        <v>45957</v>
      </c>
      <c r="C1982" s="2" t="s">
        <v>93</v>
      </c>
      <c r="D1982" s="2" t="s">
        <v>25</v>
      </c>
      <c r="E1982" s="2" t="s">
        <v>40</v>
      </c>
      <c r="F1982" s="2" t="s">
        <v>41</v>
      </c>
      <c r="G1982" s="2" t="s">
        <v>42</v>
      </c>
      <c r="H1982" s="2">
        <v>30</v>
      </c>
      <c r="I1982" s="4">
        <v>2445.11</v>
      </c>
      <c r="J1982" s="3">
        <v>45961</v>
      </c>
      <c r="K1982">
        <f t="shared" si="30"/>
        <v>73353.3</v>
      </c>
      <c r="L1982" t="str">
        <f>INDEX(Raw_Shipments!L1982:L4410,MATCH(A1982,Raw_Shipments!B1982:B4410))</f>
        <v>No</v>
      </c>
    </row>
    <row r="1983" spans="1:12" x14ac:dyDescent="0.3">
      <c r="A1983" s="5" t="s">
        <v>2132</v>
      </c>
      <c r="B1983" s="6">
        <v>45957</v>
      </c>
      <c r="C1983" s="5" t="s">
        <v>71</v>
      </c>
      <c r="D1983" s="5" t="s">
        <v>30</v>
      </c>
      <c r="E1983" s="5" t="s">
        <v>46</v>
      </c>
      <c r="F1983" s="5" t="s">
        <v>47</v>
      </c>
      <c r="G1983" s="5" t="s">
        <v>42</v>
      </c>
      <c r="H1983" s="5">
        <v>5</v>
      </c>
      <c r="I1983" s="7">
        <v>1833.14</v>
      </c>
      <c r="J1983" s="6">
        <v>45961</v>
      </c>
      <c r="K1983">
        <f t="shared" si="30"/>
        <v>9165.7000000000007</v>
      </c>
      <c r="L1983" t="str">
        <f>INDEX(Raw_Shipments!L1983:L4411,MATCH(A1983,Raw_Shipments!B1983:B4411))</f>
        <v>No</v>
      </c>
    </row>
    <row r="1984" spans="1:12" x14ac:dyDescent="0.3">
      <c r="A1984" s="2" t="s">
        <v>2133</v>
      </c>
      <c r="B1984" s="3">
        <v>45957</v>
      </c>
      <c r="C1984" s="2" t="s">
        <v>166</v>
      </c>
      <c r="D1984" s="2" t="s">
        <v>14</v>
      </c>
      <c r="E1984" s="2" t="s">
        <v>50</v>
      </c>
      <c r="F1984" s="2" t="s">
        <v>51</v>
      </c>
      <c r="G1984" s="2" t="s">
        <v>42</v>
      </c>
      <c r="H1984" s="2">
        <v>9</v>
      </c>
      <c r="I1984" s="4">
        <v>1952.28</v>
      </c>
      <c r="J1984" s="3">
        <v>45963</v>
      </c>
      <c r="K1984">
        <f t="shared" si="30"/>
        <v>17570.52</v>
      </c>
      <c r="L1984" t="str">
        <f>INDEX(Raw_Shipments!L1984:L4412,MATCH(A1984,Raw_Shipments!B1984:B4412))</f>
        <v>No</v>
      </c>
    </row>
    <row r="1985" spans="1:12" x14ac:dyDescent="0.3">
      <c r="A1985" s="5" t="s">
        <v>2134</v>
      </c>
      <c r="B1985" s="6">
        <v>45958</v>
      </c>
      <c r="C1985" s="5" t="s">
        <v>35</v>
      </c>
      <c r="D1985" s="5" t="s">
        <v>25</v>
      </c>
      <c r="E1985" s="5" t="s">
        <v>58</v>
      </c>
      <c r="F1985" s="5" t="s">
        <v>59</v>
      </c>
      <c r="G1985" s="5" t="s">
        <v>55</v>
      </c>
      <c r="H1985" s="5">
        <v>22</v>
      </c>
      <c r="I1985" s="7">
        <v>1695.1</v>
      </c>
      <c r="J1985" s="6">
        <v>45964</v>
      </c>
      <c r="K1985">
        <f t="shared" si="30"/>
        <v>37292.199999999997</v>
      </c>
      <c r="L1985" t="str">
        <f>INDEX(Raw_Shipments!L1985:L4413,MATCH(A1985,Raw_Shipments!B1985:B4413))</f>
        <v>No</v>
      </c>
    </row>
    <row r="1986" spans="1:12" x14ac:dyDescent="0.3">
      <c r="A1986" s="2" t="s">
        <v>2135</v>
      </c>
      <c r="B1986" s="3">
        <v>45958</v>
      </c>
      <c r="C1986" s="2" t="s">
        <v>13</v>
      </c>
      <c r="D1986" s="2" t="s">
        <v>14</v>
      </c>
      <c r="E1986" s="2" t="s">
        <v>62</v>
      </c>
      <c r="F1986" s="2" t="s">
        <v>63</v>
      </c>
      <c r="G1986" s="2" t="s">
        <v>55</v>
      </c>
      <c r="H1986" s="2">
        <v>56</v>
      </c>
      <c r="I1986" s="4">
        <v>2555.2199999999998</v>
      </c>
      <c r="J1986" s="3">
        <v>45967</v>
      </c>
      <c r="K1986">
        <f t="shared" si="30"/>
        <v>143092.31999999998</v>
      </c>
      <c r="L1986" t="str">
        <f>INDEX(Raw_Shipments!L1986:L4414,MATCH(A1986,Raw_Shipments!B1986:B4414))</f>
        <v>No</v>
      </c>
    </row>
    <row r="1987" spans="1:12" x14ac:dyDescent="0.3">
      <c r="A1987" s="5" t="s">
        <v>2136</v>
      </c>
      <c r="B1987" s="6">
        <v>45958</v>
      </c>
      <c r="C1987" s="5" t="s">
        <v>44</v>
      </c>
      <c r="D1987" s="5" t="s">
        <v>25</v>
      </c>
      <c r="E1987" s="5" t="s">
        <v>66</v>
      </c>
      <c r="F1987" s="5" t="s">
        <v>67</v>
      </c>
      <c r="G1987" s="5" t="s">
        <v>17</v>
      </c>
      <c r="H1987" s="5">
        <v>16</v>
      </c>
      <c r="I1987" s="7">
        <v>850.8</v>
      </c>
      <c r="J1987" s="6">
        <v>45963</v>
      </c>
      <c r="K1987">
        <f t="shared" ref="K1987:K2050" si="31">I1987*H1987</f>
        <v>13612.8</v>
      </c>
      <c r="L1987" t="str">
        <f>INDEX(Raw_Shipments!L1987:L4415,MATCH(A1987,Raw_Shipments!B1987:B4415))</f>
        <v>No</v>
      </c>
    </row>
    <row r="1988" spans="1:12" x14ac:dyDescent="0.3">
      <c r="A1988" s="2" t="s">
        <v>2137</v>
      </c>
      <c r="B1988" s="3">
        <v>45958</v>
      </c>
      <c r="C1988" s="2" t="s">
        <v>343</v>
      </c>
      <c r="D1988" s="2" t="s">
        <v>30</v>
      </c>
      <c r="E1988" s="2" t="s">
        <v>15</v>
      </c>
      <c r="F1988" s="2" t="s">
        <v>16</v>
      </c>
      <c r="G1988" s="2" t="s">
        <v>17</v>
      </c>
      <c r="H1988" s="2">
        <v>21</v>
      </c>
      <c r="I1988" s="4">
        <v>183.06</v>
      </c>
      <c r="J1988" s="3">
        <v>45962</v>
      </c>
      <c r="K1988">
        <f t="shared" si="31"/>
        <v>3844.26</v>
      </c>
      <c r="L1988" t="str">
        <f>INDEX(Raw_Shipments!L1988:L4416,MATCH(A1988,Raw_Shipments!B1988:B4416))</f>
        <v>No</v>
      </c>
    </row>
    <row r="1989" spans="1:12" x14ac:dyDescent="0.3">
      <c r="A1989" s="5" t="s">
        <v>2138</v>
      </c>
      <c r="B1989" s="6">
        <v>45958</v>
      </c>
      <c r="C1989" s="5" t="s">
        <v>451</v>
      </c>
      <c r="D1989" s="5" t="s">
        <v>45</v>
      </c>
      <c r="E1989" s="5" t="s">
        <v>20</v>
      </c>
      <c r="F1989" s="5" t="s">
        <v>21</v>
      </c>
      <c r="G1989" s="5" t="s">
        <v>22</v>
      </c>
      <c r="H1989" s="5">
        <v>20</v>
      </c>
      <c r="I1989" s="7">
        <v>2108.56</v>
      </c>
      <c r="J1989" s="6">
        <v>45968</v>
      </c>
      <c r="K1989">
        <f t="shared" si="31"/>
        <v>42171.199999999997</v>
      </c>
      <c r="L1989" t="str">
        <f>INDEX(Raw_Shipments!L1989:L4417,MATCH(A1989,Raw_Shipments!B1989:B4417))</f>
        <v>Yes</v>
      </c>
    </row>
    <row r="1990" spans="1:12" x14ac:dyDescent="0.3">
      <c r="A1990" s="2" t="s">
        <v>2139</v>
      </c>
      <c r="B1990" s="3">
        <v>45958</v>
      </c>
      <c r="C1990" s="2" t="s">
        <v>203</v>
      </c>
      <c r="D1990" s="2" t="s">
        <v>45</v>
      </c>
      <c r="E1990" s="2" t="s">
        <v>31</v>
      </c>
      <c r="F1990" s="2" t="s">
        <v>32</v>
      </c>
      <c r="G1990" s="2" t="s">
        <v>33</v>
      </c>
      <c r="H1990" s="2">
        <v>68</v>
      </c>
      <c r="I1990" s="4">
        <v>689</v>
      </c>
      <c r="J1990" s="3">
        <v>45966</v>
      </c>
      <c r="K1990">
        <f t="shared" si="31"/>
        <v>46852</v>
      </c>
      <c r="L1990" t="str">
        <f>INDEX(Raw_Shipments!L1990:L4418,MATCH(A1990,Raw_Shipments!B1990:B4418))</f>
        <v>Yes</v>
      </c>
    </row>
    <row r="1991" spans="1:12" x14ac:dyDescent="0.3">
      <c r="A1991" s="5" t="s">
        <v>2140</v>
      </c>
      <c r="B1991" s="6">
        <v>45958</v>
      </c>
      <c r="C1991" s="5" t="s">
        <v>100</v>
      </c>
      <c r="D1991" s="5" t="s">
        <v>30</v>
      </c>
      <c r="E1991" s="5" t="s">
        <v>36</v>
      </c>
      <c r="F1991" s="5" t="s">
        <v>37</v>
      </c>
      <c r="G1991" s="5" t="s">
        <v>33</v>
      </c>
      <c r="H1991" s="5">
        <v>29</v>
      </c>
      <c r="I1991" s="7">
        <v>1064.79</v>
      </c>
      <c r="J1991" s="6">
        <v>45965</v>
      </c>
      <c r="K1991">
        <f t="shared" si="31"/>
        <v>30878.91</v>
      </c>
      <c r="L1991" t="str">
        <f>INDEX(Raw_Shipments!L1991:L4419,MATCH(A1991,Raw_Shipments!B1991:B4419))</f>
        <v>No</v>
      </c>
    </row>
    <row r="1992" spans="1:12" x14ac:dyDescent="0.3">
      <c r="A1992" s="2" t="s">
        <v>2141</v>
      </c>
      <c r="B1992" s="3">
        <v>45958</v>
      </c>
      <c r="C1992" s="2" t="s">
        <v>150</v>
      </c>
      <c r="D1992" s="2" t="s">
        <v>25</v>
      </c>
      <c r="E1992" s="2" t="s">
        <v>86</v>
      </c>
      <c r="F1992" s="2" t="s">
        <v>87</v>
      </c>
      <c r="G1992" s="2" t="s">
        <v>33</v>
      </c>
      <c r="H1992" s="2">
        <v>41</v>
      </c>
      <c r="I1992" s="4">
        <v>815.88</v>
      </c>
      <c r="J1992" s="3">
        <v>45968</v>
      </c>
      <c r="K1992">
        <f t="shared" si="31"/>
        <v>33451.08</v>
      </c>
      <c r="L1992" t="str">
        <f>INDEX(Raw_Shipments!L1992:L4420,MATCH(A1992,Raw_Shipments!B1992:B4420))</f>
        <v>Yes</v>
      </c>
    </row>
    <row r="1993" spans="1:12" x14ac:dyDescent="0.3">
      <c r="A1993" s="5" t="s">
        <v>2142</v>
      </c>
      <c r="B1993" s="6">
        <v>45958</v>
      </c>
      <c r="C1993" s="5" t="s">
        <v>250</v>
      </c>
      <c r="D1993" s="5" t="s">
        <v>25</v>
      </c>
      <c r="E1993" s="5" t="s">
        <v>40</v>
      </c>
      <c r="F1993" s="5" t="s">
        <v>41</v>
      </c>
      <c r="G1993" s="5" t="s">
        <v>42</v>
      </c>
      <c r="H1993" s="5">
        <v>47</v>
      </c>
      <c r="I1993" s="7">
        <v>2445.11</v>
      </c>
      <c r="J1993" s="6">
        <v>45962</v>
      </c>
      <c r="K1993">
        <f t="shared" si="31"/>
        <v>114920.17000000001</v>
      </c>
      <c r="L1993" t="str">
        <f>INDEX(Raw_Shipments!L1993:L4421,MATCH(A1993,Raw_Shipments!B1993:B4421))</f>
        <v>No</v>
      </c>
    </row>
    <row r="1994" spans="1:12" x14ac:dyDescent="0.3">
      <c r="A1994" s="2" t="s">
        <v>2143</v>
      </c>
      <c r="B1994" s="3">
        <v>45958</v>
      </c>
      <c r="C1994" s="2" t="s">
        <v>260</v>
      </c>
      <c r="D1994" s="2" t="s">
        <v>45</v>
      </c>
      <c r="E1994" s="2" t="s">
        <v>46</v>
      </c>
      <c r="F1994" s="2" t="s">
        <v>47</v>
      </c>
      <c r="G1994" s="2" t="s">
        <v>42</v>
      </c>
      <c r="H1994" s="2">
        <v>9</v>
      </c>
      <c r="I1994" s="4">
        <v>1833.14</v>
      </c>
      <c r="J1994" s="3">
        <v>45967</v>
      </c>
      <c r="K1994">
        <f t="shared" si="31"/>
        <v>16498.260000000002</v>
      </c>
      <c r="L1994" t="str">
        <f>INDEX(Raw_Shipments!L1994:L4422,MATCH(A1994,Raw_Shipments!B1994:B4422))</f>
        <v>No</v>
      </c>
    </row>
    <row r="1995" spans="1:12" x14ac:dyDescent="0.3">
      <c r="A1995" s="5" t="s">
        <v>2144</v>
      </c>
      <c r="B1995" s="6">
        <v>45959</v>
      </c>
      <c r="C1995" s="5" t="s">
        <v>93</v>
      </c>
      <c r="D1995" s="5" t="s">
        <v>25</v>
      </c>
      <c r="E1995" s="5" t="s">
        <v>58</v>
      </c>
      <c r="F1995" s="5" t="s">
        <v>59</v>
      </c>
      <c r="G1995" s="5" t="s">
        <v>55</v>
      </c>
      <c r="H1995" s="5">
        <v>14</v>
      </c>
      <c r="I1995" s="7">
        <v>1695.1</v>
      </c>
      <c r="J1995" s="6">
        <v>45966</v>
      </c>
      <c r="K1995">
        <f t="shared" si="31"/>
        <v>23731.399999999998</v>
      </c>
      <c r="L1995" t="str">
        <f>INDEX(Raw_Shipments!L1995:L4423,MATCH(A1995,Raw_Shipments!B1995:B4423))</f>
        <v>No</v>
      </c>
    </row>
    <row r="1996" spans="1:12" x14ac:dyDescent="0.3">
      <c r="A1996" s="2" t="s">
        <v>2145</v>
      </c>
      <c r="B1996" s="3">
        <v>45959</v>
      </c>
      <c r="C1996" s="2" t="s">
        <v>170</v>
      </c>
      <c r="D1996" s="2" t="s">
        <v>45</v>
      </c>
      <c r="E1996" s="2" t="s">
        <v>62</v>
      </c>
      <c r="F1996" s="2" t="s">
        <v>63</v>
      </c>
      <c r="G1996" s="2" t="s">
        <v>55</v>
      </c>
      <c r="H1996" s="2">
        <v>67</v>
      </c>
      <c r="I1996" s="4">
        <v>2555.2199999999998</v>
      </c>
      <c r="J1996" s="3">
        <v>45963</v>
      </c>
      <c r="K1996">
        <f t="shared" si="31"/>
        <v>171199.74</v>
      </c>
      <c r="L1996" t="str">
        <f>INDEX(Raw_Shipments!L1996:L4424,MATCH(A1996,Raw_Shipments!B1996:B4424))</f>
        <v>No</v>
      </c>
    </row>
    <row r="1997" spans="1:12" x14ac:dyDescent="0.3">
      <c r="A1997" s="5" t="s">
        <v>2146</v>
      </c>
      <c r="B1997" s="6">
        <v>45959</v>
      </c>
      <c r="C1997" s="5" t="s">
        <v>109</v>
      </c>
      <c r="D1997" s="5" t="s">
        <v>25</v>
      </c>
      <c r="E1997" s="5" t="s">
        <v>20</v>
      </c>
      <c r="F1997" s="5" t="s">
        <v>21</v>
      </c>
      <c r="G1997" s="5" t="s">
        <v>22</v>
      </c>
      <c r="H1997" s="5">
        <v>2</v>
      </c>
      <c r="I1997" s="7">
        <v>2108.56</v>
      </c>
      <c r="J1997" s="6">
        <v>45968</v>
      </c>
      <c r="K1997">
        <f t="shared" si="31"/>
        <v>4217.12</v>
      </c>
      <c r="L1997" t="str">
        <f>INDEX(Raw_Shipments!L1997:L4425,MATCH(A1997,Raw_Shipments!B1997:B4425))</f>
        <v>No</v>
      </c>
    </row>
    <row r="1998" spans="1:12" x14ac:dyDescent="0.3">
      <c r="A1998" s="2" t="s">
        <v>2147</v>
      </c>
      <c r="B1998" s="3">
        <v>45959</v>
      </c>
      <c r="C1998" s="2" t="s">
        <v>312</v>
      </c>
      <c r="D1998" s="2" t="s">
        <v>30</v>
      </c>
      <c r="E1998" s="2" t="s">
        <v>119</v>
      </c>
      <c r="F1998" s="2" t="s">
        <v>120</v>
      </c>
      <c r="G1998" s="2" t="s">
        <v>22</v>
      </c>
      <c r="H1998" s="2">
        <v>55</v>
      </c>
      <c r="I1998" s="4">
        <v>912.26</v>
      </c>
      <c r="J1998" s="3">
        <v>45968</v>
      </c>
      <c r="K1998">
        <f t="shared" si="31"/>
        <v>50174.3</v>
      </c>
      <c r="L1998" t="str">
        <f>INDEX(Raw_Shipments!L1998:L4426,MATCH(A1998,Raw_Shipments!B1998:B4426))</f>
        <v>Yes</v>
      </c>
    </row>
    <row r="1999" spans="1:12" x14ac:dyDescent="0.3">
      <c r="A1999" s="5" t="s">
        <v>2148</v>
      </c>
      <c r="B1999" s="6">
        <v>45959</v>
      </c>
      <c r="C1999" s="5" t="s">
        <v>282</v>
      </c>
      <c r="D1999" s="5" t="s">
        <v>45</v>
      </c>
      <c r="E1999" s="5" t="s">
        <v>26</v>
      </c>
      <c r="F1999" s="5" t="s">
        <v>27</v>
      </c>
      <c r="G1999" s="5" t="s">
        <v>22</v>
      </c>
      <c r="H1999" s="5">
        <v>11</v>
      </c>
      <c r="I1999" s="7">
        <v>1646.8</v>
      </c>
      <c r="J1999" s="6">
        <v>45963</v>
      </c>
      <c r="K1999">
        <f t="shared" si="31"/>
        <v>18114.8</v>
      </c>
      <c r="L1999" t="str">
        <f>INDEX(Raw_Shipments!L1999:L4427,MATCH(A1999,Raw_Shipments!B1999:B4427))</f>
        <v>No</v>
      </c>
    </row>
    <row r="2000" spans="1:12" x14ac:dyDescent="0.3">
      <c r="A2000" s="2" t="s">
        <v>2149</v>
      </c>
      <c r="B2000" s="3">
        <v>45959</v>
      </c>
      <c r="C2000" s="2" t="s">
        <v>166</v>
      </c>
      <c r="D2000" s="2" t="s">
        <v>45</v>
      </c>
      <c r="E2000" s="2" t="s">
        <v>36</v>
      </c>
      <c r="F2000" s="2" t="s">
        <v>37</v>
      </c>
      <c r="G2000" s="2" t="s">
        <v>33</v>
      </c>
      <c r="H2000" s="2">
        <v>49</v>
      </c>
      <c r="I2000" s="4">
        <v>1064.79</v>
      </c>
      <c r="J2000" s="3">
        <v>45968</v>
      </c>
      <c r="K2000">
        <f t="shared" si="31"/>
        <v>52174.71</v>
      </c>
      <c r="L2000" t="str">
        <f>INDEX(Raw_Shipments!L2000:L4428,MATCH(A2000,Raw_Shipments!B2000:B4428))</f>
        <v>No</v>
      </c>
    </row>
    <row r="2001" spans="1:12" x14ac:dyDescent="0.3">
      <c r="A2001" s="5" t="s">
        <v>2150</v>
      </c>
      <c r="B2001" s="6">
        <v>45959</v>
      </c>
      <c r="C2001" s="5" t="s">
        <v>79</v>
      </c>
      <c r="D2001" s="5" t="s">
        <v>45</v>
      </c>
      <c r="E2001" s="5" t="s">
        <v>86</v>
      </c>
      <c r="F2001" s="5" t="s">
        <v>87</v>
      </c>
      <c r="G2001" s="5" t="s">
        <v>33</v>
      </c>
      <c r="H2001" s="5">
        <v>22</v>
      </c>
      <c r="I2001" s="7">
        <v>815.88</v>
      </c>
      <c r="J2001" s="6">
        <v>45969</v>
      </c>
      <c r="K2001">
        <f t="shared" si="31"/>
        <v>17949.36</v>
      </c>
      <c r="L2001" t="str">
        <f>INDEX(Raw_Shipments!L2001:L4429,MATCH(A2001,Raw_Shipments!B2001:B4429))</f>
        <v>Yes</v>
      </c>
    </row>
    <row r="2002" spans="1:12" x14ac:dyDescent="0.3">
      <c r="A2002" s="2" t="s">
        <v>2151</v>
      </c>
      <c r="B2002" s="3">
        <v>45960</v>
      </c>
      <c r="C2002" s="2" t="s">
        <v>229</v>
      </c>
      <c r="D2002" s="2" t="s">
        <v>25</v>
      </c>
      <c r="E2002" s="2" t="s">
        <v>62</v>
      </c>
      <c r="F2002" s="2" t="s">
        <v>63</v>
      </c>
      <c r="G2002" s="2" t="s">
        <v>55</v>
      </c>
      <c r="H2002" s="2">
        <v>41</v>
      </c>
      <c r="I2002" s="4">
        <v>2555.2199999999998</v>
      </c>
      <c r="J2002" s="3">
        <v>45968</v>
      </c>
      <c r="K2002">
        <f t="shared" si="31"/>
        <v>104764.01999999999</v>
      </c>
      <c r="L2002" t="str">
        <f>INDEX(Raw_Shipments!L2002:L4430,MATCH(A2002,Raw_Shipments!B2002:B4430))</f>
        <v>Yes</v>
      </c>
    </row>
    <row r="2003" spans="1:12" x14ac:dyDescent="0.3">
      <c r="A2003" s="5" t="s">
        <v>2152</v>
      </c>
      <c r="B2003" s="6">
        <v>45960</v>
      </c>
      <c r="C2003" s="5" t="s">
        <v>183</v>
      </c>
      <c r="D2003" s="5" t="s">
        <v>14</v>
      </c>
      <c r="E2003" s="5" t="s">
        <v>119</v>
      </c>
      <c r="F2003" s="5" t="s">
        <v>120</v>
      </c>
      <c r="G2003" s="5" t="s">
        <v>22</v>
      </c>
      <c r="H2003" s="5">
        <v>48</v>
      </c>
      <c r="I2003" s="7">
        <v>912.26</v>
      </c>
      <c r="J2003" s="6">
        <v>45968</v>
      </c>
      <c r="K2003">
        <f t="shared" si="31"/>
        <v>43788.479999999996</v>
      </c>
      <c r="L2003" t="str">
        <f>INDEX(Raw_Shipments!L2003:L4431,MATCH(A2003,Raw_Shipments!B2003:B4431))</f>
        <v>Yes</v>
      </c>
    </row>
    <row r="2004" spans="1:12" x14ac:dyDescent="0.3">
      <c r="A2004" s="2" t="s">
        <v>2153</v>
      </c>
      <c r="B2004" s="3">
        <v>45960</v>
      </c>
      <c r="C2004" s="2" t="s">
        <v>343</v>
      </c>
      <c r="D2004" s="2" t="s">
        <v>14</v>
      </c>
      <c r="E2004" s="2" t="s">
        <v>26</v>
      </c>
      <c r="F2004" s="2" t="s">
        <v>27</v>
      </c>
      <c r="G2004" s="2" t="s">
        <v>22</v>
      </c>
      <c r="H2004" s="2">
        <v>26</v>
      </c>
      <c r="I2004" s="4">
        <v>1646.8</v>
      </c>
      <c r="J2004" s="3">
        <v>45967</v>
      </c>
      <c r="K2004">
        <f t="shared" si="31"/>
        <v>42816.799999999996</v>
      </c>
      <c r="L2004" t="str">
        <f>INDEX(Raw_Shipments!L2004:L4432,MATCH(A2004,Raw_Shipments!B2004:B4432))</f>
        <v>No</v>
      </c>
    </row>
    <row r="2005" spans="1:12" x14ac:dyDescent="0.3">
      <c r="A2005" s="5" t="s">
        <v>2154</v>
      </c>
      <c r="B2005" s="6">
        <v>45960</v>
      </c>
      <c r="C2005" s="5" t="s">
        <v>442</v>
      </c>
      <c r="D2005" s="5" t="s">
        <v>30</v>
      </c>
      <c r="E2005" s="5" t="s">
        <v>31</v>
      </c>
      <c r="F2005" s="5" t="s">
        <v>32</v>
      </c>
      <c r="G2005" s="5" t="s">
        <v>33</v>
      </c>
      <c r="H2005" s="5">
        <v>33</v>
      </c>
      <c r="I2005" s="7">
        <v>689</v>
      </c>
      <c r="J2005" s="6">
        <v>45968</v>
      </c>
      <c r="K2005">
        <f t="shared" si="31"/>
        <v>22737</v>
      </c>
      <c r="L2005" t="str">
        <f>INDEX(Raw_Shipments!L2005:L4433,MATCH(A2005,Raw_Shipments!B2005:B4433))</f>
        <v>Yes</v>
      </c>
    </row>
    <row r="2006" spans="1:12" x14ac:dyDescent="0.3">
      <c r="A2006" s="2" t="s">
        <v>2155</v>
      </c>
      <c r="B2006" s="3">
        <v>45960</v>
      </c>
      <c r="C2006" s="2" t="s">
        <v>85</v>
      </c>
      <c r="D2006" s="2" t="s">
        <v>14</v>
      </c>
      <c r="E2006" s="2" t="s">
        <v>40</v>
      </c>
      <c r="F2006" s="2" t="s">
        <v>41</v>
      </c>
      <c r="G2006" s="2" t="s">
        <v>42</v>
      </c>
      <c r="H2006" s="2">
        <v>27</v>
      </c>
      <c r="I2006" s="4">
        <v>2445.11</v>
      </c>
      <c r="J2006" s="3">
        <v>45968</v>
      </c>
      <c r="K2006">
        <f t="shared" si="31"/>
        <v>66017.97</v>
      </c>
      <c r="L2006" t="str">
        <f>INDEX(Raw_Shipments!L2006:L4434,MATCH(A2006,Raw_Shipments!B2006:B4434))</f>
        <v>No</v>
      </c>
    </row>
    <row r="2007" spans="1:12" x14ac:dyDescent="0.3">
      <c r="A2007" s="5" t="s">
        <v>2156</v>
      </c>
      <c r="B2007" s="6">
        <v>45960</v>
      </c>
      <c r="C2007" s="5" t="s">
        <v>229</v>
      </c>
      <c r="D2007" s="5" t="s">
        <v>45</v>
      </c>
      <c r="E2007" s="5" t="s">
        <v>46</v>
      </c>
      <c r="F2007" s="5" t="s">
        <v>47</v>
      </c>
      <c r="G2007" s="5" t="s">
        <v>42</v>
      </c>
      <c r="H2007" s="5">
        <v>8</v>
      </c>
      <c r="I2007" s="7">
        <v>1833.14</v>
      </c>
      <c r="J2007" s="6">
        <v>45967</v>
      </c>
      <c r="K2007">
        <f t="shared" si="31"/>
        <v>14665.12</v>
      </c>
      <c r="L2007" t="str">
        <f>INDEX(Raw_Shipments!L2007:L4435,MATCH(A2007,Raw_Shipments!B2007:B4435))</f>
        <v>No</v>
      </c>
    </row>
    <row r="2008" spans="1:12" x14ac:dyDescent="0.3">
      <c r="A2008" s="2" t="s">
        <v>2157</v>
      </c>
      <c r="B2008" s="3">
        <v>45961</v>
      </c>
      <c r="C2008" s="2" t="s">
        <v>595</v>
      </c>
      <c r="D2008" s="2" t="s">
        <v>25</v>
      </c>
      <c r="E2008" s="2" t="s">
        <v>53</v>
      </c>
      <c r="F2008" s="2" t="s">
        <v>54</v>
      </c>
      <c r="G2008" s="2" t="s">
        <v>55</v>
      </c>
      <c r="H2008" s="2">
        <v>32</v>
      </c>
      <c r="I2008" s="4">
        <v>2055.9</v>
      </c>
      <c r="J2008" s="3">
        <v>45970</v>
      </c>
      <c r="K2008">
        <f t="shared" si="31"/>
        <v>65788.800000000003</v>
      </c>
      <c r="L2008" t="str">
        <f>INDEX(Raw_Shipments!L2008:L4436,MATCH(A2008,Raw_Shipments!B2008:B4436))</f>
        <v>Yes</v>
      </c>
    </row>
    <row r="2009" spans="1:12" x14ac:dyDescent="0.3">
      <c r="A2009" s="5" t="s">
        <v>2158</v>
      </c>
      <c r="B2009" s="6">
        <v>45961</v>
      </c>
      <c r="C2009" s="5" t="s">
        <v>356</v>
      </c>
      <c r="D2009" s="5" t="s">
        <v>14</v>
      </c>
      <c r="E2009" s="5" t="s">
        <v>66</v>
      </c>
      <c r="F2009" s="5" t="s">
        <v>67</v>
      </c>
      <c r="G2009" s="5" t="s">
        <v>17</v>
      </c>
      <c r="H2009" s="5">
        <v>17</v>
      </c>
      <c r="I2009" s="7">
        <v>850.8</v>
      </c>
      <c r="J2009" s="6">
        <v>45971</v>
      </c>
      <c r="K2009">
        <f t="shared" si="31"/>
        <v>14463.599999999999</v>
      </c>
      <c r="L2009" t="str">
        <f>INDEX(Raw_Shipments!L2009:L4437,MATCH(A2009,Raw_Shipments!B2009:B4437))</f>
        <v>No</v>
      </c>
    </row>
    <row r="2010" spans="1:12" x14ac:dyDescent="0.3">
      <c r="A2010" s="2" t="s">
        <v>2159</v>
      </c>
      <c r="B2010" s="3">
        <v>45961</v>
      </c>
      <c r="C2010" s="2" t="s">
        <v>61</v>
      </c>
      <c r="D2010" s="2" t="s">
        <v>14</v>
      </c>
      <c r="E2010" s="2" t="s">
        <v>15</v>
      </c>
      <c r="F2010" s="2" t="s">
        <v>16</v>
      </c>
      <c r="G2010" s="2" t="s">
        <v>17</v>
      </c>
      <c r="H2010" s="2">
        <v>23</v>
      </c>
      <c r="I2010" s="4">
        <v>183.06</v>
      </c>
      <c r="J2010" s="3">
        <v>45968</v>
      </c>
      <c r="K2010">
        <f t="shared" si="31"/>
        <v>4210.38</v>
      </c>
      <c r="L2010" t="str">
        <f>INDEX(Raw_Shipments!L2010:L4438,MATCH(A2010,Raw_Shipments!B2010:B4438))</f>
        <v>Yes</v>
      </c>
    </row>
    <row r="2011" spans="1:12" x14ac:dyDescent="0.3">
      <c r="A2011" s="5" t="s">
        <v>2160</v>
      </c>
      <c r="B2011" s="6">
        <v>45961</v>
      </c>
      <c r="C2011" s="5" t="s">
        <v>595</v>
      </c>
      <c r="D2011" s="5" t="s">
        <v>45</v>
      </c>
      <c r="E2011" s="5" t="s">
        <v>20</v>
      </c>
      <c r="F2011" s="5" t="s">
        <v>21</v>
      </c>
      <c r="G2011" s="5" t="s">
        <v>22</v>
      </c>
      <c r="H2011" s="5">
        <v>22</v>
      </c>
      <c r="I2011" s="7">
        <v>2108.56</v>
      </c>
      <c r="J2011" s="6">
        <v>45965</v>
      </c>
      <c r="K2011">
        <f t="shared" si="31"/>
        <v>46388.32</v>
      </c>
      <c r="L2011" t="str">
        <f>INDEX(Raw_Shipments!L2011:L4439,MATCH(A2011,Raw_Shipments!B2011:B4439))</f>
        <v>No</v>
      </c>
    </row>
    <row r="2012" spans="1:12" x14ac:dyDescent="0.3">
      <c r="A2012" s="2" t="s">
        <v>2161</v>
      </c>
      <c r="B2012" s="3">
        <v>45961</v>
      </c>
      <c r="C2012" s="2" t="s">
        <v>77</v>
      </c>
      <c r="D2012" s="2" t="s">
        <v>14</v>
      </c>
      <c r="E2012" s="2" t="s">
        <v>119</v>
      </c>
      <c r="F2012" s="2" t="s">
        <v>120</v>
      </c>
      <c r="G2012" s="2" t="s">
        <v>22</v>
      </c>
      <c r="H2012" s="2">
        <v>21</v>
      </c>
      <c r="I2012" s="4">
        <v>912.26</v>
      </c>
      <c r="J2012" s="3">
        <v>45970</v>
      </c>
      <c r="K2012">
        <f t="shared" si="31"/>
        <v>19157.46</v>
      </c>
      <c r="L2012" t="str">
        <f>INDEX(Raw_Shipments!L2012:L4440,MATCH(A2012,Raw_Shipments!B2012:B4440))</f>
        <v>No</v>
      </c>
    </row>
    <row r="2013" spans="1:12" x14ac:dyDescent="0.3">
      <c r="A2013" s="5" t="s">
        <v>2162</v>
      </c>
      <c r="B2013" s="6">
        <v>45961</v>
      </c>
      <c r="C2013" s="5" t="s">
        <v>49</v>
      </c>
      <c r="D2013" s="5" t="s">
        <v>25</v>
      </c>
      <c r="E2013" s="5" t="s">
        <v>36</v>
      </c>
      <c r="F2013" s="5" t="s">
        <v>37</v>
      </c>
      <c r="G2013" s="5" t="s">
        <v>33</v>
      </c>
      <c r="H2013" s="5">
        <v>28</v>
      </c>
      <c r="I2013" s="7">
        <v>1064.79</v>
      </c>
      <c r="J2013" s="6">
        <v>45970</v>
      </c>
      <c r="K2013">
        <f t="shared" si="31"/>
        <v>29814.12</v>
      </c>
      <c r="L2013" t="str">
        <f>INDEX(Raw_Shipments!L2013:L4441,MATCH(A2013,Raw_Shipments!B2013:B4441))</f>
        <v>Yes</v>
      </c>
    </row>
    <row r="2014" spans="1:12" x14ac:dyDescent="0.3">
      <c r="A2014" s="2" t="s">
        <v>2163</v>
      </c>
      <c r="B2014" s="3">
        <v>45961</v>
      </c>
      <c r="C2014" s="2" t="s">
        <v>217</v>
      </c>
      <c r="D2014" s="2" t="s">
        <v>14</v>
      </c>
      <c r="E2014" s="2" t="s">
        <v>46</v>
      </c>
      <c r="F2014" s="2" t="s">
        <v>47</v>
      </c>
      <c r="G2014" s="2" t="s">
        <v>42</v>
      </c>
      <c r="H2014" s="2">
        <v>8</v>
      </c>
      <c r="I2014" s="4">
        <v>1833.14</v>
      </c>
      <c r="J2014" s="3">
        <v>45967</v>
      </c>
      <c r="K2014">
        <f t="shared" si="31"/>
        <v>14665.12</v>
      </c>
      <c r="L2014" t="str">
        <f>INDEX(Raw_Shipments!L2014:L4442,MATCH(A2014,Raw_Shipments!B2014:B4442))</f>
        <v>No</v>
      </c>
    </row>
    <row r="2015" spans="1:12" x14ac:dyDescent="0.3">
      <c r="A2015" s="5" t="s">
        <v>2164</v>
      </c>
      <c r="B2015" s="6">
        <v>45962</v>
      </c>
      <c r="C2015" s="5" t="s">
        <v>248</v>
      </c>
      <c r="D2015" s="5" t="s">
        <v>14</v>
      </c>
      <c r="E2015" s="5" t="s">
        <v>53</v>
      </c>
      <c r="F2015" s="5" t="s">
        <v>54</v>
      </c>
      <c r="G2015" s="5" t="s">
        <v>55</v>
      </c>
      <c r="H2015" s="5">
        <v>68</v>
      </c>
      <c r="I2015" s="7">
        <v>2055.9</v>
      </c>
      <c r="J2015" s="6">
        <v>45972</v>
      </c>
      <c r="K2015">
        <f t="shared" si="31"/>
        <v>139801.20000000001</v>
      </c>
      <c r="L2015" t="str">
        <f>INDEX(Raw_Shipments!L2015:L4443,MATCH(A2015,Raw_Shipments!B2015:B4443))</f>
        <v>No</v>
      </c>
    </row>
    <row r="2016" spans="1:12" x14ac:dyDescent="0.3">
      <c r="A2016" s="2" t="s">
        <v>2165</v>
      </c>
      <c r="B2016" s="3">
        <v>45962</v>
      </c>
      <c r="C2016" s="2" t="s">
        <v>135</v>
      </c>
      <c r="D2016" s="2" t="s">
        <v>45</v>
      </c>
      <c r="E2016" s="2" t="s">
        <v>58</v>
      </c>
      <c r="F2016" s="2" t="s">
        <v>59</v>
      </c>
      <c r="G2016" s="2" t="s">
        <v>55</v>
      </c>
      <c r="H2016" s="2">
        <v>23</v>
      </c>
      <c r="I2016" s="4">
        <v>1695.1</v>
      </c>
      <c r="J2016" s="3">
        <v>45968</v>
      </c>
      <c r="K2016">
        <f t="shared" si="31"/>
        <v>38987.299999999996</v>
      </c>
      <c r="L2016" t="str">
        <f>INDEX(Raw_Shipments!L2016:L4444,MATCH(A2016,Raw_Shipments!B2016:B4444))</f>
        <v>No</v>
      </c>
    </row>
    <row r="2017" spans="1:12" x14ac:dyDescent="0.3">
      <c r="A2017" s="5" t="s">
        <v>2166</v>
      </c>
      <c r="B2017" s="6">
        <v>45962</v>
      </c>
      <c r="C2017" s="5" t="s">
        <v>85</v>
      </c>
      <c r="D2017" s="5" t="s">
        <v>30</v>
      </c>
      <c r="E2017" s="5" t="s">
        <v>62</v>
      </c>
      <c r="F2017" s="5" t="s">
        <v>63</v>
      </c>
      <c r="G2017" s="5" t="s">
        <v>55</v>
      </c>
      <c r="H2017" s="5">
        <v>66</v>
      </c>
      <c r="I2017" s="7">
        <v>2555.2199999999998</v>
      </c>
      <c r="J2017" s="6">
        <v>45965</v>
      </c>
      <c r="K2017">
        <f t="shared" si="31"/>
        <v>168644.52</v>
      </c>
      <c r="L2017" t="str">
        <f>INDEX(Raw_Shipments!L2017:L4445,MATCH(A2017,Raw_Shipments!B2017:B4445))</f>
        <v>No</v>
      </c>
    </row>
    <row r="2018" spans="1:12" x14ac:dyDescent="0.3">
      <c r="A2018" s="2" t="s">
        <v>2167</v>
      </c>
      <c r="B2018" s="3">
        <v>45962</v>
      </c>
      <c r="C2018" s="2" t="s">
        <v>420</v>
      </c>
      <c r="D2018" s="2" t="s">
        <v>30</v>
      </c>
      <c r="E2018" s="2" t="s">
        <v>97</v>
      </c>
      <c r="F2018" s="2" t="s">
        <v>98</v>
      </c>
      <c r="G2018" s="2" t="s">
        <v>17</v>
      </c>
      <c r="H2018" s="2">
        <v>19</v>
      </c>
      <c r="I2018" s="4">
        <v>1110.6500000000001</v>
      </c>
      <c r="J2018" s="3">
        <v>45971</v>
      </c>
      <c r="K2018">
        <f t="shared" si="31"/>
        <v>21102.350000000002</v>
      </c>
      <c r="L2018" t="str">
        <f>INDEX(Raw_Shipments!L2018:L4446,MATCH(A2018,Raw_Shipments!B2018:B4446))</f>
        <v>Yes</v>
      </c>
    </row>
    <row r="2019" spans="1:12" x14ac:dyDescent="0.3">
      <c r="A2019" s="5" t="s">
        <v>2168</v>
      </c>
      <c r="B2019" s="6">
        <v>45962</v>
      </c>
      <c r="C2019" s="5" t="s">
        <v>356</v>
      </c>
      <c r="D2019" s="5" t="s">
        <v>14</v>
      </c>
      <c r="E2019" s="5" t="s">
        <v>40</v>
      </c>
      <c r="F2019" s="5" t="s">
        <v>41</v>
      </c>
      <c r="G2019" s="5" t="s">
        <v>42</v>
      </c>
      <c r="H2019" s="5">
        <v>27</v>
      </c>
      <c r="I2019" s="7">
        <v>2445.11</v>
      </c>
      <c r="J2019" s="6">
        <v>45970</v>
      </c>
      <c r="K2019">
        <f t="shared" si="31"/>
        <v>66017.97</v>
      </c>
      <c r="L2019" t="str">
        <f>INDEX(Raw_Shipments!L2019:L4447,MATCH(A2019,Raw_Shipments!B2019:B4447))</f>
        <v>No</v>
      </c>
    </row>
    <row r="2020" spans="1:12" x14ac:dyDescent="0.3">
      <c r="A2020" s="2" t="s">
        <v>2169</v>
      </c>
      <c r="B2020" s="3">
        <v>45962</v>
      </c>
      <c r="C2020" s="2" t="s">
        <v>128</v>
      </c>
      <c r="D2020" s="2" t="s">
        <v>14</v>
      </c>
      <c r="E2020" s="2" t="s">
        <v>46</v>
      </c>
      <c r="F2020" s="2" t="s">
        <v>47</v>
      </c>
      <c r="G2020" s="2" t="s">
        <v>42</v>
      </c>
      <c r="H2020" s="2">
        <v>3</v>
      </c>
      <c r="I2020" s="4">
        <v>1833.14</v>
      </c>
      <c r="J2020" s="3">
        <v>45967</v>
      </c>
      <c r="K2020">
        <f t="shared" si="31"/>
        <v>5499.42</v>
      </c>
      <c r="L2020" t="str">
        <f>INDEX(Raw_Shipments!L2020:L4448,MATCH(A2020,Raw_Shipments!B2020:B4448))</f>
        <v>No</v>
      </c>
    </row>
    <row r="2021" spans="1:12" x14ac:dyDescent="0.3">
      <c r="A2021" s="5" t="s">
        <v>2170</v>
      </c>
      <c r="B2021" s="6">
        <v>45963</v>
      </c>
      <c r="C2021" s="5" t="s">
        <v>152</v>
      </c>
      <c r="D2021" s="5" t="s">
        <v>25</v>
      </c>
      <c r="E2021" s="5" t="s">
        <v>58</v>
      </c>
      <c r="F2021" s="5" t="s">
        <v>59</v>
      </c>
      <c r="G2021" s="5" t="s">
        <v>55</v>
      </c>
      <c r="H2021" s="5">
        <v>36</v>
      </c>
      <c r="I2021" s="7">
        <v>1695.1</v>
      </c>
      <c r="J2021" s="6">
        <v>45973</v>
      </c>
      <c r="K2021">
        <f t="shared" si="31"/>
        <v>61023.6</v>
      </c>
      <c r="L2021" t="str">
        <f>INDEX(Raw_Shipments!L2021:L4449,MATCH(A2021,Raw_Shipments!B2021:B4449))</f>
        <v>No</v>
      </c>
    </row>
    <row r="2022" spans="1:12" x14ac:dyDescent="0.3">
      <c r="A2022" s="2" t="s">
        <v>2171</v>
      </c>
      <c r="B2022" s="3">
        <v>45963</v>
      </c>
      <c r="C2022" s="2" t="s">
        <v>91</v>
      </c>
      <c r="D2022" s="2" t="s">
        <v>14</v>
      </c>
      <c r="E2022" s="2" t="s">
        <v>62</v>
      </c>
      <c r="F2022" s="2" t="s">
        <v>63</v>
      </c>
      <c r="G2022" s="2" t="s">
        <v>55</v>
      </c>
      <c r="H2022" s="2">
        <v>49</v>
      </c>
      <c r="I2022" s="4">
        <v>2555.2199999999998</v>
      </c>
      <c r="J2022" s="3">
        <v>45971</v>
      </c>
      <c r="K2022">
        <f t="shared" si="31"/>
        <v>125205.77999999998</v>
      </c>
      <c r="L2022" t="str">
        <f>INDEX(Raw_Shipments!L2022:L4450,MATCH(A2022,Raw_Shipments!B2022:B4450))</f>
        <v>No</v>
      </c>
    </row>
    <row r="2023" spans="1:12" x14ac:dyDescent="0.3">
      <c r="A2023" s="5" t="s">
        <v>2172</v>
      </c>
      <c r="B2023" s="6">
        <v>45963</v>
      </c>
      <c r="C2023" s="5" t="s">
        <v>337</v>
      </c>
      <c r="D2023" s="5" t="s">
        <v>30</v>
      </c>
      <c r="E2023" s="5" t="s">
        <v>15</v>
      </c>
      <c r="F2023" s="5" t="s">
        <v>16</v>
      </c>
      <c r="G2023" s="5" t="s">
        <v>17</v>
      </c>
      <c r="H2023" s="5">
        <v>13</v>
      </c>
      <c r="I2023" s="7">
        <v>183.06</v>
      </c>
      <c r="J2023" s="6">
        <v>45973</v>
      </c>
      <c r="K2023">
        <f t="shared" si="31"/>
        <v>2379.7800000000002</v>
      </c>
      <c r="L2023" t="str">
        <f>INDEX(Raw_Shipments!L2023:L4451,MATCH(A2023,Raw_Shipments!B2023:B4451))</f>
        <v>No</v>
      </c>
    </row>
    <row r="2024" spans="1:12" x14ac:dyDescent="0.3">
      <c r="A2024" s="2" t="s">
        <v>2173</v>
      </c>
      <c r="B2024" s="3">
        <v>45963</v>
      </c>
      <c r="C2024" s="2" t="s">
        <v>178</v>
      </c>
      <c r="D2024" s="2" t="s">
        <v>45</v>
      </c>
      <c r="E2024" s="2" t="s">
        <v>20</v>
      </c>
      <c r="F2024" s="2" t="s">
        <v>21</v>
      </c>
      <c r="G2024" s="2" t="s">
        <v>22</v>
      </c>
      <c r="H2024" s="2">
        <v>18</v>
      </c>
      <c r="I2024" s="4">
        <v>2108.56</v>
      </c>
      <c r="J2024" s="3">
        <v>45973</v>
      </c>
      <c r="K2024">
        <f t="shared" si="31"/>
        <v>37954.080000000002</v>
      </c>
      <c r="L2024" t="str">
        <f>INDEX(Raw_Shipments!L2024:L4452,MATCH(A2024,Raw_Shipments!B2024:B4452))</f>
        <v>Yes</v>
      </c>
    </row>
    <row r="2025" spans="1:12" x14ac:dyDescent="0.3">
      <c r="A2025" s="5" t="s">
        <v>2174</v>
      </c>
      <c r="B2025" s="6">
        <v>45963</v>
      </c>
      <c r="C2025" s="5" t="s">
        <v>222</v>
      </c>
      <c r="D2025" s="5" t="s">
        <v>25</v>
      </c>
      <c r="E2025" s="5" t="s">
        <v>36</v>
      </c>
      <c r="F2025" s="5" t="s">
        <v>37</v>
      </c>
      <c r="G2025" s="5" t="s">
        <v>33</v>
      </c>
      <c r="H2025" s="5">
        <v>48</v>
      </c>
      <c r="I2025" s="7">
        <v>1064.79</v>
      </c>
      <c r="J2025" s="6">
        <v>45971</v>
      </c>
      <c r="K2025">
        <f t="shared" si="31"/>
        <v>51109.919999999998</v>
      </c>
      <c r="L2025" t="str">
        <f>INDEX(Raw_Shipments!L2025:L4453,MATCH(A2025,Raw_Shipments!B2025:B4453))</f>
        <v>Yes</v>
      </c>
    </row>
    <row r="2026" spans="1:12" x14ac:dyDescent="0.3">
      <c r="A2026" s="2" t="s">
        <v>2175</v>
      </c>
      <c r="B2026" s="3">
        <v>45964</v>
      </c>
      <c r="C2026" s="2" t="s">
        <v>146</v>
      </c>
      <c r="D2026" s="2" t="s">
        <v>14</v>
      </c>
      <c r="E2026" s="2" t="s">
        <v>97</v>
      </c>
      <c r="F2026" s="2" t="s">
        <v>98</v>
      </c>
      <c r="G2026" s="2" t="s">
        <v>17</v>
      </c>
      <c r="H2026" s="2">
        <v>20</v>
      </c>
      <c r="I2026" s="4">
        <v>1110.6500000000001</v>
      </c>
      <c r="J2026" s="3">
        <v>45971</v>
      </c>
      <c r="K2026">
        <f t="shared" si="31"/>
        <v>22213</v>
      </c>
      <c r="L2026" t="str">
        <f>INDEX(Raw_Shipments!L2026:L4454,MATCH(A2026,Raw_Shipments!B2026:B4454))</f>
        <v>No</v>
      </c>
    </row>
    <row r="2027" spans="1:12" x14ac:dyDescent="0.3">
      <c r="A2027" s="5" t="s">
        <v>2176</v>
      </c>
      <c r="B2027" s="6">
        <v>45964</v>
      </c>
      <c r="C2027" s="5" t="s">
        <v>125</v>
      </c>
      <c r="D2027" s="5" t="s">
        <v>45</v>
      </c>
      <c r="E2027" s="5" t="s">
        <v>26</v>
      </c>
      <c r="F2027" s="5" t="s">
        <v>27</v>
      </c>
      <c r="G2027" s="5" t="s">
        <v>22</v>
      </c>
      <c r="H2027" s="5">
        <v>27</v>
      </c>
      <c r="I2027" s="7">
        <v>1646.8</v>
      </c>
      <c r="J2027" s="6">
        <v>45972</v>
      </c>
      <c r="K2027">
        <f t="shared" si="31"/>
        <v>44463.6</v>
      </c>
      <c r="L2027" t="str">
        <f>INDEX(Raw_Shipments!L2027:L4455,MATCH(A2027,Raw_Shipments!B2027:B4455))</f>
        <v>Yes</v>
      </c>
    </row>
    <row r="2028" spans="1:12" x14ac:dyDescent="0.3">
      <c r="A2028" s="2" t="s">
        <v>2177</v>
      </c>
      <c r="B2028" s="3">
        <v>45964</v>
      </c>
      <c r="C2028" s="2" t="s">
        <v>304</v>
      </c>
      <c r="D2028" s="2" t="s">
        <v>30</v>
      </c>
      <c r="E2028" s="2" t="s">
        <v>36</v>
      </c>
      <c r="F2028" s="2" t="s">
        <v>37</v>
      </c>
      <c r="G2028" s="2" t="s">
        <v>33</v>
      </c>
      <c r="H2028" s="2">
        <v>82</v>
      </c>
      <c r="I2028" s="4">
        <v>1064.79</v>
      </c>
      <c r="J2028" s="3">
        <v>45968</v>
      </c>
      <c r="K2028">
        <f t="shared" si="31"/>
        <v>87312.78</v>
      </c>
      <c r="L2028" t="str">
        <f>INDEX(Raw_Shipments!L2028:L4456,MATCH(A2028,Raw_Shipments!B2028:B4456))</f>
        <v>No</v>
      </c>
    </row>
    <row r="2029" spans="1:12" x14ac:dyDescent="0.3">
      <c r="A2029" s="5" t="s">
        <v>2178</v>
      </c>
      <c r="B2029" s="6">
        <v>45964</v>
      </c>
      <c r="C2029" s="5" t="s">
        <v>420</v>
      </c>
      <c r="D2029" s="5" t="s">
        <v>45</v>
      </c>
      <c r="E2029" s="5" t="s">
        <v>46</v>
      </c>
      <c r="F2029" s="5" t="s">
        <v>47</v>
      </c>
      <c r="G2029" s="5" t="s">
        <v>42</v>
      </c>
      <c r="H2029" s="5">
        <v>13</v>
      </c>
      <c r="I2029" s="7">
        <v>1833.14</v>
      </c>
      <c r="J2029" s="6">
        <v>45969</v>
      </c>
      <c r="K2029">
        <f t="shared" si="31"/>
        <v>23830.82</v>
      </c>
      <c r="L2029" t="str">
        <f>INDEX(Raw_Shipments!L2029:L4457,MATCH(A2029,Raw_Shipments!B2029:B4457))</f>
        <v>No</v>
      </c>
    </row>
    <row r="2030" spans="1:12" x14ac:dyDescent="0.3">
      <c r="A2030" s="2" t="s">
        <v>2179</v>
      </c>
      <c r="B2030" s="3">
        <v>45965</v>
      </c>
      <c r="C2030" s="2" t="s">
        <v>198</v>
      </c>
      <c r="D2030" s="2" t="s">
        <v>30</v>
      </c>
      <c r="E2030" s="2" t="s">
        <v>58</v>
      </c>
      <c r="F2030" s="2" t="s">
        <v>59</v>
      </c>
      <c r="G2030" s="2" t="s">
        <v>55</v>
      </c>
      <c r="H2030" s="2">
        <v>36</v>
      </c>
      <c r="I2030" s="4">
        <v>1695.1</v>
      </c>
      <c r="J2030" s="3">
        <v>45974</v>
      </c>
      <c r="K2030">
        <f t="shared" si="31"/>
        <v>61023.6</v>
      </c>
      <c r="L2030" t="str">
        <f>INDEX(Raw_Shipments!L2030:L4458,MATCH(A2030,Raw_Shipments!B2030:B4458))</f>
        <v>No</v>
      </c>
    </row>
    <row r="2031" spans="1:12" x14ac:dyDescent="0.3">
      <c r="A2031" s="5" t="s">
        <v>2180</v>
      </c>
      <c r="B2031" s="6">
        <v>45965</v>
      </c>
      <c r="C2031" s="5" t="s">
        <v>420</v>
      </c>
      <c r="D2031" s="5" t="s">
        <v>45</v>
      </c>
      <c r="E2031" s="5" t="s">
        <v>66</v>
      </c>
      <c r="F2031" s="5" t="s">
        <v>67</v>
      </c>
      <c r="G2031" s="5" t="s">
        <v>17</v>
      </c>
      <c r="H2031" s="5">
        <v>25</v>
      </c>
      <c r="I2031" s="7">
        <v>850.8</v>
      </c>
      <c r="J2031" s="6">
        <v>45973</v>
      </c>
      <c r="K2031">
        <f t="shared" si="31"/>
        <v>21270</v>
      </c>
      <c r="L2031" t="str">
        <f>INDEX(Raw_Shipments!L2031:L4459,MATCH(A2031,Raw_Shipments!B2031:B4459))</f>
        <v>No</v>
      </c>
    </row>
    <row r="2032" spans="1:12" x14ac:dyDescent="0.3">
      <c r="A2032" s="2" t="s">
        <v>2181</v>
      </c>
      <c r="B2032" s="3">
        <v>45965</v>
      </c>
      <c r="C2032" s="2" t="s">
        <v>337</v>
      </c>
      <c r="D2032" s="2" t="s">
        <v>45</v>
      </c>
      <c r="E2032" s="2" t="s">
        <v>97</v>
      </c>
      <c r="F2032" s="2" t="s">
        <v>98</v>
      </c>
      <c r="G2032" s="2" t="s">
        <v>17</v>
      </c>
      <c r="H2032" s="2">
        <v>39</v>
      </c>
      <c r="I2032" s="4">
        <v>1110.6500000000001</v>
      </c>
      <c r="J2032" s="3">
        <v>45972</v>
      </c>
      <c r="K2032">
        <f t="shared" si="31"/>
        <v>43315.350000000006</v>
      </c>
      <c r="L2032" t="str">
        <f>INDEX(Raw_Shipments!L2032:L4460,MATCH(A2032,Raw_Shipments!B2032:B4460))</f>
        <v>Yes</v>
      </c>
    </row>
    <row r="2033" spans="1:12" x14ac:dyDescent="0.3">
      <c r="A2033" s="5" t="s">
        <v>2182</v>
      </c>
      <c r="B2033" s="6">
        <v>45965</v>
      </c>
      <c r="C2033" s="5" t="s">
        <v>595</v>
      </c>
      <c r="D2033" s="5" t="s">
        <v>14</v>
      </c>
      <c r="E2033" s="5" t="s">
        <v>15</v>
      </c>
      <c r="F2033" s="5" t="s">
        <v>16</v>
      </c>
      <c r="G2033" s="5" t="s">
        <v>17</v>
      </c>
      <c r="H2033" s="5">
        <v>23</v>
      </c>
      <c r="I2033" s="7">
        <v>183.06</v>
      </c>
      <c r="J2033" s="6">
        <v>45974</v>
      </c>
      <c r="K2033">
        <f t="shared" si="31"/>
        <v>4210.38</v>
      </c>
      <c r="L2033" t="str">
        <f>INDEX(Raw_Shipments!L2033:L4461,MATCH(A2033,Raw_Shipments!B2033:B4461))</f>
        <v>Yes</v>
      </c>
    </row>
    <row r="2034" spans="1:12" x14ac:dyDescent="0.3">
      <c r="A2034" s="2" t="s">
        <v>2183</v>
      </c>
      <c r="B2034" s="3">
        <v>45965</v>
      </c>
      <c r="C2034" s="2" t="s">
        <v>61</v>
      </c>
      <c r="D2034" s="2" t="s">
        <v>45</v>
      </c>
      <c r="E2034" s="2" t="s">
        <v>20</v>
      </c>
      <c r="F2034" s="2" t="s">
        <v>21</v>
      </c>
      <c r="G2034" s="2" t="s">
        <v>22</v>
      </c>
      <c r="H2034" s="2">
        <v>15</v>
      </c>
      <c r="I2034" s="4">
        <v>2108.56</v>
      </c>
      <c r="J2034" s="3">
        <v>45975</v>
      </c>
      <c r="K2034">
        <f t="shared" si="31"/>
        <v>31628.399999999998</v>
      </c>
      <c r="L2034" t="str">
        <f>INDEX(Raw_Shipments!L2034:L4462,MATCH(A2034,Raw_Shipments!B2034:B4462))</f>
        <v>No</v>
      </c>
    </row>
    <row r="2035" spans="1:12" x14ac:dyDescent="0.3">
      <c r="A2035" s="5" t="s">
        <v>2184</v>
      </c>
      <c r="B2035" s="6">
        <v>45965</v>
      </c>
      <c r="C2035" s="5" t="s">
        <v>178</v>
      </c>
      <c r="D2035" s="5" t="s">
        <v>45</v>
      </c>
      <c r="E2035" s="5" t="s">
        <v>26</v>
      </c>
      <c r="F2035" s="5" t="s">
        <v>27</v>
      </c>
      <c r="G2035" s="5" t="s">
        <v>22</v>
      </c>
      <c r="H2035" s="5">
        <v>21</v>
      </c>
      <c r="I2035" s="7">
        <v>1646.8</v>
      </c>
      <c r="J2035" s="6">
        <v>45968</v>
      </c>
      <c r="K2035">
        <f t="shared" si="31"/>
        <v>34582.799999999996</v>
      </c>
      <c r="L2035" t="str">
        <f>INDEX(Raw_Shipments!L2035:L4463,MATCH(A2035,Raw_Shipments!B2035:B4463))</f>
        <v>No</v>
      </c>
    </row>
    <row r="2036" spans="1:12" x14ac:dyDescent="0.3">
      <c r="A2036" s="2" t="s">
        <v>2185</v>
      </c>
      <c r="B2036" s="3">
        <v>45965</v>
      </c>
      <c r="C2036" s="2" t="s">
        <v>125</v>
      </c>
      <c r="D2036" s="2" t="s">
        <v>25</v>
      </c>
      <c r="E2036" s="2" t="s">
        <v>36</v>
      </c>
      <c r="F2036" s="2" t="s">
        <v>37</v>
      </c>
      <c r="G2036" s="2" t="s">
        <v>33</v>
      </c>
      <c r="H2036" s="2">
        <v>96</v>
      </c>
      <c r="I2036" s="4">
        <v>1064.79</v>
      </c>
      <c r="J2036" s="3">
        <v>45968</v>
      </c>
      <c r="K2036">
        <f t="shared" si="31"/>
        <v>102219.84</v>
      </c>
      <c r="L2036" t="str">
        <f>INDEX(Raw_Shipments!L2036:L4464,MATCH(A2036,Raw_Shipments!B2036:B4464))</f>
        <v>No</v>
      </c>
    </row>
    <row r="2037" spans="1:12" x14ac:dyDescent="0.3">
      <c r="A2037" s="5" t="s">
        <v>2186</v>
      </c>
      <c r="B2037" s="6">
        <v>45965</v>
      </c>
      <c r="C2037" s="5" t="s">
        <v>195</v>
      </c>
      <c r="D2037" s="5" t="s">
        <v>25</v>
      </c>
      <c r="E2037" s="5" t="s">
        <v>86</v>
      </c>
      <c r="F2037" s="5" t="s">
        <v>87</v>
      </c>
      <c r="G2037" s="5" t="s">
        <v>33</v>
      </c>
      <c r="H2037" s="5">
        <v>33</v>
      </c>
      <c r="I2037" s="7">
        <v>815.88</v>
      </c>
      <c r="J2037" s="6">
        <v>45968</v>
      </c>
      <c r="K2037">
        <f t="shared" si="31"/>
        <v>26924.04</v>
      </c>
      <c r="L2037" t="str">
        <f>INDEX(Raw_Shipments!L2037:L4465,MATCH(A2037,Raw_Shipments!B2037:B4465))</f>
        <v>No</v>
      </c>
    </row>
    <row r="2038" spans="1:12" x14ac:dyDescent="0.3">
      <c r="A2038" s="2" t="s">
        <v>2187</v>
      </c>
      <c r="B2038" s="3">
        <v>45965</v>
      </c>
      <c r="C2038" s="2" t="s">
        <v>208</v>
      </c>
      <c r="D2038" s="2" t="s">
        <v>45</v>
      </c>
      <c r="E2038" s="2" t="s">
        <v>50</v>
      </c>
      <c r="F2038" s="2" t="s">
        <v>51</v>
      </c>
      <c r="G2038" s="2" t="s">
        <v>42</v>
      </c>
      <c r="H2038" s="2">
        <v>9</v>
      </c>
      <c r="I2038" s="4">
        <v>1952.28</v>
      </c>
      <c r="J2038" s="3">
        <v>45971</v>
      </c>
      <c r="K2038">
        <f t="shared" si="31"/>
        <v>17570.52</v>
      </c>
      <c r="L2038" t="str">
        <f>INDEX(Raw_Shipments!L2038:L4466,MATCH(A2038,Raw_Shipments!B2038:B4466))</f>
        <v>No</v>
      </c>
    </row>
    <row r="2039" spans="1:12" x14ac:dyDescent="0.3">
      <c r="A2039" s="5" t="s">
        <v>2188</v>
      </c>
      <c r="B2039" s="6">
        <v>45966</v>
      </c>
      <c r="C2039" s="5" t="s">
        <v>57</v>
      </c>
      <c r="D2039" s="5" t="s">
        <v>45</v>
      </c>
      <c r="E2039" s="5" t="s">
        <v>119</v>
      </c>
      <c r="F2039" s="5" t="s">
        <v>120</v>
      </c>
      <c r="G2039" s="5" t="s">
        <v>22</v>
      </c>
      <c r="H2039" s="5">
        <v>42</v>
      </c>
      <c r="I2039" s="7">
        <v>912.26</v>
      </c>
      <c r="J2039" s="6">
        <v>45971</v>
      </c>
      <c r="K2039">
        <f t="shared" si="31"/>
        <v>38314.92</v>
      </c>
      <c r="L2039" t="str">
        <f>INDEX(Raw_Shipments!L2039:L4467,MATCH(A2039,Raw_Shipments!B2039:B4467))</f>
        <v>No</v>
      </c>
    </row>
    <row r="2040" spans="1:12" x14ac:dyDescent="0.3">
      <c r="A2040" s="2" t="s">
        <v>2189</v>
      </c>
      <c r="B2040" s="3">
        <v>45966</v>
      </c>
      <c r="C2040" s="2" t="s">
        <v>208</v>
      </c>
      <c r="D2040" s="2" t="s">
        <v>14</v>
      </c>
      <c r="E2040" s="2" t="s">
        <v>40</v>
      </c>
      <c r="F2040" s="2" t="s">
        <v>41</v>
      </c>
      <c r="G2040" s="2" t="s">
        <v>42</v>
      </c>
      <c r="H2040" s="2">
        <v>56</v>
      </c>
      <c r="I2040" s="4">
        <v>2445.11</v>
      </c>
      <c r="J2040" s="3">
        <v>45970</v>
      </c>
      <c r="K2040">
        <f t="shared" si="31"/>
        <v>136926.16</v>
      </c>
      <c r="L2040" t="str">
        <f>INDEX(Raw_Shipments!L2040:L4468,MATCH(A2040,Raw_Shipments!B2040:B4468))</f>
        <v>No</v>
      </c>
    </row>
    <row r="2041" spans="1:12" x14ac:dyDescent="0.3">
      <c r="A2041" s="5" t="s">
        <v>2190</v>
      </c>
      <c r="B2041" s="6">
        <v>45966</v>
      </c>
      <c r="C2041" s="5" t="s">
        <v>337</v>
      </c>
      <c r="D2041" s="5" t="s">
        <v>14</v>
      </c>
      <c r="E2041" s="5" t="s">
        <v>50</v>
      </c>
      <c r="F2041" s="5" t="s">
        <v>51</v>
      </c>
      <c r="G2041" s="5" t="s">
        <v>42</v>
      </c>
      <c r="H2041" s="5">
        <v>7</v>
      </c>
      <c r="I2041" s="7">
        <v>1952.28</v>
      </c>
      <c r="J2041" s="6">
        <v>45970</v>
      </c>
      <c r="K2041">
        <f t="shared" si="31"/>
        <v>13665.96</v>
      </c>
      <c r="L2041" t="str">
        <f>INDEX(Raw_Shipments!L2041:L4469,MATCH(A2041,Raw_Shipments!B2041:B4469))</f>
        <v>No</v>
      </c>
    </row>
    <row r="2042" spans="1:12" x14ac:dyDescent="0.3">
      <c r="A2042" s="2" t="s">
        <v>2191</v>
      </c>
      <c r="B2042" s="3">
        <v>45967</v>
      </c>
      <c r="C2042" s="2" t="s">
        <v>232</v>
      </c>
      <c r="D2042" s="2" t="s">
        <v>14</v>
      </c>
      <c r="E2042" s="2" t="s">
        <v>20</v>
      </c>
      <c r="F2042" s="2" t="s">
        <v>21</v>
      </c>
      <c r="G2042" s="2" t="s">
        <v>22</v>
      </c>
      <c r="H2042" s="2">
        <v>14</v>
      </c>
      <c r="I2042" s="4">
        <v>2108.56</v>
      </c>
      <c r="J2042" s="3">
        <v>45971</v>
      </c>
      <c r="K2042">
        <f t="shared" si="31"/>
        <v>29519.84</v>
      </c>
      <c r="L2042" t="str">
        <f>INDEX(Raw_Shipments!L2042:L4470,MATCH(A2042,Raw_Shipments!B2042:B4470))</f>
        <v>No</v>
      </c>
    </row>
    <row r="2043" spans="1:12" x14ac:dyDescent="0.3">
      <c r="A2043" s="5" t="s">
        <v>2192</v>
      </c>
      <c r="B2043" s="6">
        <v>45967</v>
      </c>
      <c r="C2043" s="5" t="s">
        <v>527</v>
      </c>
      <c r="D2043" s="5" t="s">
        <v>14</v>
      </c>
      <c r="E2043" s="5" t="s">
        <v>119</v>
      </c>
      <c r="F2043" s="5" t="s">
        <v>120</v>
      </c>
      <c r="G2043" s="5" t="s">
        <v>22</v>
      </c>
      <c r="H2043" s="5">
        <v>53</v>
      </c>
      <c r="I2043" s="7">
        <v>912.26</v>
      </c>
      <c r="J2043" s="6">
        <v>45973</v>
      </c>
      <c r="K2043">
        <f t="shared" si="31"/>
        <v>48349.78</v>
      </c>
      <c r="L2043" t="str">
        <f>INDEX(Raw_Shipments!L2043:L4471,MATCH(A2043,Raw_Shipments!B2043:B4471))</f>
        <v>No</v>
      </c>
    </row>
    <row r="2044" spans="1:12" x14ac:dyDescent="0.3">
      <c r="A2044" s="2" t="s">
        <v>2193</v>
      </c>
      <c r="B2044" s="3">
        <v>45967</v>
      </c>
      <c r="C2044" s="2" t="s">
        <v>39</v>
      </c>
      <c r="D2044" s="2" t="s">
        <v>45</v>
      </c>
      <c r="E2044" s="2" t="s">
        <v>31</v>
      </c>
      <c r="F2044" s="2" t="s">
        <v>32</v>
      </c>
      <c r="G2044" s="2" t="s">
        <v>33</v>
      </c>
      <c r="H2044" s="2">
        <v>91</v>
      </c>
      <c r="I2044" s="4">
        <v>689</v>
      </c>
      <c r="J2044" s="3">
        <v>45977</v>
      </c>
      <c r="K2044">
        <f t="shared" si="31"/>
        <v>62699</v>
      </c>
      <c r="L2044" t="str">
        <f>INDEX(Raw_Shipments!L2044:L4472,MATCH(A2044,Raw_Shipments!B2044:B4472))</f>
        <v>Yes</v>
      </c>
    </row>
    <row r="2045" spans="1:12" x14ac:dyDescent="0.3">
      <c r="A2045" s="5" t="s">
        <v>2194</v>
      </c>
      <c r="B2045" s="6">
        <v>45967</v>
      </c>
      <c r="C2045" s="5" t="s">
        <v>304</v>
      </c>
      <c r="D2045" s="5" t="s">
        <v>30</v>
      </c>
      <c r="E2045" s="5" t="s">
        <v>86</v>
      </c>
      <c r="F2045" s="5" t="s">
        <v>87</v>
      </c>
      <c r="G2045" s="5" t="s">
        <v>33</v>
      </c>
      <c r="H2045" s="5">
        <v>44</v>
      </c>
      <c r="I2045" s="7">
        <v>815.88</v>
      </c>
      <c r="J2045" s="6">
        <v>45975</v>
      </c>
      <c r="K2045">
        <f t="shared" si="31"/>
        <v>35898.720000000001</v>
      </c>
      <c r="L2045" t="str">
        <f>INDEX(Raw_Shipments!L2045:L4473,MATCH(A2045,Raw_Shipments!B2045:B4473))</f>
        <v>No</v>
      </c>
    </row>
    <row r="2046" spans="1:12" x14ac:dyDescent="0.3">
      <c r="A2046" s="2" t="s">
        <v>2195</v>
      </c>
      <c r="B2046" s="3">
        <v>45967</v>
      </c>
      <c r="C2046" s="2" t="s">
        <v>447</v>
      </c>
      <c r="D2046" s="2" t="s">
        <v>30</v>
      </c>
      <c r="E2046" s="2" t="s">
        <v>50</v>
      </c>
      <c r="F2046" s="2" t="s">
        <v>51</v>
      </c>
      <c r="G2046" s="2" t="s">
        <v>42</v>
      </c>
      <c r="H2046" s="2">
        <v>15</v>
      </c>
      <c r="I2046" s="4">
        <v>1952.28</v>
      </c>
      <c r="J2046" s="3">
        <v>45974</v>
      </c>
      <c r="K2046">
        <f t="shared" si="31"/>
        <v>29284.2</v>
      </c>
      <c r="L2046" t="str">
        <f>INDEX(Raw_Shipments!L2046:L4474,MATCH(A2046,Raw_Shipments!B2046:B4474))</f>
        <v>No</v>
      </c>
    </row>
    <row r="2047" spans="1:12" x14ac:dyDescent="0.3">
      <c r="A2047" s="5" t="s">
        <v>2196</v>
      </c>
      <c r="B2047" s="6">
        <v>45968</v>
      </c>
      <c r="C2047" s="5" t="s">
        <v>510</v>
      </c>
      <c r="D2047" s="5" t="s">
        <v>30</v>
      </c>
      <c r="E2047" s="5" t="s">
        <v>53</v>
      </c>
      <c r="F2047" s="5" t="s">
        <v>54</v>
      </c>
      <c r="G2047" s="5" t="s">
        <v>55</v>
      </c>
      <c r="H2047" s="5">
        <v>60</v>
      </c>
      <c r="I2047" s="7">
        <v>2055.9</v>
      </c>
      <c r="J2047" s="6">
        <v>45977</v>
      </c>
      <c r="K2047">
        <f t="shared" si="31"/>
        <v>123354</v>
      </c>
      <c r="L2047" t="str">
        <f>INDEX(Raw_Shipments!L2047:L4475,MATCH(A2047,Raw_Shipments!B2047:B4475))</f>
        <v>No</v>
      </c>
    </row>
    <row r="2048" spans="1:12" x14ac:dyDescent="0.3">
      <c r="A2048" s="2" t="s">
        <v>2197</v>
      </c>
      <c r="B2048" s="3">
        <v>45968</v>
      </c>
      <c r="C2048" s="2" t="s">
        <v>318</v>
      </c>
      <c r="D2048" s="2" t="s">
        <v>30</v>
      </c>
      <c r="E2048" s="2" t="s">
        <v>58</v>
      </c>
      <c r="F2048" s="2" t="s">
        <v>59</v>
      </c>
      <c r="G2048" s="2" t="s">
        <v>55</v>
      </c>
      <c r="H2048" s="2">
        <v>29</v>
      </c>
      <c r="I2048" s="4">
        <v>1695.1</v>
      </c>
      <c r="J2048" s="3">
        <v>45977</v>
      </c>
      <c r="K2048">
        <f t="shared" si="31"/>
        <v>49157.899999999994</v>
      </c>
      <c r="L2048" t="str">
        <f>INDEX(Raw_Shipments!L2048:L4476,MATCH(A2048,Raw_Shipments!B2048:B4476))</f>
        <v>No</v>
      </c>
    </row>
    <row r="2049" spans="1:12" x14ac:dyDescent="0.3">
      <c r="A2049" s="5" t="s">
        <v>2198</v>
      </c>
      <c r="B2049" s="6">
        <v>45968</v>
      </c>
      <c r="C2049" s="5" t="s">
        <v>318</v>
      </c>
      <c r="D2049" s="5" t="s">
        <v>14</v>
      </c>
      <c r="E2049" s="5" t="s">
        <v>119</v>
      </c>
      <c r="F2049" s="5" t="s">
        <v>120</v>
      </c>
      <c r="G2049" s="5" t="s">
        <v>22</v>
      </c>
      <c r="H2049" s="5">
        <v>64</v>
      </c>
      <c r="I2049" s="7">
        <v>912.26</v>
      </c>
      <c r="J2049" s="6">
        <v>45972</v>
      </c>
      <c r="K2049">
        <f t="shared" si="31"/>
        <v>58384.639999999999</v>
      </c>
      <c r="L2049" t="str">
        <f>INDEX(Raw_Shipments!L2049:L4477,MATCH(A2049,Raw_Shipments!B2049:B4477))</f>
        <v>No</v>
      </c>
    </row>
    <row r="2050" spans="1:12" x14ac:dyDescent="0.3">
      <c r="A2050" s="2" t="s">
        <v>2199</v>
      </c>
      <c r="B2050" s="3">
        <v>45968</v>
      </c>
      <c r="C2050" s="2" t="s">
        <v>279</v>
      </c>
      <c r="D2050" s="2" t="s">
        <v>30</v>
      </c>
      <c r="E2050" s="2" t="s">
        <v>86</v>
      </c>
      <c r="F2050" s="2" t="s">
        <v>87</v>
      </c>
      <c r="G2050" s="2" t="s">
        <v>33</v>
      </c>
      <c r="H2050" s="2">
        <v>30</v>
      </c>
      <c r="I2050" s="4">
        <v>815.88</v>
      </c>
      <c r="J2050" s="3">
        <v>45971</v>
      </c>
      <c r="K2050">
        <f t="shared" si="31"/>
        <v>24476.400000000001</v>
      </c>
      <c r="L2050" t="str">
        <f>INDEX(Raw_Shipments!L2050:L4478,MATCH(A2050,Raw_Shipments!B2050:B4478))</f>
        <v>No</v>
      </c>
    </row>
    <row r="2051" spans="1:12" x14ac:dyDescent="0.3">
      <c r="A2051" s="5" t="s">
        <v>2200</v>
      </c>
      <c r="B2051" s="6">
        <v>45968</v>
      </c>
      <c r="C2051" s="5" t="s">
        <v>279</v>
      </c>
      <c r="D2051" s="5" t="s">
        <v>45</v>
      </c>
      <c r="E2051" s="5" t="s">
        <v>50</v>
      </c>
      <c r="F2051" s="5" t="s">
        <v>51</v>
      </c>
      <c r="G2051" s="5" t="s">
        <v>42</v>
      </c>
      <c r="H2051" s="5">
        <v>13</v>
      </c>
      <c r="I2051" s="7">
        <v>1952.28</v>
      </c>
      <c r="J2051" s="6">
        <v>45976</v>
      </c>
      <c r="K2051">
        <f t="shared" ref="K2051:K2114" si="32">I2051*H2051</f>
        <v>25379.64</v>
      </c>
      <c r="L2051" t="str">
        <f>INDEX(Raw_Shipments!L2051:L4479,MATCH(A2051,Raw_Shipments!B2051:B4479))</f>
        <v>No</v>
      </c>
    </row>
    <row r="2052" spans="1:12" x14ac:dyDescent="0.3">
      <c r="A2052" s="2" t="s">
        <v>2201</v>
      </c>
      <c r="B2052" s="3">
        <v>45969</v>
      </c>
      <c r="C2052" s="2" t="s">
        <v>81</v>
      </c>
      <c r="D2052" s="2" t="s">
        <v>14</v>
      </c>
      <c r="E2052" s="2" t="s">
        <v>58</v>
      </c>
      <c r="F2052" s="2" t="s">
        <v>59</v>
      </c>
      <c r="G2052" s="2" t="s">
        <v>55</v>
      </c>
      <c r="H2052" s="2">
        <v>36</v>
      </c>
      <c r="I2052" s="4">
        <v>1695.1</v>
      </c>
      <c r="J2052" s="3">
        <v>45977</v>
      </c>
      <c r="K2052">
        <f t="shared" si="32"/>
        <v>61023.6</v>
      </c>
      <c r="L2052" t="str">
        <f>INDEX(Raw_Shipments!L2052:L4480,MATCH(A2052,Raw_Shipments!B2052:B4480))</f>
        <v>No</v>
      </c>
    </row>
    <row r="2053" spans="1:12" x14ac:dyDescent="0.3">
      <c r="A2053" s="5" t="s">
        <v>2202</v>
      </c>
      <c r="B2053" s="6">
        <v>45969</v>
      </c>
      <c r="C2053" s="5" t="s">
        <v>131</v>
      </c>
      <c r="D2053" s="5" t="s">
        <v>45</v>
      </c>
      <c r="E2053" s="5" t="s">
        <v>15</v>
      </c>
      <c r="F2053" s="5" t="s">
        <v>16</v>
      </c>
      <c r="G2053" s="5" t="s">
        <v>17</v>
      </c>
      <c r="H2053" s="5">
        <v>13</v>
      </c>
      <c r="I2053" s="7">
        <v>183.06</v>
      </c>
      <c r="J2053" s="6">
        <v>45978</v>
      </c>
      <c r="K2053">
        <f t="shared" si="32"/>
        <v>2379.7800000000002</v>
      </c>
      <c r="L2053" t="str">
        <f>INDEX(Raw_Shipments!L2053:L4481,MATCH(A2053,Raw_Shipments!B2053:B4481))</f>
        <v>No</v>
      </c>
    </row>
    <row r="2054" spans="1:12" x14ac:dyDescent="0.3">
      <c r="A2054" s="2" t="s">
        <v>2203</v>
      </c>
      <c r="B2054" s="3">
        <v>45969</v>
      </c>
      <c r="C2054" s="2" t="s">
        <v>107</v>
      </c>
      <c r="D2054" s="2" t="s">
        <v>30</v>
      </c>
      <c r="E2054" s="2" t="s">
        <v>119</v>
      </c>
      <c r="F2054" s="2" t="s">
        <v>120</v>
      </c>
      <c r="G2054" s="2" t="s">
        <v>22</v>
      </c>
      <c r="H2054" s="2">
        <v>52</v>
      </c>
      <c r="I2054" s="4">
        <v>912.26</v>
      </c>
      <c r="J2054" s="3">
        <v>45977</v>
      </c>
      <c r="K2054">
        <f t="shared" si="32"/>
        <v>47437.52</v>
      </c>
      <c r="L2054" t="str">
        <f>INDEX(Raw_Shipments!L2054:L4482,MATCH(A2054,Raw_Shipments!B2054:B4482))</f>
        <v>Yes</v>
      </c>
    </row>
    <row r="2055" spans="1:12" x14ac:dyDescent="0.3">
      <c r="A2055" s="5" t="s">
        <v>2204</v>
      </c>
      <c r="B2055" s="6">
        <v>45969</v>
      </c>
      <c r="C2055" s="5" t="s">
        <v>104</v>
      </c>
      <c r="D2055" s="5" t="s">
        <v>14</v>
      </c>
      <c r="E2055" s="5" t="s">
        <v>31</v>
      </c>
      <c r="F2055" s="5" t="s">
        <v>32</v>
      </c>
      <c r="G2055" s="5" t="s">
        <v>33</v>
      </c>
      <c r="H2055" s="5">
        <v>78</v>
      </c>
      <c r="I2055" s="7">
        <v>689</v>
      </c>
      <c r="J2055" s="6">
        <v>45978</v>
      </c>
      <c r="K2055">
        <f t="shared" si="32"/>
        <v>53742</v>
      </c>
      <c r="L2055" t="str">
        <f>INDEX(Raw_Shipments!L2055:L4483,MATCH(A2055,Raw_Shipments!B2055:B4483))</f>
        <v>Yes</v>
      </c>
    </row>
    <row r="2056" spans="1:12" x14ac:dyDescent="0.3">
      <c r="A2056" s="2" t="s">
        <v>2205</v>
      </c>
      <c r="B2056" s="3">
        <v>45969</v>
      </c>
      <c r="C2056" s="2" t="s">
        <v>279</v>
      </c>
      <c r="D2056" s="2" t="s">
        <v>25</v>
      </c>
      <c r="E2056" s="2" t="s">
        <v>36</v>
      </c>
      <c r="F2056" s="2" t="s">
        <v>37</v>
      </c>
      <c r="G2056" s="2" t="s">
        <v>33</v>
      </c>
      <c r="H2056" s="2">
        <v>48</v>
      </c>
      <c r="I2056" s="4">
        <v>1064.79</v>
      </c>
      <c r="J2056" s="3">
        <v>45978</v>
      </c>
      <c r="K2056">
        <f t="shared" si="32"/>
        <v>51109.919999999998</v>
      </c>
      <c r="L2056" t="str">
        <f>INDEX(Raw_Shipments!L2056:L4484,MATCH(A2056,Raw_Shipments!B2056:B4484))</f>
        <v>Yes</v>
      </c>
    </row>
    <row r="2057" spans="1:12" x14ac:dyDescent="0.3">
      <c r="A2057" s="5" t="s">
        <v>2206</v>
      </c>
      <c r="B2057" s="6">
        <v>45969</v>
      </c>
      <c r="C2057" s="5" t="s">
        <v>198</v>
      </c>
      <c r="D2057" s="5" t="s">
        <v>45</v>
      </c>
      <c r="E2057" s="5" t="s">
        <v>86</v>
      </c>
      <c r="F2057" s="5" t="s">
        <v>87</v>
      </c>
      <c r="G2057" s="5" t="s">
        <v>33</v>
      </c>
      <c r="H2057" s="5">
        <v>49</v>
      </c>
      <c r="I2057" s="7">
        <v>815.88</v>
      </c>
      <c r="J2057" s="6">
        <v>45976</v>
      </c>
      <c r="K2057">
        <f t="shared" si="32"/>
        <v>39978.120000000003</v>
      </c>
      <c r="L2057" t="str">
        <f>INDEX(Raw_Shipments!L2057:L4485,MATCH(A2057,Raw_Shipments!B2057:B4485))</f>
        <v>Yes</v>
      </c>
    </row>
    <row r="2058" spans="1:12" x14ac:dyDescent="0.3">
      <c r="A2058" s="2" t="s">
        <v>2207</v>
      </c>
      <c r="B2058" s="3">
        <v>45969</v>
      </c>
      <c r="C2058" s="2" t="s">
        <v>139</v>
      </c>
      <c r="D2058" s="2" t="s">
        <v>30</v>
      </c>
      <c r="E2058" s="2" t="s">
        <v>40</v>
      </c>
      <c r="F2058" s="2" t="s">
        <v>41</v>
      </c>
      <c r="G2058" s="2" t="s">
        <v>42</v>
      </c>
      <c r="H2058" s="2">
        <v>24</v>
      </c>
      <c r="I2058" s="4">
        <v>2445.11</v>
      </c>
      <c r="J2058" s="3">
        <v>45975</v>
      </c>
      <c r="K2058">
        <f t="shared" si="32"/>
        <v>58682.64</v>
      </c>
      <c r="L2058" t="str">
        <f>INDEX(Raw_Shipments!L2058:L4486,MATCH(A2058,Raw_Shipments!B2058:B4486))</f>
        <v>No</v>
      </c>
    </row>
    <row r="2059" spans="1:12" x14ac:dyDescent="0.3">
      <c r="A2059" s="5" t="s">
        <v>2208</v>
      </c>
      <c r="B2059" s="6">
        <v>45969</v>
      </c>
      <c r="C2059" s="5" t="s">
        <v>447</v>
      </c>
      <c r="D2059" s="5" t="s">
        <v>30</v>
      </c>
      <c r="E2059" s="5" t="s">
        <v>46</v>
      </c>
      <c r="F2059" s="5" t="s">
        <v>47</v>
      </c>
      <c r="G2059" s="5" t="s">
        <v>42</v>
      </c>
      <c r="H2059" s="5">
        <v>9</v>
      </c>
      <c r="I2059" s="7">
        <v>1833.14</v>
      </c>
      <c r="J2059" s="6">
        <v>45972</v>
      </c>
      <c r="K2059">
        <f t="shared" si="32"/>
        <v>16498.260000000002</v>
      </c>
      <c r="L2059" t="str">
        <f>INDEX(Raw_Shipments!L2059:L4487,MATCH(A2059,Raw_Shipments!B2059:B4487))</f>
        <v>No</v>
      </c>
    </row>
    <row r="2060" spans="1:12" x14ac:dyDescent="0.3">
      <c r="A2060" s="2" t="s">
        <v>2209</v>
      </c>
      <c r="B2060" s="3">
        <v>45969</v>
      </c>
      <c r="C2060" s="2" t="s">
        <v>81</v>
      </c>
      <c r="D2060" s="2" t="s">
        <v>45</v>
      </c>
      <c r="E2060" s="2" t="s">
        <v>50</v>
      </c>
      <c r="F2060" s="2" t="s">
        <v>51</v>
      </c>
      <c r="G2060" s="2" t="s">
        <v>42</v>
      </c>
      <c r="H2060" s="2">
        <v>11</v>
      </c>
      <c r="I2060" s="4">
        <v>1952.28</v>
      </c>
      <c r="J2060" s="3">
        <v>45975</v>
      </c>
      <c r="K2060">
        <f t="shared" si="32"/>
        <v>21475.079999999998</v>
      </c>
      <c r="L2060" t="str">
        <f>INDEX(Raw_Shipments!L2060:L4488,MATCH(A2060,Raw_Shipments!B2060:B4488))</f>
        <v>No</v>
      </c>
    </row>
    <row r="2061" spans="1:12" x14ac:dyDescent="0.3">
      <c r="A2061" s="5" t="s">
        <v>2210</v>
      </c>
      <c r="B2061" s="6">
        <v>45970</v>
      </c>
      <c r="C2061" s="5" t="s">
        <v>222</v>
      </c>
      <c r="D2061" s="5" t="s">
        <v>14</v>
      </c>
      <c r="E2061" s="5" t="s">
        <v>53</v>
      </c>
      <c r="F2061" s="5" t="s">
        <v>54</v>
      </c>
      <c r="G2061" s="5" t="s">
        <v>55</v>
      </c>
      <c r="H2061" s="5">
        <v>34</v>
      </c>
      <c r="I2061" s="7">
        <v>2055.9</v>
      </c>
      <c r="J2061" s="6">
        <v>45980</v>
      </c>
      <c r="K2061">
        <f t="shared" si="32"/>
        <v>69900.600000000006</v>
      </c>
      <c r="L2061" t="str">
        <f>INDEX(Raw_Shipments!L2061:L4489,MATCH(A2061,Raw_Shipments!B2061:B4489))</f>
        <v>Yes</v>
      </c>
    </row>
    <row r="2062" spans="1:12" x14ac:dyDescent="0.3">
      <c r="A2062" s="2" t="s">
        <v>2211</v>
      </c>
      <c r="B2062" s="3">
        <v>45970</v>
      </c>
      <c r="C2062" s="2" t="s">
        <v>69</v>
      </c>
      <c r="D2062" s="2" t="s">
        <v>25</v>
      </c>
      <c r="E2062" s="2" t="s">
        <v>62</v>
      </c>
      <c r="F2062" s="2" t="s">
        <v>63</v>
      </c>
      <c r="G2062" s="2" t="s">
        <v>55</v>
      </c>
      <c r="H2062" s="2">
        <v>42</v>
      </c>
      <c r="I2062" s="4">
        <v>2555.2199999999998</v>
      </c>
      <c r="J2062" s="3">
        <v>45979</v>
      </c>
      <c r="K2062">
        <f t="shared" si="32"/>
        <v>107319.23999999999</v>
      </c>
      <c r="L2062" t="str">
        <f>INDEX(Raw_Shipments!L2062:L4490,MATCH(A2062,Raw_Shipments!B2062:B4490))</f>
        <v>No</v>
      </c>
    </row>
    <row r="2063" spans="1:12" x14ac:dyDescent="0.3">
      <c r="A2063" s="5" t="s">
        <v>2212</v>
      </c>
      <c r="B2063" s="6">
        <v>45970</v>
      </c>
      <c r="C2063" s="5" t="s">
        <v>49</v>
      </c>
      <c r="D2063" s="5" t="s">
        <v>45</v>
      </c>
      <c r="E2063" s="5" t="s">
        <v>66</v>
      </c>
      <c r="F2063" s="5" t="s">
        <v>67</v>
      </c>
      <c r="G2063" s="5" t="s">
        <v>17</v>
      </c>
      <c r="H2063" s="5">
        <v>2</v>
      </c>
      <c r="I2063" s="7">
        <v>850.8</v>
      </c>
      <c r="J2063" s="6">
        <v>45977</v>
      </c>
      <c r="K2063">
        <f t="shared" si="32"/>
        <v>1701.6</v>
      </c>
      <c r="L2063" t="str">
        <f>INDEX(Raw_Shipments!L2063:L4491,MATCH(A2063,Raw_Shipments!B2063:B4491))</f>
        <v>No</v>
      </c>
    </row>
    <row r="2064" spans="1:12" x14ac:dyDescent="0.3">
      <c r="A2064" s="2" t="s">
        <v>2213</v>
      </c>
      <c r="B2064" s="3">
        <v>45970</v>
      </c>
      <c r="C2064" s="2" t="s">
        <v>178</v>
      </c>
      <c r="D2064" s="2" t="s">
        <v>30</v>
      </c>
      <c r="E2064" s="2" t="s">
        <v>97</v>
      </c>
      <c r="F2064" s="2" t="s">
        <v>98</v>
      </c>
      <c r="G2064" s="2" t="s">
        <v>17</v>
      </c>
      <c r="H2064" s="2">
        <v>40</v>
      </c>
      <c r="I2064" s="4">
        <v>1110.6500000000001</v>
      </c>
      <c r="J2064" s="3">
        <v>45974</v>
      </c>
      <c r="K2064">
        <f t="shared" si="32"/>
        <v>44426</v>
      </c>
      <c r="L2064" t="str">
        <f>INDEX(Raw_Shipments!L2064:L4492,MATCH(A2064,Raw_Shipments!B2064:B4492))</f>
        <v>No</v>
      </c>
    </row>
    <row r="2065" spans="1:12" x14ac:dyDescent="0.3">
      <c r="A2065" s="5" t="s">
        <v>2214</v>
      </c>
      <c r="B2065" s="6">
        <v>45970</v>
      </c>
      <c r="C2065" s="5" t="s">
        <v>220</v>
      </c>
      <c r="D2065" s="5" t="s">
        <v>30</v>
      </c>
      <c r="E2065" s="5" t="s">
        <v>15</v>
      </c>
      <c r="F2065" s="5" t="s">
        <v>16</v>
      </c>
      <c r="G2065" s="5" t="s">
        <v>17</v>
      </c>
      <c r="H2065" s="5">
        <v>14</v>
      </c>
      <c r="I2065" s="7">
        <v>183.06</v>
      </c>
      <c r="J2065" s="6">
        <v>45973</v>
      </c>
      <c r="K2065">
        <f t="shared" si="32"/>
        <v>2562.84</v>
      </c>
      <c r="L2065" t="str">
        <f>INDEX(Raw_Shipments!L2065:L4493,MATCH(A2065,Raw_Shipments!B2065:B4493))</f>
        <v>No</v>
      </c>
    </row>
    <row r="2066" spans="1:12" x14ac:dyDescent="0.3">
      <c r="A2066" s="2" t="s">
        <v>2215</v>
      </c>
      <c r="B2066" s="3">
        <v>45970</v>
      </c>
      <c r="C2066" s="2" t="s">
        <v>510</v>
      </c>
      <c r="D2066" s="2" t="s">
        <v>45</v>
      </c>
      <c r="E2066" s="2" t="s">
        <v>20</v>
      </c>
      <c r="F2066" s="2" t="s">
        <v>21</v>
      </c>
      <c r="G2066" s="2" t="s">
        <v>22</v>
      </c>
      <c r="H2066" s="2">
        <v>18</v>
      </c>
      <c r="I2066" s="4">
        <v>2108.56</v>
      </c>
      <c r="J2066" s="3">
        <v>45975</v>
      </c>
      <c r="K2066">
        <f t="shared" si="32"/>
        <v>37954.080000000002</v>
      </c>
      <c r="L2066" t="str">
        <f>INDEX(Raw_Shipments!L2066:L4494,MATCH(A2066,Raw_Shipments!B2066:B4494))</f>
        <v>No</v>
      </c>
    </row>
    <row r="2067" spans="1:12" x14ac:dyDescent="0.3">
      <c r="A2067" s="5" t="s">
        <v>2216</v>
      </c>
      <c r="B2067" s="6">
        <v>45970</v>
      </c>
      <c r="C2067" s="5" t="s">
        <v>57</v>
      </c>
      <c r="D2067" s="5" t="s">
        <v>14</v>
      </c>
      <c r="E2067" s="5" t="s">
        <v>119</v>
      </c>
      <c r="F2067" s="5" t="s">
        <v>120</v>
      </c>
      <c r="G2067" s="5" t="s">
        <v>22</v>
      </c>
      <c r="H2067" s="5">
        <v>83</v>
      </c>
      <c r="I2067" s="7">
        <v>912.26</v>
      </c>
      <c r="J2067" s="6">
        <v>45978</v>
      </c>
      <c r="K2067">
        <f t="shared" si="32"/>
        <v>75717.58</v>
      </c>
      <c r="L2067" t="str">
        <f>INDEX(Raw_Shipments!L2067:L4495,MATCH(A2067,Raw_Shipments!B2067:B4495))</f>
        <v>No</v>
      </c>
    </row>
    <row r="2068" spans="1:12" x14ac:dyDescent="0.3">
      <c r="A2068" s="2" t="s">
        <v>2217</v>
      </c>
      <c r="B2068" s="3">
        <v>45970</v>
      </c>
      <c r="C2068" s="2" t="s">
        <v>343</v>
      </c>
      <c r="D2068" s="2" t="s">
        <v>14</v>
      </c>
      <c r="E2068" s="2" t="s">
        <v>26</v>
      </c>
      <c r="F2068" s="2" t="s">
        <v>27</v>
      </c>
      <c r="G2068" s="2" t="s">
        <v>22</v>
      </c>
      <c r="H2068" s="2">
        <v>25</v>
      </c>
      <c r="I2068" s="4">
        <v>1646.8</v>
      </c>
      <c r="J2068" s="3">
        <v>45976</v>
      </c>
      <c r="K2068">
        <f t="shared" si="32"/>
        <v>41170</v>
      </c>
      <c r="L2068" t="str">
        <f>INDEX(Raw_Shipments!L2068:L4496,MATCH(A2068,Raw_Shipments!B2068:B4496))</f>
        <v>No</v>
      </c>
    </row>
    <row r="2069" spans="1:12" x14ac:dyDescent="0.3">
      <c r="A2069" s="5" t="s">
        <v>2218</v>
      </c>
      <c r="B2069" s="6">
        <v>45970</v>
      </c>
      <c r="C2069" s="5" t="s">
        <v>438</v>
      </c>
      <c r="D2069" s="5" t="s">
        <v>25</v>
      </c>
      <c r="E2069" s="5" t="s">
        <v>36</v>
      </c>
      <c r="F2069" s="5" t="s">
        <v>37</v>
      </c>
      <c r="G2069" s="5" t="s">
        <v>33</v>
      </c>
      <c r="H2069" s="5">
        <v>23</v>
      </c>
      <c r="I2069" s="7">
        <v>1064.79</v>
      </c>
      <c r="J2069" s="6">
        <v>45973</v>
      </c>
      <c r="K2069">
        <f t="shared" si="32"/>
        <v>24490.17</v>
      </c>
      <c r="L2069" t="str">
        <f>INDEX(Raw_Shipments!L2069:L4497,MATCH(A2069,Raw_Shipments!B2069:B4497))</f>
        <v>No</v>
      </c>
    </row>
    <row r="2070" spans="1:12" x14ac:dyDescent="0.3">
      <c r="A2070" s="2" t="s">
        <v>2219</v>
      </c>
      <c r="B2070" s="3">
        <v>45970</v>
      </c>
      <c r="C2070" s="2" t="s">
        <v>166</v>
      </c>
      <c r="D2070" s="2" t="s">
        <v>30</v>
      </c>
      <c r="E2070" s="2" t="s">
        <v>40</v>
      </c>
      <c r="F2070" s="2" t="s">
        <v>41</v>
      </c>
      <c r="G2070" s="2" t="s">
        <v>42</v>
      </c>
      <c r="H2070" s="2">
        <v>38</v>
      </c>
      <c r="I2070" s="4">
        <v>2445.11</v>
      </c>
      <c r="J2070" s="3">
        <v>45973</v>
      </c>
      <c r="K2070">
        <f t="shared" si="32"/>
        <v>92914.180000000008</v>
      </c>
      <c r="L2070" t="str">
        <f>INDEX(Raw_Shipments!L2070:L4498,MATCH(A2070,Raw_Shipments!B2070:B4498))</f>
        <v>No</v>
      </c>
    </row>
    <row r="2071" spans="1:12" x14ac:dyDescent="0.3">
      <c r="A2071" s="5" t="s">
        <v>2220</v>
      </c>
      <c r="B2071" s="6">
        <v>45970</v>
      </c>
      <c r="C2071" s="5" t="s">
        <v>331</v>
      </c>
      <c r="D2071" s="5" t="s">
        <v>45</v>
      </c>
      <c r="E2071" s="5" t="s">
        <v>46</v>
      </c>
      <c r="F2071" s="5" t="s">
        <v>47</v>
      </c>
      <c r="G2071" s="5" t="s">
        <v>42</v>
      </c>
      <c r="H2071" s="5">
        <v>10</v>
      </c>
      <c r="I2071" s="7">
        <v>1833.14</v>
      </c>
      <c r="J2071" s="6">
        <v>45977</v>
      </c>
      <c r="K2071">
        <f t="shared" si="32"/>
        <v>18331.400000000001</v>
      </c>
      <c r="L2071" t="str">
        <f>INDEX(Raw_Shipments!L2071:L4499,MATCH(A2071,Raw_Shipments!B2071:B4499))</f>
        <v>No</v>
      </c>
    </row>
    <row r="2072" spans="1:12" x14ac:dyDescent="0.3">
      <c r="A2072" s="2" t="s">
        <v>2221</v>
      </c>
      <c r="B2072" s="3">
        <v>45970</v>
      </c>
      <c r="C2072" s="2" t="s">
        <v>154</v>
      </c>
      <c r="D2072" s="2" t="s">
        <v>30</v>
      </c>
      <c r="E2072" s="2" t="s">
        <v>50</v>
      </c>
      <c r="F2072" s="2" t="s">
        <v>51</v>
      </c>
      <c r="G2072" s="2" t="s">
        <v>42</v>
      </c>
      <c r="H2072" s="2">
        <v>8</v>
      </c>
      <c r="I2072" s="4">
        <v>1952.28</v>
      </c>
      <c r="J2072" s="3">
        <v>45980</v>
      </c>
      <c r="K2072">
        <f t="shared" si="32"/>
        <v>15618.24</v>
      </c>
      <c r="L2072" t="str">
        <f>INDEX(Raw_Shipments!L2072:L4500,MATCH(A2072,Raw_Shipments!B2072:B4500))</f>
        <v>No</v>
      </c>
    </row>
    <row r="2073" spans="1:12" x14ac:dyDescent="0.3">
      <c r="A2073" s="5" t="s">
        <v>2222</v>
      </c>
      <c r="B2073" s="6">
        <v>45971</v>
      </c>
      <c r="C2073" s="5" t="s">
        <v>312</v>
      </c>
      <c r="D2073" s="5" t="s">
        <v>25</v>
      </c>
      <c r="E2073" s="5" t="s">
        <v>53</v>
      </c>
      <c r="F2073" s="5" t="s">
        <v>54</v>
      </c>
      <c r="G2073" s="5" t="s">
        <v>55</v>
      </c>
      <c r="H2073" s="5">
        <v>32</v>
      </c>
      <c r="I2073" s="7">
        <v>2055.9</v>
      </c>
      <c r="J2073" s="6">
        <v>45977</v>
      </c>
      <c r="K2073">
        <f t="shared" si="32"/>
        <v>65788.800000000003</v>
      </c>
      <c r="L2073" t="str">
        <f>INDEX(Raw_Shipments!L2073:L4501,MATCH(A2073,Raw_Shipments!B2073:B4501))</f>
        <v>No</v>
      </c>
    </row>
    <row r="2074" spans="1:12" x14ac:dyDescent="0.3">
      <c r="A2074" s="2" t="s">
        <v>2223</v>
      </c>
      <c r="B2074" s="3">
        <v>45971</v>
      </c>
      <c r="C2074" s="2" t="s">
        <v>198</v>
      </c>
      <c r="D2074" s="2" t="s">
        <v>45</v>
      </c>
      <c r="E2074" s="2" t="s">
        <v>62</v>
      </c>
      <c r="F2074" s="2" t="s">
        <v>63</v>
      </c>
      <c r="G2074" s="2" t="s">
        <v>55</v>
      </c>
      <c r="H2074" s="2">
        <v>49</v>
      </c>
      <c r="I2074" s="4">
        <v>2555.2199999999998</v>
      </c>
      <c r="J2074" s="3">
        <v>45975</v>
      </c>
      <c r="K2074">
        <f t="shared" si="32"/>
        <v>125205.77999999998</v>
      </c>
      <c r="L2074" t="str">
        <f>INDEX(Raw_Shipments!L2074:L4502,MATCH(A2074,Raw_Shipments!B2074:B4502))</f>
        <v>No</v>
      </c>
    </row>
    <row r="2075" spans="1:12" x14ac:dyDescent="0.3">
      <c r="A2075" s="5" t="s">
        <v>2224</v>
      </c>
      <c r="B2075" s="6">
        <v>45971</v>
      </c>
      <c r="C2075" s="5" t="s">
        <v>83</v>
      </c>
      <c r="D2075" s="5" t="s">
        <v>45</v>
      </c>
      <c r="E2075" s="5" t="s">
        <v>97</v>
      </c>
      <c r="F2075" s="5" t="s">
        <v>98</v>
      </c>
      <c r="G2075" s="5" t="s">
        <v>17</v>
      </c>
      <c r="H2075" s="5">
        <v>33</v>
      </c>
      <c r="I2075" s="7">
        <v>1110.6500000000001</v>
      </c>
      <c r="J2075" s="6">
        <v>45979</v>
      </c>
      <c r="K2075">
        <f t="shared" si="32"/>
        <v>36651.450000000004</v>
      </c>
      <c r="L2075" t="str">
        <f>INDEX(Raw_Shipments!L2075:L4503,MATCH(A2075,Raw_Shipments!B2075:B4503))</f>
        <v>Yes</v>
      </c>
    </row>
    <row r="2076" spans="1:12" x14ac:dyDescent="0.3">
      <c r="A2076" s="2" t="s">
        <v>2225</v>
      </c>
      <c r="B2076" s="3">
        <v>45971</v>
      </c>
      <c r="C2076" s="2" t="s">
        <v>125</v>
      </c>
      <c r="D2076" s="2" t="s">
        <v>45</v>
      </c>
      <c r="E2076" s="2" t="s">
        <v>15</v>
      </c>
      <c r="F2076" s="2" t="s">
        <v>16</v>
      </c>
      <c r="G2076" s="2" t="s">
        <v>17</v>
      </c>
      <c r="H2076" s="2">
        <v>20</v>
      </c>
      <c r="I2076" s="4">
        <v>183.06</v>
      </c>
      <c r="J2076" s="3">
        <v>45980</v>
      </c>
      <c r="K2076">
        <f t="shared" si="32"/>
        <v>3661.2</v>
      </c>
      <c r="L2076" t="str">
        <f>INDEX(Raw_Shipments!L2076:L4504,MATCH(A2076,Raw_Shipments!B2076:B4504))</f>
        <v>Yes</v>
      </c>
    </row>
    <row r="2077" spans="1:12" x14ac:dyDescent="0.3">
      <c r="A2077" s="5" t="s">
        <v>2226</v>
      </c>
      <c r="B2077" s="6">
        <v>45971</v>
      </c>
      <c r="C2077" s="5" t="s">
        <v>150</v>
      </c>
      <c r="D2077" s="5" t="s">
        <v>45</v>
      </c>
      <c r="E2077" s="5" t="s">
        <v>26</v>
      </c>
      <c r="F2077" s="5" t="s">
        <v>27</v>
      </c>
      <c r="G2077" s="5" t="s">
        <v>22</v>
      </c>
      <c r="H2077" s="5">
        <v>28</v>
      </c>
      <c r="I2077" s="7">
        <v>1646.8</v>
      </c>
      <c r="J2077" s="6">
        <v>45977</v>
      </c>
      <c r="K2077">
        <f t="shared" si="32"/>
        <v>46110.400000000001</v>
      </c>
      <c r="L2077" t="str">
        <f>INDEX(Raw_Shipments!L2077:L4505,MATCH(A2077,Raw_Shipments!B2077:B4505))</f>
        <v>No</v>
      </c>
    </row>
    <row r="2078" spans="1:12" x14ac:dyDescent="0.3">
      <c r="A2078" s="2" t="s">
        <v>2227</v>
      </c>
      <c r="B2078" s="3">
        <v>45971</v>
      </c>
      <c r="C2078" s="2" t="s">
        <v>69</v>
      </c>
      <c r="D2078" s="2" t="s">
        <v>30</v>
      </c>
      <c r="E2078" s="2" t="s">
        <v>36</v>
      </c>
      <c r="F2078" s="2" t="s">
        <v>37</v>
      </c>
      <c r="G2078" s="2" t="s">
        <v>33</v>
      </c>
      <c r="H2078" s="2">
        <v>26</v>
      </c>
      <c r="I2078" s="4">
        <v>1064.79</v>
      </c>
      <c r="J2078" s="3">
        <v>45980</v>
      </c>
      <c r="K2078">
        <f t="shared" si="32"/>
        <v>27684.54</v>
      </c>
      <c r="L2078" t="str">
        <f>INDEX(Raw_Shipments!L2078:L4506,MATCH(A2078,Raw_Shipments!B2078:B4506))</f>
        <v>Yes</v>
      </c>
    </row>
    <row r="2079" spans="1:12" x14ac:dyDescent="0.3">
      <c r="A2079" s="5" t="s">
        <v>2228</v>
      </c>
      <c r="B2079" s="6">
        <v>45971</v>
      </c>
      <c r="C2079" s="5" t="s">
        <v>279</v>
      </c>
      <c r="D2079" s="5" t="s">
        <v>30</v>
      </c>
      <c r="E2079" s="5" t="s">
        <v>86</v>
      </c>
      <c r="F2079" s="5" t="s">
        <v>87</v>
      </c>
      <c r="G2079" s="5" t="s">
        <v>33</v>
      </c>
      <c r="H2079" s="5">
        <v>12</v>
      </c>
      <c r="I2079" s="7">
        <v>815.88</v>
      </c>
      <c r="J2079" s="6">
        <v>45977</v>
      </c>
      <c r="K2079">
        <f t="shared" si="32"/>
        <v>9790.56</v>
      </c>
      <c r="L2079" t="str">
        <f>INDEX(Raw_Shipments!L2079:L4507,MATCH(A2079,Raw_Shipments!B2079:B4507))</f>
        <v>Yes</v>
      </c>
    </row>
    <row r="2080" spans="1:12" x14ac:dyDescent="0.3">
      <c r="A2080" s="2" t="s">
        <v>2229</v>
      </c>
      <c r="B2080" s="3">
        <v>45971</v>
      </c>
      <c r="C2080" s="2" t="s">
        <v>79</v>
      </c>
      <c r="D2080" s="2" t="s">
        <v>25</v>
      </c>
      <c r="E2080" s="2" t="s">
        <v>46</v>
      </c>
      <c r="F2080" s="2" t="s">
        <v>47</v>
      </c>
      <c r="G2080" s="2" t="s">
        <v>42</v>
      </c>
      <c r="H2080" s="2">
        <v>11</v>
      </c>
      <c r="I2080" s="4">
        <v>1833.14</v>
      </c>
      <c r="J2080" s="3">
        <v>45976</v>
      </c>
      <c r="K2080">
        <f t="shared" si="32"/>
        <v>20164.54</v>
      </c>
      <c r="L2080" t="str">
        <f>INDEX(Raw_Shipments!L2080:L4508,MATCH(A2080,Raw_Shipments!B2080:B4508))</f>
        <v>No</v>
      </c>
    </row>
    <row r="2081" spans="1:12" x14ac:dyDescent="0.3">
      <c r="A2081" s="5" t="s">
        <v>2230</v>
      </c>
      <c r="B2081" s="6">
        <v>45971</v>
      </c>
      <c r="C2081" s="5" t="s">
        <v>144</v>
      </c>
      <c r="D2081" s="5" t="s">
        <v>14</v>
      </c>
      <c r="E2081" s="5" t="s">
        <v>50</v>
      </c>
      <c r="F2081" s="5" t="s">
        <v>51</v>
      </c>
      <c r="G2081" s="5" t="s">
        <v>42</v>
      </c>
      <c r="H2081" s="5">
        <v>10</v>
      </c>
      <c r="I2081" s="7">
        <v>1952.28</v>
      </c>
      <c r="J2081" s="6">
        <v>45978</v>
      </c>
      <c r="K2081">
        <f t="shared" si="32"/>
        <v>19522.8</v>
      </c>
      <c r="L2081" t="str">
        <f>INDEX(Raw_Shipments!L2081:L4509,MATCH(A2081,Raw_Shipments!B2081:B4509))</f>
        <v>No</v>
      </c>
    </row>
    <row r="2082" spans="1:12" x14ac:dyDescent="0.3">
      <c r="A2082" s="2" t="s">
        <v>2231</v>
      </c>
      <c r="B2082" s="3">
        <v>45972</v>
      </c>
      <c r="C2082" s="2" t="s">
        <v>102</v>
      </c>
      <c r="D2082" s="2" t="s">
        <v>25</v>
      </c>
      <c r="E2082" s="2" t="s">
        <v>58</v>
      </c>
      <c r="F2082" s="2" t="s">
        <v>59</v>
      </c>
      <c r="G2082" s="2" t="s">
        <v>55</v>
      </c>
      <c r="H2082" s="2">
        <v>21</v>
      </c>
      <c r="I2082" s="4">
        <v>1695.1</v>
      </c>
      <c r="J2082" s="3">
        <v>45975</v>
      </c>
      <c r="K2082">
        <f t="shared" si="32"/>
        <v>35597.1</v>
      </c>
      <c r="L2082" t="str">
        <f>INDEX(Raw_Shipments!L2082:L4510,MATCH(A2082,Raw_Shipments!B2082:B4510))</f>
        <v>No</v>
      </c>
    </row>
    <row r="2083" spans="1:12" x14ac:dyDescent="0.3">
      <c r="A2083" s="5" t="s">
        <v>2232</v>
      </c>
      <c r="B2083" s="6">
        <v>45972</v>
      </c>
      <c r="C2083" s="5" t="s">
        <v>198</v>
      </c>
      <c r="D2083" s="5" t="s">
        <v>14</v>
      </c>
      <c r="E2083" s="5" t="s">
        <v>62</v>
      </c>
      <c r="F2083" s="5" t="s">
        <v>63</v>
      </c>
      <c r="G2083" s="5" t="s">
        <v>55</v>
      </c>
      <c r="H2083" s="5">
        <v>53</v>
      </c>
      <c r="I2083" s="7">
        <v>2555.2199999999998</v>
      </c>
      <c r="J2083" s="6">
        <v>45982</v>
      </c>
      <c r="K2083">
        <f t="shared" si="32"/>
        <v>135426.66</v>
      </c>
      <c r="L2083" t="str">
        <f>INDEX(Raw_Shipments!L2083:L4511,MATCH(A2083,Raw_Shipments!B2083:B4511))</f>
        <v>No</v>
      </c>
    </row>
    <row r="2084" spans="1:12" x14ac:dyDescent="0.3">
      <c r="A2084" s="2" t="s">
        <v>2233</v>
      </c>
      <c r="B2084" s="3">
        <v>45972</v>
      </c>
      <c r="C2084" s="2" t="s">
        <v>260</v>
      </c>
      <c r="D2084" s="2" t="s">
        <v>30</v>
      </c>
      <c r="E2084" s="2" t="s">
        <v>97</v>
      </c>
      <c r="F2084" s="2" t="s">
        <v>98</v>
      </c>
      <c r="G2084" s="2" t="s">
        <v>17</v>
      </c>
      <c r="H2084" s="2">
        <v>28</v>
      </c>
      <c r="I2084" s="4">
        <v>1110.6500000000001</v>
      </c>
      <c r="J2084" s="3">
        <v>45981</v>
      </c>
      <c r="K2084">
        <f t="shared" si="32"/>
        <v>31098.200000000004</v>
      </c>
      <c r="L2084" t="str">
        <f>INDEX(Raw_Shipments!L2084:L4512,MATCH(A2084,Raw_Shipments!B2084:B4512))</f>
        <v>Yes</v>
      </c>
    </row>
    <row r="2085" spans="1:12" x14ac:dyDescent="0.3">
      <c r="A2085" s="5" t="s">
        <v>2234</v>
      </c>
      <c r="B2085" s="6">
        <v>45972</v>
      </c>
      <c r="C2085" s="5" t="s">
        <v>158</v>
      </c>
      <c r="D2085" s="5" t="s">
        <v>14</v>
      </c>
      <c r="E2085" s="5" t="s">
        <v>31</v>
      </c>
      <c r="F2085" s="5" t="s">
        <v>32</v>
      </c>
      <c r="G2085" s="5" t="s">
        <v>33</v>
      </c>
      <c r="H2085" s="5">
        <v>39</v>
      </c>
      <c r="I2085" s="7">
        <v>689</v>
      </c>
      <c r="J2085" s="6">
        <v>45981</v>
      </c>
      <c r="K2085">
        <f t="shared" si="32"/>
        <v>26871</v>
      </c>
      <c r="L2085" t="str">
        <f>INDEX(Raw_Shipments!L2085:L4513,MATCH(A2085,Raw_Shipments!B2085:B4513))</f>
        <v>Yes</v>
      </c>
    </row>
    <row r="2086" spans="1:12" x14ac:dyDescent="0.3">
      <c r="A2086" s="2" t="s">
        <v>2235</v>
      </c>
      <c r="B2086" s="3">
        <v>45972</v>
      </c>
      <c r="C2086" s="2" t="s">
        <v>156</v>
      </c>
      <c r="D2086" s="2" t="s">
        <v>30</v>
      </c>
      <c r="E2086" s="2" t="s">
        <v>36</v>
      </c>
      <c r="F2086" s="2" t="s">
        <v>37</v>
      </c>
      <c r="G2086" s="2" t="s">
        <v>33</v>
      </c>
      <c r="H2086" s="2">
        <v>43</v>
      </c>
      <c r="I2086" s="4">
        <v>1064.79</v>
      </c>
      <c r="J2086" s="3">
        <v>45980</v>
      </c>
      <c r="K2086">
        <f t="shared" si="32"/>
        <v>45785.97</v>
      </c>
      <c r="L2086" t="str">
        <f>INDEX(Raw_Shipments!L2086:L4514,MATCH(A2086,Raw_Shipments!B2086:B4514))</f>
        <v>Yes</v>
      </c>
    </row>
    <row r="2087" spans="1:12" x14ac:dyDescent="0.3">
      <c r="A2087" s="5" t="s">
        <v>2236</v>
      </c>
      <c r="B2087" s="6">
        <v>45972</v>
      </c>
      <c r="C2087" s="5" t="s">
        <v>456</v>
      </c>
      <c r="D2087" s="5" t="s">
        <v>30</v>
      </c>
      <c r="E2087" s="5" t="s">
        <v>86</v>
      </c>
      <c r="F2087" s="5" t="s">
        <v>87</v>
      </c>
      <c r="G2087" s="5" t="s">
        <v>33</v>
      </c>
      <c r="H2087" s="5">
        <v>18</v>
      </c>
      <c r="I2087" s="7">
        <v>815.88</v>
      </c>
      <c r="J2087" s="6">
        <v>45979</v>
      </c>
      <c r="K2087">
        <f t="shared" si="32"/>
        <v>14685.84</v>
      </c>
      <c r="L2087" t="str">
        <f>INDEX(Raw_Shipments!L2087:L4515,MATCH(A2087,Raw_Shipments!B2087:B4515))</f>
        <v>No</v>
      </c>
    </row>
    <row r="2088" spans="1:12" x14ac:dyDescent="0.3">
      <c r="A2088" s="2" t="s">
        <v>2237</v>
      </c>
      <c r="B2088" s="3">
        <v>45972</v>
      </c>
      <c r="C2088" s="2" t="s">
        <v>139</v>
      </c>
      <c r="D2088" s="2" t="s">
        <v>30</v>
      </c>
      <c r="E2088" s="2" t="s">
        <v>40</v>
      </c>
      <c r="F2088" s="2" t="s">
        <v>41</v>
      </c>
      <c r="G2088" s="2" t="s">
        <v>42</v>
      </c>
      <c r="H2088" s="2">
        <v>45</v>
      </c>
      <c r="I2088" s="4">
        <v>2445.11</v>
      </c>
      <c r="J2088" s="3">
        <v>45979</v>
      </c>
      <c r="K2088">
        <f t="shared" si="32"/>
        <v>110029.95000000001</v>
      </c>
      <c r="L2088" t="str">
        <f>INDEX(Raw_Shipments!L2088:L4516,MATCH(A2088,Raw_Shipments!B2088:B4516))</f>
        <v>No</v>
      </c>
    </row>
    <row r="2089" spans="1:12" x14ac:dyDescent="0.3">
      <c r="A2089" s="5" t="s">
        <v>2238</v>
      </c>
      <c r="B2089" s="6">
        <v>45972</v>
      </c>
      <c r="C2089" s="5" t="s">
        <v>232</v>
      </c>
      <c r="D2089" s="5" t="s">
        <v>14</v>
      </c>
      <c r="E2089" s="5" t="s">
        <v>46</v>
      </c>
      <c r="F2089" s="5" t="s">
        <v>47</v>
      </c>
      <c r="G2089" s="5" t="s">
        <v>42</v>
      </c>
      <c r="H2089" s="5">
        <v>10</v>
      </c>
      <c r="I2089" s="7">
        <v>1833.14</v>
      </c>
      <c r="J2089" s="6">
        <v>45978</v>
      </c>
      <c r="K2089">
        <f t="shared" si="32"/>
        <v>18331.400000000001</v>
      </c>
      <c r="L2089" t="str">
        <f>INDEX(Raw_Shipments!L2089:L4517,MATCH(A2089,Raw_Shipments!B2089:B4517))</f>
        <v>No</v>
      </c>
    </row>
    <row r="2090" spans="1:12" x14ac:dyDescent="0.3">
      <c r="A2090" s="2" t="s">
        <v>2239</v>
      </c>
      <c r="B2090" s="3">
        <v>45973</v>
      </c>
      <c r="C2090" s="2" t="s">
        <v>227</v>
      </c>
      <c r="D2090" s="2" t="s">
        <v>14</v>
      </c>
      <c r="E2090" s="2" t="s">
        <v>58</v>
      </c>
      <c r="F2090" s="2" t="s">
        <v>59</v>
      </c>
      <c r="G2090" s="2" t="s">
        <v>55</v>
      </c>
      <c r="H2090" s="2">
        <v>23</v>
      </c>
      <c r="I2090" s="4">
        <v>1695.1</v>
      </c>
      <c r="J2090" s="3">
        <v>45979</v>
      </c>
      <c r="K2090">
        <f t="shared" si="32"/>
        <v>38987.299999999996</v>
      </c>
      <c r="L2090" t="str">
        <f>INDEX(Raw_Shipments!L2090:L4518,MATCH(A2090,Raw_Shipments!B2090:B4518))</f>
        <v>No</v>
      </c>
    </row>
    <row r="2091" spans="1:12" x14ac:dyDescent="0.3">
      <c r="A2091" s="5" t="s">
        <v>2240</v>
      </c>
      <c r="B2091" s="6">
        <v>45973</v>
      </c>
      <c r="C2091" s="5" t="s">
        <v>117</v>
      </c>
      <c r="D2091" s="5" t="s">
        <v>30</v>
      </c>
      <c r="E2091" s="5" t="s">
        <v>62</v>
      </c>
      <c r="F2091" s="5" t="s">
        <v>63</v>
      </c>
      <c r="G2091" s="5" t="s">
        <v>55</v>
      </c>
      <c r="H2091" s="5">
        <v>43</v>
      </c>
      <c r="I2091" s="7">
        <v>2555.2199999999998</v>
      </c>
      <c r="J2091" s="6">
        <v>45978</v>
      </c>
      <c r="K2091">
        <f t="shared" si="32"/>
        <v>109874.45999999999</v>
      </c>
      <c r="L2091" t="str">
        <f>INDEX(Raw_Shipments!L2091:L4519,MATCH(A2091,Raw_Shipments!B2091:B4519))</f>
        <v>No</v>
      </c>
    </row>
    <row r="2092" spans="1:12" x14ac:dyDescent="0.3">
      <c r="A2092" s="2" t="s">
        <v>2241</v>
      </c>
      <c r="B2092" s="3">
        <v>45973</v>
      </c>
      <c r="C2092" s="2" t="s">
        <v>150</v>
      </c>
      <c r="D2092" s="2" t="s">
        <v>30</v>
      </c>
      <c r="E2092" s="2" t="s">
        <v>15</v>
      </c>
      <c r="F2092" s="2" t="s">
        <v>16</v>
      </c>
      <c r="G2092" s="2" t="s">
        <v>17</v>
      </c>
      <c r="H2092" s="2">
        <v>15</v>
      </c>
      <c r="I2092" s="4">
        <v>183.06</v>
      </c>
      <c r="J2092" s="3">
        <v>45978</v>
      </c>
      <c r="K2092">
        <f t="shared" si="32"/>
        <v>2745.9</v>
      </c>
      <c r="L2092" t="str">
        <f>INDEX(Raw_Shipments!L2092:L4520,MATCH(A2092,Raw_Shipments!B2092:B4520))</f>
        <v>No</v>
      </c>
    </row>
    <row r="2093" spans="1:12" x14ac:dyDescent="0.3">
      <c r="A2093" s="5" t="s">
        <v>2242</v>
      </c>
      <c r="B2093" s="6">
        <v>45973</v>
      </c>
      <c r="C2093" s="5" t="s">
        <v>44</v>
      </c>
      <c r="D2093" s="5" t="s">
        <v>45</v>
      </c>
      <c r="E2093" s="5" t="s">
        <v>20</v>
      </c>
      <c r="F2093" s="5" t="s">
        <v>21</v>
      </c>
      <c r="G2093" s="5" t="s">
        <v>22</v>
      </c>
      <c r="H2093" s="5">
        <v>21</v>
      </c>
      <c r="I2093" s="7">
        <v>2108.56</v>
      </c>
      <c r="J2093" s="6">
        <v>45976</v>
      </c>
      <c r="K2093">
        <f t="shared" si="32"/>
        <v>44279.76</v>
      </c>
      <c r="L2093" t="str">
        <f>INDEX(Raw_Shipments!L2093:L4521,MATCH(A2093,Raw_Shipments!B2093:B4521))</f>
        <v>No</v>
      </c>
    </row>
    <row r="2094" spans="1:12" x14ac:dyDescent="0.3">
      <c r="A2094" s="2" t="s">
        <v>2243</v>
      </c>
      <c r="B2094" s="3">
        <v>45973</v>
      </c>
      <c r="C2094" s="2" t="s">
        <v>146</v>
      </c>
      <c r="D2094" s="2" t="s">
        <v>45</v>
      </c>
      <c r="E2094" s="2" t="s">
        <v>26</v>
      </c>
      <c r="F2094" s="2" t="s">
        <v>27</v>
      </c>
      <c r="G2094" s="2" t="s">
        <v>22</v>
      </c>
      <c r="H2094" s="2">
        <v>41</v>
      </c>
      <c r="I2094" s="4">
        <v>1646.8</v>
      </c>
      <c r="J2094" s="3">
        <v>45976</v>
      </c>
      <c r="K2094">
        <f t="shared" si="32"/>
        <v>67518.8</v>
      </c>
      <c r="L2094" t="str">
        <f>INDEX(Raw_Shipments!L2094:L4522,MATCH(A2094,Raw_Shipments!B2094:B4522))</f>
        <v>No</v>
      </c>
    </row>
    <row r="2095" spans="1:12" x14ac:dyDescent="0.3">
      <c r="A2095" s="5" t="s">
        <v>2244</v>
      </c>
      <c r="B2095" s="6">
        <v>45973</v>
      </c>
      <c r="C2095" s="5" t="s">
        <v>595</v>
      </c>
      <c r="D2095" s="5" t="s">
        <v>14</v>
      </c>
      <c r="E2095" s="5" t="s">
        <v>31</v>
      </c>
      <c r="F2095" s="5" t="s">
        <v>32</v>
      </c>
      <c r="G2095" s="5" t="s">
        <v>33</v>
      </c>
      <c r="H2095" s="5">
        <v>49</v>
      </c>
      <c r="I2095" s="7">
        <v>689</v>
      </c>
      <c r="J2095" s="6">
        <v>45981</v>
      </c>
      <c r="K2095">
        <f t="shared" si="32"/>
        <v>33761</v>
      </c>
      <c r="L2095" t="str">
        <f>INDEX(Raw_Shipments!L2095:L4523,MATCH(A2095,Raw_Shipments!B2095:B4523))</f>
        <v>No</v>
      </c>
    </row>
    <row r="2096" spans="1:12" x14ac:dyDescent="0.3">
      <c r="A2096" s="2" t="s">
        <v>2245</v>
      </c>
      <c r="B2096" s="3">
        <v>45973</v>
      </c>
      <c r="C2096" s="2" t="s">
        <v>504</v>
      </c>
      <c r="D2096" s="2" t="s">
        <v>30</v>
      </c>
      <c r="E2096" s="2" t="s">
        <v>86</v>
      </c>
      <c r="F2096" s="2" t="s">
        <v>87</v>
      </c>
      <c r="G2096" s="2" t="s">
        <v>33</v>
      </c>
      <c r="H2096" s="2">
        <v>47</v>
      </c>
      <c r="I2096" s="4">
        <v>815.88</v>
      </c>
      <c r="J2096" s="3">
        <v>45981</v>
      </c>
      <c r="K2096">
        <f t="shared" si="32"/>
        <v>38346.36</v>
      </c>
      <c r="L2096" t="str">
        <f>INDEX(Raw_Shipments!L2096:L4524,MATCH(A2096,Raw_Shipments!B2096:B4524))</f>
        <v>Yes</v>
      </c>
    </row>
    <row r="2097" spans="1:12" x14ac:dyDescent="0.3">
      <c r="A2097" s="5" t="s">
        <v>2246</v>
      </c>
      <c r="B2097" s="6">
        <v>45973</v>
      </c>
      <c r="C2097" s="5" t="s">
        <v>178</v>
      </c>
      <c r="D2097" s="5" t="s">
        <v>14</v>
      </c>
      <c r="E2097" s="5" t="s">
        <v>50</v>
      </c>
      <c r="F2097" s="5" t="s">
        <v>51</v>
      </c>
      <c r="G2097" s="5" t="s">
        <v>42</v>
      </c>
      <c r="H2097" s="5">
        <v>13</v>
      </c>
      <c r="I2097" s="7">
        <v>1952.28</v>
      </c>
      <c r="J2097" s="6">
        <v>45977</v>
      </c>
      <c r="K2097">
        <f t="shared" si="32"/>
        <v>25379.64</v>
      </c>
      <c r="L2097" t="str">
        <f>INDEX(Raw_Shipments!L2097:L4525,MATCH(A2097,Raw_Shipments!B2097:B4525))</f>
        <v>No</v>
      </c>
    </row>
    <row r="2098" spans="1:12" x14ac:dyDescent="0.3">
      <c r="A2098" s="2" t="s">
        <v>2247</v>
      </c>
      <c r="B2098" s="3">
        <v>45974</v>
      </c>
      <c r="C2098" s="2" t="s">
        <v>96</v>
      </c>
      <c r="D2098" s="2" t="s">
        <v>30</v>
      </c>
      <c r="E2098" s="2" t="s">
        <v>58</v>
      </c>
      <c r="F2098" s="2" t="s">
        <v>59</v>
      </c>
      <c r="G2098" s="2" t="s">
        <v>55</v>
      </c>
      <c r="H2098" s="2">
        <v>13</v>
      </c>
      <c r="I2098" s="4">
        <v>1695.1</v>
      </c>
      <c r="J2098" s="3">
        <v>45983</v>
      </c>
      <c r="K2098">
        <f t="shared" si="32"/>
        <v>22036.3</v>
      </c>
      <c r="L2098" t="str">
        <f>INDEX(Raw_Shipments!L2098:L4526,MATCH(A2098,Raw_Shipments!B2098:B4526))</f>
        <v>No</v>
      </c>
    </row>
    <row r="2099" spans="1:12" x14ac:dyDescent="0.3">
      <c r="A2099" s="5" t="s">
        <v>2248</v>
      </c>
      <c r="B2099" s="6">
        <v>45974</v>
      </c>
      <c r="C2099" s="5" t="s">
        <v>100</v>
      </c>
      <c r="D2099" s="5" t="s">
        <v>14</v>
      </c>
      <c r="E2099" s="5" t="s">
        <v>66</v>
      </c>
      <c r="F2099" s="5" t="s">
        <v>67</v>
      </c>
      <c r="G2099" s="5" t="s">
        <v>17</v>
      </c>
      <c r="H2099" s="5">
        <v>21</v>
      </c>
      <c r="I2099" s="7">
        <v>850.8</v>
      </c>
      <c r="J2099" s="6">
        <v>45980</v>
      </c>
      <c r="K2099">
        <f t="shared" si="32"/>
        <v>17866.8</v>
      </c>
      <c r="L2099" t="str">
        <f>INDEX(Raw_Shipments!L2099:L4527,MATCH(A2099,Raw_Shipments!B2099:B4527))</f>
        <v>No</v>
      </c>
    </row>
    <row r="2100" spans="1:12" x14ac:dyDescent="0.3">
      <c r="A2100" s="2" t="s">
        <v>2249</v>
      </c>
      <c r="B2100" s="3">
        <v>45974</v>
      </c>
      <c r="C2100" s="2" t="s">
        <v>111</v>
      </c>
      <c r="D2100" s="2" t="s">
        <v>30</v>
      </c>
      <c r="E2100" s="2" t="s">
        <v>15</v>
      </c>
      <c r="F2100" s="2" t="s">
        <v>16</v>
      </c>
      <c r="G2100" s="2" t="s">
        <v>17</v>
      </c>
      <c r="H2100" s="2">
        <v>29</v>
      </c>
      <c r="I2100" s="4">
        <v>183.06</v>
      </c>
      <c r="J2100" s="3">
        <v>45984</v>
      </c>
      <c r="K2100">
        <f t="shared" si="32"/>
        <v>5308.74</v>
      </c>
      <c r="L2100" t="str">
        <f>INDEX(Raw_Shipments!L2100:L4528,MATCH(A2100,Raw_Shipments!B2100:B4528))</f>
        <v>Yes</v>
      </c>
    </row>
    <row r="2101" spans="1:12" x14ac:dyDescent="0.3">
      <c r="A2101" s="5" t="s">
        <v>2250</v>
      </c>
      <c r="B2101" s="6">
        <v>45974</v>
      </c>
      <c r="C2101" s="5" t="s">
        <v>282</v>
      </c>
      <c r="D2101" s="5" t="s">
        <v>25</v>
      </c>
      <c r="E2101" s="5" t="s">
        <v>20</v>
      </c>
      <c r="F2101" s="5" t="s">
        <v>21</v>
      </c>
      <c r="G2101" s="5" t="s">
        <v>22</v>
      </c>
      <c r="H2101" s="5">
        <v>20</v>
      </c>
      <c r="I2101" s="7">
        <v>2108.56</v>
      </c>
      <c r="J2101" s="6">
        <v>45977</v>
      </c>
      <c r="K2101">
        <f t="shared" si="32"/>
        <v>42171.199999999997</v>
      </c>
      <c r="L2101" t="str">
        <f>INDEX(Raw_Shipments!L2101:L4529,MATCH(A2101,Raw_Shipments!B2101:B4529))</f>
        <v>No</v>
      </c>
    </row>
    <row r="2102" spans="1:12" x14ac:dyDescent="0.3">
      <c r="A2102" s="2" t="s">
        <v>2251</v>
      </c>
      <c r="B2102" s="3">
        <v>45974</v>
      </c>
      <c r="C2102" s="2" t="s">
        <v>232</v>
      </c>
      <c r="D2102" s="2" t="s">
        <v>45</v>
      </c>
      <c r="E2102" s="2" t="s">
        <v>31</v>
      </c>
      <c r="F2102" s="2" t="s">
        <v>32</v>
      </c>
      <c r="G2102" s="2" t="s">
        <v>33</v>
      </c>
      <c r="H2102" s="2">
        <v>82</v>
      </c>
      <c r="I2102" s="4">
        <v>689</v>
      </c>
      <c r="J2102" s="3">
        <v>45982</v>
      </c>
      <c r="K2102">
        <f t="shared" si="32"/>
        <v>56498</v>
      </c>
      <c r="L2102" t="str">
        <f>INDEX(Raw_Shipments!L2102:L4530,MATCH(A2102,Raw_Shipments!B2102:B4530))</f>
        <v>Yes</v>
      </c>
    </row>
    <row r="2103" spans="1:12" x14ac:dyDescent="0.3">
      <c r="A2103" s="5" t="s">
        <v>2252</v>
      </c>
      <c r="B2103" s="6">
        <v>45974</v>
      </c>
      <c r="C2103" s="5" t="s">
        <v>75</v>
      </c>
      <c r="D2103" s="5" t="s">
        <v>25</v>
      </c>
      <c r="E2103" s="5" t="s">
        <v>86</v>
      </c>
      <c r="F2103" s="5" t="s">
        <v>87</v>
      </c>
      <c r="G2103" s="5" t="s">
        <v>33</v>
      </c>
      <c r="H2103" s="5">
        <v>14</v>
      </c>
      <c r="I2103" s="7">
        <v>815.88</v>
      </c>
      <c r="J2103" s="6">
        <v>45979</v>
      </c>
      <c r="K2103">
        <f t="shared" si="32"/>
        <v>11422.32</v>
      </c>
      <c r="L2103" t="str">
        <f>INDEX(Raw_Shipments!L2103:L4531,MATCH(A2103,Raw_Shipments!B2103:B4531))</f>
        <v>No</v>
      </c>
    </row>
    <row r="2104" spans="1:12" x14ac:dyDescent="0.3">
      <c r="A2104" s="2" t="s">
        <v>2253</v>
      </c>
      <c r="B2104" s="3">
        <v>45974</v>
      </c>
      <c r="C2104" s="2" t="s">
        <v>144</v>
      </c>
      <c r="D2104" s="2" t="s">
        <v>25</v>
      </c>
      <c r="E2104" s="2" t="s">
        <v>50</v>
      </c>
      <c r="F2104" s="2" t="s">
        <v>51</v>
      </c>
      <c r="G2104" s="2" t="s">
        <v>42</v>
      </c>
      <c r="H2104" s="2">
        <v>20</v>
      </c>
      <c r="I2104" s="4">
        <v>1952.28</v>
      </c>
      <c r="J2104" s="3">
        <v>45980</v>
      </c>
      <c r="K2104">
        <f t="shared" si="32"/>
        <v>39045.599999999999</v>
      </c>
      <c r="L2104" t="str">
        <f>INDEX(Raw_Shipments!L2104:L4532,MATCH(A2104,Raw_Shipments!B2104:B4532))</f>
        <v>No</v>
      </c>
    </row>
    <row r="2105" spans="1:12" x14ac:dyDescent="0.3">
      <c r="A2105" s="5" t="s">
        <v>2254</v>
      </c>
      <c r="B2105" s="6">
        <v>45975</v>
      </c>
      <c r="C2105" s="5" t="s">
        <v>183</v>
      </c>
      <c r="D2105" s="5" t="s">
        <v>30</v>
      </c>
      <c r="E2105" s="5" t="s">
        <v>53</v>
      </c>
      <c r="F2105" s="5" t="s">
        <v>54</v>
      </c>
      <c r="G2105" s="5" t="s">
        <v>55</v>
      </c>
      <c r="H2105" s="5">
        <v>27</v>
      </c>
      <c r="I2105" s="7">
        <v>2055.9</v>
      </c>
      <c r="J2105" s="6">
        <v>45979</v>
      </c>
      <c r="K2105">
        <f t="shared" si="32"/>
        <v>55509.3</v>
      </c>
      <c r="L2105" t="str">
        <f>INDEX(Raw_Shipments!L2105:L4533,MATCH(A2105,Raw_Shipments!B2105:B4533))</f>
        <v>No</v>
      </c>
    </row>
    <row r="2106" spans="1:12" x14ac:dyDescent="0.3">
      <c r="A2106" s="2" t="s">
        <v>2255</v>
      </c>
      <c r="B2106" s="3">
        <v>45975</v>
      </c>
      <c r="C2106" s="2" t="s">
        <v>356</v>
      </c>
      <c r="D2106" s="2" t="s">
        <v>25</v>
      </c>
      <c r="E2106" s="2" t="s">
        <v>58</v>
      </c>
      <c r="F2106" s="2" t="s">
        <v>59</v>
      </c>
      <c r="G2106" s="2" t="s">
        <v>55</v>
      </c>
      <c r="H2106" s="2">
        <v>27</v>
      </c>
      <c r="I2106" s="4">
        <v>1695.1</v>
      </c>
      <c r="J2106" s="3">
        <v>45980</v>
      </c>
      <c r="K2106">
        <f t="shared" si="32"/>
        <v>45767.7</v>
      </c>
      <c r="L2106" t="str">
        <f>INDEX(Raw_Shipments!L2106:L4534,MATCH(A2106,Raw_Shipments!B2106:B4534))</f>
        <v>No</v>
      </c>
    </row>
    <row r="2107" spans="1:12" x14ac:dyDescent="0.3">
      <c r="A2107" s="5" t="s">
        <v>2256</v>
      </c>
      <c r="B2107" s="6">
        <v>45975</v>
      </c>
      <c r="C2107" s="5" t="s">
        <v>400</v>
      </c>
      <c r="D2107" s="5" t="s">
        <v>45</v>
      </c>
      <c r="E2107" s="5" t="s">
        <v>62</v>
      </c>
      <c r="F2107" s="5" t="s">
        <v>63</v>
      </c>
      <c r="G2107" s="5" t="s">
        <v>55</v>
      </c>
      <c r="H2107" s="5">
        <v>34</v>
      </c>
      <c r="I2107" s="7">
        <v>2555.2199999999998</v>
      </c>
      <c r="J2107" s="6">
        <v>45982</v>
      </c>
      <c r="K2107">
        <f t="shared" si="32"/>
        <v>86877.48</v>
      </c>
      <c r="L2107" t="str">
        <f>INDEX(Raw_Shipments!L2107:L4535,MATCH(A2107,Raw_Shipments!B2107:B4535))</f>
        <v>No</v>
      </c>
    </row>
    <row r="2108" spans="1:12" x14ac:dyDescent="0.3">
      <c r="A2108" s="2" t="s">
        <v>2257</v>
      </c>
      <c r="B2108" s="3">
        <v>45975</v>
      </c>
      <c r="C2108" s="2" t="s">
        <v>102</v>
      </c>
      <c r="D2108" s="2" t="s">
        <v>25</v>
      </c>
      <c r="E2108" s="2" t="s">
        <v>15</v>
      </c>
      <c r="F2108" s="2" t="s">
        <v>16</v>
      </c>
      <c r="G2108" s="2" t="s">
        <v>17</v>
      </c>
      <c r="H2108" s="2">
        <v>17</v>
      </c>
      <c r="I2108" s="4">
        <v>183.06</v>
      </c>
      <c r="J2108" s="3">
        <v>45985</v>
      </c>
      <c r="K2108">
        <f t="shared" si="32"/>
        <v>3112.02</v>
      </c>
      <c r="L2108" t="str">
        <f>INDEX(Raw_Shipments!L2108:L4536,MATCH(A2108,Raw_Shipments!B2108:B4536))</f>
        <v>No</v>
      </c>
    </row>
    <row r="2109" spans="1:12" x14ac:dyDescent="0.3">
      <c r="A2109" s="5" t="s">
        <v>2258</v>
      </c>
      <c r="B2109" s="6">
        <v>45975</v>
      </c>
      <c r="C2109" s="5" t="s">
        <v>39</v>
      </c>
      <c r="D2109" s="5" t="s">
        <v>45</v>
      </c>
      <c r="E2109" s="5" t="s">
        <v>20</v>
      </c>
      <c r="F2109" s="5" t="s">
        <v>21</v>
      </c>
      <c r="G2109" s="5" t="s">
        <v>22</v>
      </c>
      <c r="H2109" s="5">
        <v>22</v>
      </c>
      <c r="I2109" s="7">
        <v>2108.56</v>
      </c>
      <c r="J2109" s="6">
        <v>45985</v>
      </c>
      <c r="K2109">
        <f t="shared" si="32"/>
        <v>46388.32</v>
      </c>
      <c r="L2109" t="str">
        <f>INDEX(Raw_Shipments!L2109:L4537,MATCH(A2109,Raw_Shipments!B2109:B4537))</f>
        <v>No</v>
      </c>
    </row>
    <row r="2110" spans="1:12" x14ac:dyDescent="0.3">
      <c r="A2110" s="2" t="s">
        <v>2259</v>
      </c>
      <c r="B2110" s="3">
        <v>45975</v>
      </c>
      <c r="C2110" s="2" t="s">
        <v>442</v>
      </c>
      <c r="D2110" s="2" t="s">
        <v>45</v>
      </c>
      <c r="E2110" s="2" t="s">
        <v>119</v>
      </c>
      <c r="F2110" s="2" t="s">
        <v>120</v>
      </c>
      <c r="G2110" s="2" t="s">
        <v>22</v>
      </c>
      <c r="H2110" s="2">
        <v>85</v>
      </c>
      <c r="I2110" s="4">
        <v>912.26</v>
      </c>
      <c r="J2110" s="3">
        <v>45978</v>
      </c>
      <c r="K2110">
        <f t="shared" si="32"/>
        <v>77542.100000000006</v>
      </c>
      <c r="L2110" t="str">
        <f>INDEX(Raw_Shipments!L2110:L4538,MATCH(A2110,Raw_Shipments!B2110:B4538))</f>
        <v>No</v>
      </c>
    </row>
    <row r="2111" spans="1:12" x14ac:dyDescent="0.3">
      <c r="A2111" s="5" t="s">
        <v>2260</v>
      </c>
      <c r="B2111" s="6">
        <v>45975</v>
      </c>
      <c r="C2111" s="5" t="s">
        <v>220</v>
      </c>
      <c r="D2111" s="5" t="s">
        <v>30</v>
      </c>
      <c r="E2111" s="5" t="s">
        <v>26</v>
      </c>
      <c r="F2111" s="5" t="s">
        <v>27</v>
      </c>
      <c r="G2111" s="5" t="s">
        <v>22</v>
      </c>
      <c r="H2111" s="5">
        <v>27</v>
      </c>
      <c r="I2111" s="7">
        <v>1646.8</v>
      </c>
      <c r="J2111" s="6">
        <v>45981</v>
      </c>
      <c r="K2111">
        <f t="shared" si="32"/>
        <v>44463.6</v>
      </c>
      <c r="L2111" t="str">
        <f>INDEX(Raw_Shipments!L2111:L4539,MATCH(A2111,Raw_Shipments!B2111:B4539))</f>
        <v>No</v>
      </c>
    </row>
    <row r="2112" spans="1:12" x14ac:dyDescent="0.3">
      <c r="A2112" s="2" t="s">
        <v>2261</v>
      </c>
      <c r="B2112" s="3">
        <v>45975</v>
      </c>
      <c r="C2112" s="2" t="s">
        <v>146</v>
      </c>
      <c r="D2112" s="2" t="s">
        <v>25</v>
      </c>
      <c r="E2112" s="2" t="s">
        <v>31</v>
      </c>
      <c r="F2112" s="2" t="s">
        <v>32</v>
      </c>
      <c r="G2112" s="2" t="s">
        <v>33</v>
      </c>
      <c r="H2112" s="2">
        <v>43</v>
      </c>
      <c r="I2112" s="4">
        <v>689</v>
      </c>
      <c r="J2112" s="3">
        <v>45984</v>
      </c>
      <c r="K2112">
        <f t="shared" si="32"/>
        <v>29627</v>
      </c>
      <c r="L2112" t="str">
        <f>INDEX(Raw_Shipments!L2112:L4540,MATCH(A2112,Raw_Shipments!B2112:B4540))</f>
        <v>Yes</v>
      </c>
    </row>
    <row r="2113" spans="1:12" x14ac:dyDescent="0.3">
      <c r="A2113" s="5" t="s">
        <v>2262</v>
      </c>
      <c r="B2113" s="6">
        <v>45975</v>
      </c>
      <c r="C2113" s="5" t="s">
        <v>268</v>
      </c>
      <c r="D2113" s="5" t="s">
        <v>25</v>
      </c>
      <c r="E2113" s="5" t="s">
        <v>46</v>
      </c>
      <c r="F2113" s="5" t="s">
        <v>47</v>
      </c>
      <c r="G2113" s="5" t="s">
        <v>42</v>
      </c>
      <c r="H2113" s="5">
        <v>6</v>
      </c>
      <c r="I2113" s="7">
        <v>1833.14</v>
      </c>
      <c r="J2113" s="6">
        <v>45983</v>
      </c>
      <c r="K2113">
        <f t="shared" si="32"/>
        <v>10998.84</v>
      </c>
      <c r="L2113" t="str">
        <f>INDEX(Raw_Shipments!L2113:L4541,MATCH(A2113,Raw_Shipments!B2113:B4541))</f>
        <v>No</v>
      </c>
    </row>
    <row r="2114" spans="1:12" x14ac:dyDescent="0.3">
      <c r="A2114" s="2" t="s">
        <v>2263</v>
      </c>
      <c r="B2114" s="3">
        <v>45976</v>
      </c>
      <c r="C2114" s="2" t="s">
        <v>109</v>
      </c>
      <c r="D2114" s="2" t="s">
        <v>25</v>
      </c>
      <c r="E2114" s="2" t="s">
        <v>62</v>
      </c>
      <c r="F2114" s="2" t="s">
        <v>63</v>
      </c>
      <c r="G2114" s="2" t="s">
        <v>55</v>
      </c>
      <c r="H2114" s="2">
        <v>74</v>
      </c>
      <c r="I2114" s="4">
        <v>2555.2199999999998</v>
      </c>
      <c r="J2114" s="3">
        <v>45980</v>
      </c>
      <c r="K2114">
        <f t="shared" si="32"/>
        <v>189086.28</v>
      </c>
      <c r="L2114" t="str">
        <f>INDEX(Raw_Shipments!L2114:L4542,MATCH(A2114,Raw_Shipments!B2114:B4542))</f>
        <v>No</v>
      </c>
    </row>
    <row r="2115" spans="1:12" x14ac:dyDescent="0.3">
      <c r="A2115" s="5" t="s">
        <v>2264</v>
      </c>
      <c r="B2115" s="6">
        <v>45976</v>
      </c>
      <c r="C2115" s="5" t="s">
        <v>150</v>
      </c>
      <c r="D2115" s="5" t="s">
        <v>45</v>
      </c>
      <c r="E2115" s="5" t="s">
        <v>15</v>
      </c>
      <c r="F2115" s="5" t="s">
        <v>16</v>
      </c>
      <c r="G2115" s="5" t="s">
        <v>17</v>
      </c>
      <c r="H2115" s="5">
        <v>10</v>
      </c>
      <c r="I2115" s="7">
        <v>183.06</v>
      </c>
      <c r="J2115" s="6">
        <v>45981</v>
      </c>
      <c r="K2115">
        <f t="shared" ref="K2115:K2178" si="33">I2115*H2115</f>
        <v>1830.6</v>
      </c>
      <c r="L2115" t="str">
        <f>INDEX(Raw_Shipments!L2115:L4543,MATCH(A2115,Raw_Shipments!B2115:B4543))</f>
        <v>No</v>
      </c>
    </row>
    <row r="2116" spans="1:12" x14ac:dyDescent="0.3">
      <c r="A2116" s="2" t="s">
        <v>2265</v>
      </c>
      <c r="B2116" s="3">
        <v>45976</v>
      </c>
      <c r="C2116" s="2" t="s">
        <v>139</v>
      </c>
      <c r="D2116" s="2" t="s">
        <v>45</v>
      </c>
      <c r="E2116" s="2" t="s">
        <v>20</v>
      </c>
      <c r="F2116" s="2" t="s">
        <v>21</v>
      </c>
      <c r="G2116" s="2" t="s">
        <v>22</v>
      </c>
      <c r="H2116" s="2">
        <v>18</v>
      </c>
      <c r="I2116" s="4">
        <v>2108.56</v>
      </c>
      <c r="J2116" s="3">
        <v>45982</v>
      </c>
      <c r="K2116">
        <f t="shared" si="33"/>
        <v>37954.080000000002</v>
      </c>
      <c r="L2116" t="str">
        <f>INDEX(Raw_Shipments!L2116:L4544,MATCH(A2116,Raw_Shipments!B2116:B4544))</f>
        <v>Yes</v>
      </c>
    </row>
    <row r="2117" spans="1:12" x14ac:dyDescent="0.3">
      <c r="A2117" s="5" t="s">
        <v>2266</v>
      </c>
      <c r="B2117" s="6">
        <v>45976</v>
      </c>
      <c r="C2117" s="5" t="s">
        <v>442</v>
      </c>
      <c r="D2117" s="5" t="s">
        <v>25</v>
      </c>
      <c r="E2117" s="5" t="s">
        <v>26</v>
      </c>
      <c r="F2117" s="5" t="s">
        <v>27</v>
      </c>
      <c r="G2117" s="5" t="s">
        <v>22</v>
      </c>
      <c r="H2117" s="5">
        <v>27</v>
      </c>
      <c r="I2117" s="7">
        <v>1646.8</v>
      </c>
      <c r="J2117" s="6">
        <v>45979</v>
      </c>
      <c r="K2117">
        <f t="shared" si="33"/>
        <v>44463.6</v>
      </c>
      <c r="L2117" t="str">
        <f>INDEX(Raw_Shipments!L2117:L4545,MATCH(A2117,Raw_Shipments!B2117:B4545))</f>
        <v>No</v>
      </c>
    </row>
    <row r="2118" spans="1:12" x14ac:dyDescent="0.3">
      <c r="A2118" s="2" t="s">
        <v>2267</v>
      </c>
      <c r="B2118" s="3">
        <v>45976</v>
      </c>
      <c r="C2118" s="2" t="s">
        <v>447</v>
      </c>
      <c r="D2118" s="2" t="s">
        <v>25</v>
      </c>
      <c r="E2118" s="2" t="s">
        <v>86</v>
      </c>
      <c r="F2118" s="2" t="s">
        <v>87</v>
      </c>
      <c r="G2118" s="2" t="s">
        <v>33</v>
      </c>
      <c r="H2118" s="2">
        <v>16</v>
      </c>
      <c r="I2118" s="4">
        <v>815.88</v>
      </c>
      <c r="J2118" s="3">
        <v>45986</v>
      </c>
      <c r="K2118">
        <f t="shared" si="33"/>
        <v>13054.08</v>
      </c>
      <c r="L2118" t="str">
        <f>INDEX(Raw_Shipments!L2118:L4546,MATCH(A2118,Raw_Shipments!B2118:B4546))</f>
        <v>Yes</v>
      </c>
    </row>
    <row r="2119" spans="1:12" x14ac:dyDescent="0.3">
      <c r="A2119" s="5" t="s">
        <v>2268</v>
      </c>
      <c r="B2119" s="6">
        <v>45976</v>
      </c>
      <c r="C2119" s="5" t="s">
        <v>71</v>
      </c>
      <c r="D2119" s="5" t="s">
        <v>14</v>
      </c>
      <c r="E2119" s="5" t="s">
        <v>46</v>
      </c>
      <c r="F2119" s="5" t="s">
        <v>47</v>
      </c>
      <c r="G2119" s="5" t="s">
        <v>42</v>
      </c>
      <c r="H2119" s="5">
        <v>4</v>
      </c>
      <c r="I2119" s="7">
        <v>1833.14</v>
      </c>
      <c r="J2119" s="6">
        <v>45980</v>
      </c>
      <c r="K2119">
        <f t="shared" si="33"/>
        <v>7332.56</v>
      </c>
      <c r="L2119" t="str">
        <f>INDEX(Raw_Shipments!L2119:L4547,MATCH(A2119,Raw_Shipments!B2119:B4547))</f>
        <v>No</v>
      </c>
    </row>
    <row r="2120" spans="1:12" x14ac:dyDescent="0.3">
      <c r="A2120" s="2" t="s">
        <v>2269</v>
      </c>
      <c r="B2120" s="3">
        <v>45976</v>
      </c>
      <c r="C2120" s="2" t="s">
        <v>91</v>
      </c>
      <c r="D2120" s="2" t="s">
        <v>45</v>
      </c>
      <c r="E2120" s="2" t="s">
        <v>50</v>
      </c>
      <c r="F2120" s="2" t="s">
        <v>51</v>
      </c>
      <c r="G2120" s="2" t="s">
        <v>42</v>
      </c>
      <c r="H2120" s="2">
        <v>11</v>
      </c>
      <c r="I2120" s="4">
        <v>1952.28</v>
      </c>
      <c r="J2120" s="3">
        <v>45980</v>
      </c>
      <c r="K2120">
        <f t="shared" si="33"/>
        <v>21475.079999999998</v>
      </c>
      <c r="L2120" t="str">
        <f>INDEX(Raw_Shipments!L2120:L4548,MATCH(A2120,Raw_Shipments!B2120:B4548))</f>
        <v>No</v>
      </c>
    </row>
    <row r="2121" spans="1:12" x14ac:dyDescent="0.3">
      <c r="A2121" s="5" t="s">
        <v>2270</v>
      </c>
      <c r="B2121" s="6">
        <v>45977</v>
      </c>
      <c r="C2121" s="5" t="s">
        <v>131</v>
      </c>
      <c r="D2121" s="5" t="s">
        <v>45</v>
      </c>
      <c r="E2121" s="5" t="s">
        <v>53</v>
      </c>
      <c r="F2121" s="5" t="s">
        <v>54</v>
      </c>
      <c r="G2121" s="5" t="s">
        <v>55</v>
      </c>
      <c r="H2121" s="5">
        <v>35</v>
      </c>
      <c r="I2121" s="7">
        <v>2055.9</v>
      </c>
      <c r="J2121" s="6">
        <v>45983</v>
      </c>
      <c r="K2121">
        <f t="shared" si="33"/>
        <v>71956.5</v>
      </c>
      <c r="L2121" t="str">
        <f>INDEX(Raw_Shipments!L2121:L4549,MATCH(A2121,Raw_Shipments!B2121:B4549))</f>
        <v>No</v>
      </c>
    </row>
    <row r="2122" spans="1:12" x14ac:dyDescent="0.3">
      <c r="A2122" s="2" t="s">
        <v>2271</v>
      </c>
      <c r="B2122" s="3">
        <v>45977</v>
      </c>
      <c r="C2122" s="2" t="s">
        <v>172</v>
      </c>
      <c r="D2122" s="2" t="s">
        <v>30</v>
      </c>
      <c r="E2122" s="2" t="s">
        <v>62</v>
      </c>
      <c r="F2122" s="2" t="s">
        <v>63</v>
      </c>
      <c r="G2122" s="2" t="s">
        <v>55</v>
      </c>
      <c r="H2122" s="2">
        <v>37</v>
      </c>
      <c r="I2122" s="4">
        <v>2555.2199999999998</v>
      </c>
      <c r="J2122" s="3">
        <v>45983</v>
      </c>
      <c r="K2122">
        <f t="shared" si="33"/>
        <v>94543.14</v>
      </c>
      <c r="L2122" t="str">
        <f>INDEX(Raw_Shipments!L2122:L4550,MATCH(A2122,Raw_Shipments!B2122:B4550))</f>
        <v>No</v>
      </c>
    </row>
    <row r="2123" spans="1:12" x14ac:dyDescent="0.3">
      <c r="A2123" s="5" t="s">
        <v>2272</v>
      </c>
      <c r="B2123" s="6">
        <v>45977</v>
      </c>
      <c r="C2123" s="5" t="s">
        <v>272</v>
      </c>
      <c r="D2123" s="5" t="s">
        <v>45</v>
      </c>
      <c r="E2123" s="5" t="s">
        <v>97</v>
      </c>
      <c r="F2123" s="5" t="s">
        <v>98</v>
      </c>
      <c r="G2123" s="5" t="s">
        <v>17</v>
      </c>
      <c r="H2123" s="5">
        <v>28</v>
      </c>
      <c r="I2123" s="7">
        <v>1110.6500000000001</v>
      </c>
      <c r="J2123" s="6">
        <v>45984</v>
      </c>
      <c r="K2123">
        <f t="shared" si="33"/>
        <v>31098.200000000004</v>
      </c>
      <c r="L2123" t="str">
        <f>INDEX(Raw_Shipments!L2123:L4551,MATCH(A2123,Raw_Shipments!B2123:B4551))</f>
        <v>Yes</v>
      </c>
    </row>
    <row r="2124" spans="1:12" x14ac:dyDescent="0.3">
      <c r="A2124" s="2" t="s">
        <v>2273</v>
      </c>
      <c r="B2124" s="3">
        <v>45977</v>
      </c>
      <c r="C2124" s="2" t="s">
        <v>77</v>
      </c>
      <c r="D2124" s="2" t="s">
        <v>14</v>
      </c>
      <c r="E2124" s="2" t="s">
        <v>15</v>
      </c>
      <c r="F2124" s="2" t="s">
        <v>16</v>
      </c>
      <c r="G2124" s="2" t="s">
        <v>17</v>
      </c>
      <c r="H2124" s="2">
        <v>15</v>
      </c>
      <c r="I2124" s="4">
        <v>183.06</v>
      </c>
      <c r="J2124" s="3">
        <v>45983</v>
      </c>
      <c r="K2124">
        <f t="shared" si="33"/>
        <v>2745.9</v>
      </c>
      <c r="L2124" t="str">
        <f>INDEX(Raw_Shipments!L2124:L4552,MATCH(A2124,Raw_Shipments!B2124:B4552))</f>
        <v>No</v>
      </c>
    </row>
    <row r="2125" spans="1:12" x14ac:dyDescent="0.3">
      <c r="A2125" s="5" t="s">
        <v>2274</v>
      </c>
      <c r="B2125" s="6">
        <v>45977</v>
      </c>
      <c r="C2125" s="5" t="s">
        <v>431</v>
      </c>
      <c r="D2125" s="5" t="s">
        <v>45</v>
      </c>
      <c r="E2125" s="5" t="s">
        <v>26</v>
      </c>
      <c r="F2125" s="5" t="s">
        <v>27</v>
      </c>
      <c r="G2125" s="5" t="s">
        <v>22</v>
      </c>
      <c r="H2125" s="5">
        <v>24</v>
      </c>
      <c r="I2125" s="7">
        <v>1646.8</v>
      </c>
      <c r="J2125" s="6">
        <v>45981</v>
      </c>
      <c r="K2125">
        <f t="shared" si="33"/>
        <v>39523.199999999997</v>
      </c>
      <c r="L2125" t="str">
        <f>INDEX(Raw_Shipments!L2125:L4553,MATCH(A2125,Raw_Shipments!B2125:B4553))</f>
        <v>No</v>
      </c>
    </row>
    <row r="2126" spans="1:12" x14ac:dyDescent="0.3">
      <c r="A2126" s="2" t="s">
        <v>2275</v>
      </c>
      <c r="B2126" s="3">
        <v>45977</v>
      </c>
      <c r="C2126" s="2" t="s">
        <v>96</v>
      </c>
      <c r="D2126" s="2" t="s">
        <v>30</v>
      </c>
      <c r="E2126" s="2" t="s">
        <v>31</v>
      </c>
      <c r="F2126" s="2" t="s">
        <v>32</v>
      </c>
      <c r="G2126" s="2" t="s">
        <v>33</v>
      </c>
      <c r="H2126" s="2">
        <v>64</v>
      </c>
      <c r="I2126" s="4">
        <v>689</v>
      </c>
      <c r="J2126" s="3">
        <v>45983</v>
      </c>
      <c r="K2126">
        <f t="shared" si="33"/>
        <v>44096</v>
      </c>
      <c r="L2126" t="str">
        <f>INDEX(Raw_Shipments!L2126:L4554,MATCH(A2126,Raw_Shipments!B2126:B4554))</f>
        <v>No</v>
      </c>
    </row>
    <row r="2127" spans="1:12" x14ac:dyDescent="0.3">
      <c r="A2127" s="5" t="s">
        <v>2276</v>
      </c>
      <c r="B2127" s="6">
        <v>45977</v>
      </c>
      <c r="C2127" s="5" t="s">
        <v>93</v>
      </c>
      <c r="D2127" s="5" t="s">
        <v>25</v>
      </c>
      <c r="E2127" s="5" t="s">
        <v>50</v>
      </c>
      <c r="F2127" s="5" t="s">
        <v>51</v>
      </c>
      <c r="G2127" s="5" t="s">
        <v>42</v>
      </c>
      <c r="H2127" s="5">
        <v>6</v>
      </c>
      <c r="I2127" s="7">
        <v>1952.28</v>
      </c>
      <c r="J2127" s="6">
        <v>45986</v>
      </c>
      <c r="K2127">
        <f t="shared" si="33"/>
        <v>11713.68</v>
      </c>
      <c r="L2127" t="str">
        <f>INDEX(Raw_Shipments!L2127:L4555,MATCH(A2127,Raw_Shipments!B2127:B4555))</f>
        <v>No</v>
      </c>
    </row>
    <row r="2128" spans="1:12" x14ac:dyDescent="0.3">
      <c r="A2128" s="2" t="s">
        <v>2277</v>
      </c>
      <c r="B2128" s="3">
        <v>45978</v>
      </c>
      <c r="C2128" s="2" t="s">
        <v>337</v>
      </c>
      <c r="D2128" s="2" t="s">
        <v>25</v>
      </c>
      <c r="E2128" s="2" t="s">
        <v>97</v>
      </c>
      <c r="F2128" s="2" t="s">
        <v>98</v>
      </c>
      <c r="G2128" s="2" t="s">
        <v>17</v>
      </c>
      <c r="H2128" s="2">
        <v>34</v>
      </c>
      <c r="I2128" s="4">
        <v>1110.6500000000001</v>
      </c>
      <c r="J2128" s="3">
        <v>45982</v>
      </c>
      <c r="K2128">
        <f t="shared" si="33"/>
        <v>37762.100000000006</v>
      </c>
      <c r="L2128" t="str">
        <f>INDEX(Raw_Shipments!L2128:L4556,MATCH(A2128,Raw_Shipments!B2128:B4556))</f>
        <v>No</v>
      </c>
    </row>
    <row r="2129" spans="1:12" x14ac:dyDescent="0.3">
      <c r="A2129" s="5" t="s">
        <v>2278</v>
      </c>
      <c r="B2129" s="6">
        <v>45978</v>
      </c>
      <c r="C2129" s="5" t="s">
        <v>510</v>
      </c>
      <c r="D2129" s="5" t="s">
        <v>30</v>
      </c>
      <c r="E2129" s="5" t="s">
        <v>20</v>
      </c>
      <c r="F2129" s="5" t="s">
        <v>21</v>
      </c>
      <c r="G2129" s="5" t="s">
        <v>22</v>
      </c>
      <c r="H2129" s="5">
        <v>15</v>
      </c>
      <c r="I2129" s="7">
        <v>2108.56</v>
      </c>
      <c r="J2129" s="6">
        <v>45987</v>
      </c>
      <c r="K2129">
        <f t="shared" si="33"/>
        <v>31628.399999999998</v>
      </c>
      <c r="L2129" t="str">
        <f>INDEX(Raw_Shipments!L2129:L4557,MATCH(A2129,Raw_Shipments!B2129:B4557))</f>
        <v>Yes</v>
      </c>
    </row>
    <row r="2130" spans="1:12" x14ac:dyDescent="0.3">
      <c r="A2130" s="2" t="s">
        <v>2279</v>
      </c>
      <c r="B2130" s="3">
        <v>45978</v>
      </c>
      <c r="C2130" s="2" t="s">
        <v>431</v>
      </c>
      <c r="D2130" s="2" t="s">
        <v>45</v>
      </c>
      <c r="E2130" s="2" t="s">
        <v>119</v>
      </c>
      <c r="F2130" s="2" t="s">
        <v>120</v>
      </c>
      <c r="G2130" s="2" t="s">
        <v>22</v>
      </c>
      <c r="H2130" s="2">
        <v>50</v>
      </c>
      <c r="I2130" s="4">
        <v>912.26</v>
      </c>
      <c r="J2130" s="3">
        <v>45986</v>
      </c>
      <c r="K2130">
        <f t="shared" si="33"/>
        <v>45613</v>
      </c>
      <c r="L2130" t="str">
        <f>INDEX(Raw_Shipments!L2130:L4558,MATCH(A2130,Raw_Shipments!B2130:B4558))</f>
        <v>No</v>
      </c>
    </row>
    <row r="2131" spans="1:12" x14ac:dyDescent="0.3">
      <c r="A2131" s="5" t="s">
        <v>2280</v>
      </c>
      <c r="B2131" s="6">
        <v>45978</v>
      </c>
      <c r="C2131" s="5" t="s">
        <v>89</v>
      </c>
      <c r="D2131" s="5" t="s">
        <v>30</v>
      </c>
      <c r="E2131" s="5" t="s">
        <v>36</v>
      </c>
      <c r="F2131" s="5" t="s">
        <v>37</v>
      </c>
      <c r="G2131" s="5" t="s">
        <v>33</v>
      </c>
      <c r="H2131" s="5">
        <v>41</v>
      </c>
      <c r="I2131" s="7">
        <v>1064.79</v>
      </c>
      <c r="J2131" s="6">
        <v>45986</v>
      </c>
      <c r="K2131">
        <f t="shared" si="33"/>
        <v>43656.39</v>
      </c>
      <c r="L2131" t="str">
        <f>INDEX(Raw_Shipments!L2131:L4559,MATCH(A2131,Raw_Shipments!B2131:B4559))</f>
        <v>Yes</v>
      </c>
    </row>
    <row r="2132" spans="1:12" x14ac:dyDescent="0.3">
      <c r="A2132" s="2" t="s">
        <v>2281</v>
      </c>
      <c r="B2132" s="3">
        <v>45978</v>
      </c>
      <c r="C2132" s="2" t="s">
        <v>113</v>
      </c>
      <c r="D2132" s="2" t="s">
        <v>14</v>
      </c>
      <c r="E2132" s="2" t="s">
        <v>86</v>
      </c>
      <c r="F2132" s="2" t="s">
        <v>87</v>
      </c>
      <c r="G2132" s="2" t="s">
        <v>33</v>
      </c>
      <c r="H2132" s="2">
        <v>28</v>
      </c>
      <c r="I2132" s="4">
        <v>815.88</v>
      </c>
      <c r="J2132" s="3">
        <v>45984</v>
      </c>
      <c r="K2132">
        <f t="shared" si="33"/>
        <v>22844.639999999999</v>
      </c>
      <c r="L2132" t="str">
        <f>INDEX(Raw_Shipments!L2132:L4560,MATCH(A2132,Raw_Shipments!B2132:B4560))</f>
        <v>No</v>
      </c>
    </row>
    <row r="2133" spans="1:12" x14ac:dyDescent="0.3">
      <c r="A2133" s="5" t="s">
        <v>2282</v>
      </c>
      <c r="B2133" s="6">
        <v>45978</v>
      </c>
      <c r="C2133" s="5" t="s">
        <v>198</v>
      </c>
      <c r="D2133" s="5" t="s">
        <v>30</v>
      </c>
      <c r="E2133" s="5" t="s">
        <v>40</v>
      </c>
      <c r="F2133" s="5" t="s">
        <v>41</v>
      </c>
      <c r="G2133" s="5" t="s">
        <v>42</v>
      </c>
      <c r="H2133" s="5">
        <v>44</v>
      </c>
      <c r="I2133" s="7">
        <v>2445.11</v>
      </c>
      <c r="J2133" s="6">
        <v>45986</v>
      </c>
      <c r="K2133">
        <f t="shared" si="33"/>
        <v>107584.84000000001</v>
      </c>
      <c r="L2133" t="str">
        <f>INDEX(Raw_Shipments!L2133:L4561,MATCH(A2133,Raw_Shipments!B2133:B4561))</f>
        <v>No</v>
      </c>
    </row>
    <row r="2134" spans="1:12" x14ac:dyDescent="0.3">
      <c r="A2134" s="2" t="s">
        <v>2283</v>
      </c>
      <c r="B2134" s="3">
        <v>45978</v>
      </c>
      <c r="C2134" s="2" t="s">
        <v>156</v>
      </c>
      <c r="D2134" s="2" t="s">
        <v>30</v>
      </c>
      <c r="E2134" s="2" t="s">
        <v>50</v>
      </c>
      <c r="F2134" s="2" t="s">
        <v>51</v>
      </c>
      <c r="G2134" s="2" t="s">
        <v>42</v>
      </c>
      <c r="H2134" s="2">
        <v>13</v>
      </c>
      <c r="I2134" s="4">
        <v>1952.28</v>
      </c>
      <c r="J2134" s="3">
        <v>45987</v>
      </c>
      <c r="K2134">
        <f t="shared" si="33"/>
        <v>25379.64</v>
      </c>
      <c r="L2134" t="str">
        <f>INDEX(Raw_Shipments!L2134:L4562,MATCH(A2134,Raw_Shipments!B2134:B4562))</f>
        <v>No</v>
      </c>
    </row>
    <row r="2135" spans="1:12" x14ac:dyDescent="0.3">
      <c r="A2135" s="5" t="s">
        <v>2284</v>
      </c>
      <c r="B2135" s="6">
        <v>45979</v>
      </c>
      <c r="C2135" s="5" t="s">
        <v>260</v>
      </c>
      <c r="D2135" s="5" t="s">
        <v>45</v>
      </c>
      <c r="E2135" s="5" t="s">
        <v>58</v>
      </c>
      <c r="F2135" s="5" t="s">
        <v>59</v>
      </c>
      <c r="G2135" s="5" t="s">
        <v>55</v>
      </c>
      <c r="H2135" s="5">
        <v>4</v>
      </c>
      <c r="I2135" s="7">
        <v>1695.1</v>
      </c>
      <c r="J2135" s="6">
        <v>45988</v>
      </c>
      <c r="K2135">
        <f t="shared" si="33"/>
        <v>6780.4</v>
      </c>
      <c r="L2135" t="str">
        <f>INDEX(Raw_Shipments!L2135:L4563,MATCH(A2135,Raw_Shipments!B2135:B4563))</f>
        <v>No</v>
      </c>
    </row>
    <row r="2136" spans="1:12" x14ac:dyDescent="0.3">
      <c r="A2136" s="2" t="s">
        <v>2285</v>
      </c>
      <c r="B2136" s="3">
        <v>45979</v>
      </c>
      <c r="C2136" s="2" t="s">
        <v>170</v>
      </c>
      <c r="D2136" s="2" t="s">
        <v>30</v>
      </c>
      <c r="E2136" s="2" t="s">
        <v>97</v>
      </c>
      <c r="F2136" s="2" t="s">
        <v>98</v>
      </c>
      <c r="G2136" s="2" t="s">
        <v>17</v>
      </c>
      <c r="H2136" s="2">
        <v>38</v>
      </c>
      <c r="I2136" s="4">
        <v>1110.6500000000001</v>
      </c>
      <c r="J2136" s="3">
        <v>45987</v>
      </c>
      <c r="K2136">
        <f t="shared" si="33"/>
        <v>42204.700000000004</v>
      </c>
      <c r="L2136" t="str">
        <f>INDEX(Raw_Shipments!L2136:L4564,MATCH(A2136,Raw_Shipments!B2136:B4564))</f>
        <v>No</v>
      </c>
    </row>
    <row r="2137" spans="1:12" x14ac:dyDescent="0.3">
      <c r="A2137" s="5" t="s">
        <v>2286</v>
      </c>
      <c r="B2137" s="6">
        <v>45979</v>
      </c>
      <c r="C2137" s="5" t="s">
        <v>456</v>
      </c>
      <c r="D2137" s="5" t="s">
        <v>45</v>
      </c>
      <c r="E2137" s="5" t="s">
        <v>119</v>
      </c>
      <c r="F2137" s="5" t="s">
        <v>120</v>
      </c>
      <c r="G2137" s="5" t="s">
        <v>22</v>
      </c>
      <c r="H2137" s="5">
        <v>43</v>
      </c>
      <c r="I2137" s="7">
        <v>912.26</v>
      </c>
      <c r="J2137" s="6">
        <v>45984</v>
      </c>
      <c r="K2137">
        <f t="shared" si="33"/>
        <v>39227.18</v>
      </c>
      <c r="L2137" t="str">
        <f>INDEX(Raw_Shipments!L2137:L4565,MATCH(A2137,Raw_Shipments!B2137:B4565))</f>
        <v>No</v>
      </c>
    </row>
    <row r="2138" spans="1:12" x14ac:dyDescent="0.3">
      <c r="A2138" s="2" t="s">
        <v>2287</v>
      </c>
      <c r="B2138" s="3">
        <v>45979</v>
      </c>
      <c r="C2138" s="2" t="s">
        <v>19</v>
      </c>
      <c r="D2138" s="2" t="s">
        <v>30</v>
      </c>
      <c r="E2138" s="2" t="s">
        <v>26</v>
      </c>
      <c r="F2138" s="2" t="s">
        <v>27</v>
      </c>
      <c r="G2138" s="2" t="s">
        <v>22</v>
      </c>
      <c r="H2138" s="2">
        <v>17</v>
      </c>
      <c r="I2138" s="4">
        <v>1646.8</v>
      </c>
      <c r="J2138" s="3">
        <v>45985</v>
      </c>
      <c r="K2138">
        <f t="shared" si="33"/>
        <v>27995.599999999999</v>
      </c>
      <c r="L2138" t="str">
        <f>INDEX(Raw_Shipments!L2138:L4566,MATCH(A2138,Raw_Shipments!B2138:B4566))</f>
        <v>No</v>
      </c>
    </row>
    <row r="2139" spans="1:12" x14ac:dyDescent="0.3">
      <c r="A2139" s="5" t="s">
        <v>2288</v>
      </c>
      <c r="B2139" s="6">
        <v>45979</v>
      </c>
      <c r="C2139" s="5" t="s">
        <v>217</v>
      </c>
      <c r="D2139" s="5" t="s">
        <v>25</v>
      </c>
      <c r="E2139" s="5" t="s">
        <v>31</v>
      </c>
      <c r="F2139" s="5" t="s">
        <v>32</v>
      </c>
      <c r="G2139" s="5" t="s">
        <v>33</v>
      </c>
      <c r="H2139" s="5">
        <v>50</v>
      </c>
      <c r="I2139" s="7">
        <v>689</v>
      </c>
      <c r="J2139" s="6">
        <v>45986</v>
      </c>
      <c r="K2139">
        <f t="shared" si="33"/>
        <v>34450</v>
      </c>
      <c r="L2139" t="str">
        <f>INDEX(Raw_Shipments!L2139:L4567,MATCH(A2139,Raw_Shipments!B2139:B4567))</f>
        <v>No</v>
      </c>
    </row>
    <row r="2140" spans="1:12" x14ac:dyDescent="0.3">
      <c r="A2140" s="2" t="s">
        <v>2289</v>
      </c>
      <c r="B2140" s="3">
        <v>45979</v>
      </c>
      <c r="C2140" s="2" t="s">
        <v>102</v>
      </c>
      <c r="D2140" s="2" t="s">
        <v>14</v>
      </c>
      <c r="E2140" s="2" t="s">
        <v>36</v>
      </c>
      <c r="F2140" s="2" t="s">
        <v>37</v>
      </c>
      <c r="G2140" s="2" t="s">
        <v>33</v>
      </c>
      <c r="H2140" s="2">
        <v>21</v>
      </c>
      <c r="I2140" s="4">
        <v>1064.79</v>
      </c>
      <c r="J2140" s="3">
        <v>45988</v>
      </c>
      <c r="K2140">
        <f t="shared" si="33"/>
        <v>22360.59</v>
      </c>
      <c r="L2140" t="str">
        <f>INDEX(Raw_Shipments!L2140:L4568,MATCH(A2140,Raw_Shipments!B2140:B4568))</f>
        <v>No</v>
      </c>
    </row>
    <row r="2141" spans="1:12" x14ac:dyDescent="0.3">
      <c r="A2141" s="5" t="s">
        <v>2290</v>
      </c>
      <c r="B2141" s="6">
        <v>45979</v>
      </c>
      <c r="C2141" s="5" t="s">
        <v>222</v>
      </c>
      <c r="D2141" s="5" t="s">
        <v>25</v>
      </c>
      <c r="E2141" s="5" t="s">
        <v>46</v>
      </c>
      <c r="F2141" s="5" t="s">
        <v>47</v>
      </c>
      <c r="G2141" s="5" t="s">
        <v>42</v>
      </c>
      <c r="H2141" s="5">
        <v>8</v>
      </c>
      <c r="I2141" s="7">
        <v>1833.14</v>
      </c>
      <c r="J2141" s="6">
        <v>45983</v>
      </c>
      <c r="K2141">
        <f t="shared" si="33"/>
        <v>14665.12</v>
      </c>
      <c r="L2141" t="str">
        <f>INDEX(Raw_Shipments!L2141:L4569,MATCH(A2141,Raw_Shipments!B2141:B4569))</f>
        <v>No</v>
      </c>
    </row>
    <row r="2142" spans="1:12" x14ac:dyDescent="0.3">
      <c r="A2142" s="2" t="s">
        <v>2291</v>
      </c>
      <c r="B2142" s="3">
        <v>45980</v>
      </c>
      <c r="C2142" s="2" t="s">
        <v>260</v>
      </c>
      <c r="D2142" s="2" t="s">
        <v>30</v>
      </c>
      <c r="E2142" s="2" t="s">
        <v>58</v>
      </c>
      <c r="F2142" s="2" t="s">
        <v>59</v>
      </c>
      <c r="G2142" s="2" t="s">
        <v>55</v>
      </c>
      <c r="H2142" s="2">
        <v>13</v>
      </c>
      <c r="I2142" s="4">
        <v>1695.1</v>
      </c>
      <c r="J2142" s="3">
        <v>45986</v>
      </c>
      <c r="K2142">
        <f t="shared" si="33"/>
        <v>22036.3</v>
      </c>
      <c r="L2142" t="str">
        <f>INDEX(Raw_Shipments!L2142:L4570,MATCH(A2142,Raw_Shipments!B2142:B4570))</f>
        <v>No</v>
      </c>
    </row>
    <row r="2143" spans="1:12" x14ac:dyDescent="0.3">
      <c r="A2143" s="5" t="s">
        <v>2292</v>
      </c>
      <c r="B2143" s="6">
        <v>45980</v>
      </c>
      <c r="C2143" s="5" t="s">
        <v>447</v>
      </c>
      <c r="D2143" s="5" t="s">
        <v>14</v>
      </c>
      <c r="E2143" s="5" t="s">
        <v>62</v>
      </c>
      <c r="F2143" s="5" t="s">
        <v>63</v>
      </c>
      <c r="G2143" s="5" t="s">
        <v>55</v>
      </c>
      <c r="H2143" s="5">
        <v>42</v>
      </c>
      <c r="I2143" s="7">
        <v>2555.2199999999998</v>
      </c>
      <c r="J2143" s="6">
        <v>45987</v>
      </c>
      <c r="K2143">
        <f t="shared" si="33"/>
        <v>107319.23999999999</v>
      </c>
      <c r="L2143" t="str">
        <f>INDEX(Raw_Shipments!L2143:L4571,MATCH(A2143,Raw_Shipments!B2143:B4571))</f>
        <v>No</v>
      </c>
    </row>
    <row r="2144" spans="1:12" x14ac:dyDescent="0.3">
      <c r="A2144" s="2" t="s">
        <v>2293</v>
      </c>
      <c r="B2144" s="3">
        <v>45980</v>
      </c>
      <c r="C2144" s="2" t="s">
        <v>122</v>
      </c>
      <c r="D2144" s="2" t="s">
        <v>14</v>
      </c>
      <c r="E2144" s="2" t="s">
        <v>66</v>
      </c>
      <c r="F2144" s="2" t="s">
        <v>67</v>
      </c>
      <c r="G2144" s="2" t="s">
        <v>17</v>
      </c>
      <c r="H2144" s="2">
        <v>14</v>
      </c>
      <c r="I2144" s="4">
        <v>850.8</v>
      </c>
      <c r="J2144" s="3">
        <v>45984</v>
      </c>
      <c r="K2144">
        <f t="shared" si="33"/>
        <v>11911.199999999999</v>
      </c>
      <c r="L2144" t="str">
        <f>INDEX(Raw_Shipments!L2144:L4572,MATCH(A2144,Raw_Shipments!B2144:B4572))</f>
        <v>No</v>
      </c>
    </row>
    <row r="2145" spans="1:12" x14ac:dyDescent="0.3">
      <c r="A2145" s="5" t="s">
        <v>2294</v>
      </c>
      <c r="B2145" s="6">
        <v>45980</v>
      </c>
      <c r="C2145" s="5" t="s">
        <v>363</v>
      </c>
      <c r="D2145" s="5" t="s">
        <v>14</v>
      </c>
      <c r="E2145" s="5" t="s">
        <v>15</v>
      </c>
      <c r="F2145" s="5" t="s">
        <v>16</v>
      </c>
      <c r="G2145" s="5" t="s">
        <v>17</v>
      </c>
      <c r="H2145" s="5">
        <v>25</v>
      </c>
      <c r="I2145" s="7">
        <v>183.06</v>
      </c>
      <c r="J2145" s="6">
        <v>45988</v>
      </c>
      <c r="K2145">
        <f t="shared" si="33"/>
        <v>4576.5</v>
      </c>
      <c r="L2145" t="str">
        <f>INDEX(Raw_Shipments!L2145:L4573,MATCH(A2145,Raw_Shipments!B2145:B4573))</f>
        <v>No</v>
      </c>
    </row>
    <row r="2146" spans="1:12" x14ac:dyDescent="0.3">
      <c r="A2146" s="2" t="s">
        <v>2295</v>
      </c>
      <c r="B2146" s="3">
        <v>45980</v>
      </c>
      <c r="C2146" s="2" t="s">
        <v>83</v>
      </c>
      <c r="D2146" s="2" t="s">
        <v>30</v>
      </c>
      <c r="E2146" s="2" t="s">
        <v>20</v>
      </c>
      <c r="F2146" s="2" t="s">
        <v>21</v>
      </c>
      <c r="G2146" s="2" t="s">
        <v>22</v>
      </c>
      <c r="H2146" s="2">
        <v>19</v>
      </c>
      <c r="I2146" s="4">
        <v>2108.56</v>
      </c>
      <c r="J2146" s="3">
        <v>45990</v>
      </c>
      <c r="K2146">
        <f t="shared" si="33"/>
        <v>40062.639999999999</v>
      </c>
      <c r="L2146" t="str">
        <f>INDEX(Raw_Shipments!L2146:L4574,MATCH(A2146,Raw_Shipments!B2146:B4574))</f>
        <v>Yes</v>
      </c>
    </row>
    <row r="2147" spans="1:12" x14ac:dyDescent="0.3">
      <c r="A2147" s="5" t="s">
        <v>2296</v>
      </c>
      <c r="B2147" s="6">
        <v>45980</v>
      </c>
      <c r="C2147" s="5" t="s">
        <v>363</v>
      </c>
      <c r="D2147" s="5" t="s">
        <v>14</v>
      </c>
      <c r="E2147" s="5" t="s">
        <v>119</v>
      </c>
      <c r="F2147" s="5" t="s">
        <v>120</v>
      </c>
      <c r="G2147" s="5" t="s">
        <v>22</v>
      </c>
      <c r="H2147" s="5">
        <v>49</v>
      </c>
      <c r="I2147" s="7">
        <v>912.26</v>
      </c>
      <c r="J2147" s="6">
        <v>45988</v>
      </c>
      <c r="K2147">
        <f t="shared" si="33"/>
        <v>44700.74</v>
      </c>
      <c r="L2147" t="str">
        <f>INDEX(Raw_Shipments!L2147:L4575,MATCH(A2147,Raw_Shipments!B2147:B4575))</f>
        <v>Yes</v>
      </c>
    </row>
    <row r="2148" spans="1:12" x14ac:dyDescent="0.3">
      <c r="A2148" s="2" t="s">
        <v>2297</v>
      </c>
      <c r="B2148" s="3">
        <v>45980</v>
      </c>
      <c r="C2148" s="2" t="s">
        <v>268</v>
      </c>
      <c r="D2148" s="2" t="s">
        <v>25</v>
      </c>
      <c r="E2148" s="2" t="s">
        <v>46</v>
      </c>
      <c r="F2148" s="2" t="s">
        <v>47</v>
      </c>
      <c r="G2148" s="2" t="s">
        <v>42</v>
      </c>
      <c r="H2148" s="2">
        <v>5</v>
      </c>
      <c r="I2148" s="4">
        <v>1833.14</v>
      </c>
      <c r="J2148" s="3">
        <v>45986</v>
      </c>
      <c r="K2148">
        <f t="shared" si="33"/>
        <v>9165.7000000000007</v>
      </c>
      <c r="L2148" t="str">
        <f>INDEX(Raw_Shipments!L2148:L4576,MATCH(A2148,Raw_Shipments!B2148:B4576))</f>
        <v>No</v>
      </c>
    </row>
    <row r="2149" spans="1:12" x14ac:dyDescent="0.3">
      <c r="A2149" s="5" t="s">
        <v>2298</v>
      </c>
      <c r="B2149" s="6">
        <v>45981</v>
      </c>
      <c r="C2149" s="5" t="s">
        <v>19</v>
      </c>
      <c r="D2149" s="5" t="s">
        <v>25</v>
      </c>
      <c r="E2149" s="5" t="s">
        <v>15</v>
      </c>
      <c r="F2149" s="5" t="s">
        <v>16</v>
      </c>
      <c r="G2149" s="5" t="s">
        <v>17</v>
      </c>
      <c r="H2149" s="5">
        <v>26</v>
      </c>
      <c r="I2149" s="7">
        <v>183.06</v>
      </c>
      <c r="J2149" s="6">
        <v>45991</v>
      </c>
      <c r="K2149">
        <f t="shared" si="33"/>
        <v>4759.5600000000004</v>
      </c>
      <c r="L2149" t="str">
        <f>INDEX(Raw_Shipments!L2149:L4577,MATCH(A2149,Raw_Shipments!B2149:B4577))</f>
        <v>Yes</v>
      </c>
    </row>
    <row r="2150" spans="1:12" x14ac:dyDescent="0.3">
      <c r="A2150" s="2" t="s">
        <v>2299</v>
      </c>
      <c r="B2150" s="3">
        <v>45981</v>
      </c>
      <c r="C2150" s="2" t="s">
        <v>304</v>
      </c>
      <c r="D2150" s="2" t="s">
        <v>30</v>
      </c>
      <c r="E2150" s="2" t="s">
        <v>119</v>
      </c>
      <c r="F2150" s="2" t="s">
        <v>120</v>
      </c>
      <c r="G2150" s="2" t="s">
        <v>22</v>
      </c>
      <c r="H2150" s="2">
        <v>50</v>
      </c>
      <c r="I2150" s="4">
        <v>912.26</v>
      </c>
      <c r="J2150" s="3">
        <v>45985</v>
      </c>
      <c r="K2150">
        <f t="shared" si="33"/>
        <v>45613</v>
      </c>
      <c r="L2150" t="str">
        <f>INDEX(Raw_Shipments!L2150:L4578,MATCH(A2150,Raw_Shipments!B2150:B4578))</f>
        <v>No</v>
      </c>
    </row>
    <row r="2151" spans="1:12" x14ac:dyDescent="0.3">
      <c r="A2151" s="5" t="s">
        <v>2300</v>
      </c>
      <c r="B2151" s="6">
        <v>45981</v>
      </c>
      <c r="C2151" s="5" t="s">
        <v>139</v>
      </c>
      <c r="D2151" s="5" t="s">
        <v>14</v>
      </c>
      <c r="E2151" s="5" t="s">
        <v>40</v>
      </c>
      <c r="F2151" s="5" t="s">
        <v>41</v>
      </c>
      <c r="G2151" s="5" t="s">
        <v>42</v>
      </c>
      <c r="H2151" s="5">
        <v>16</v>
      </c>
      <c r="I2151" s="7">
        <v>2445.11</v>
      </c>
      <c r="J2151" s="6">
        <v>45990</v>
      </c>
      <c r="K2151">
        <f t="shared" si="33"/>
        <v>39121.760000000002</v>
      </c>
      <c r="L2151" t="str">
        <f>INDEX(Raw_Shipments!L2151:L4579,MATCH(A2151,Raw_Shipments!B2151:B4579))</f>
        <v>No</v>
      </c>
    </row>
    <row r="2152" spans="1:12" x14ac:dyDescent="0.3">
      <c r="A2152" s="2" t="s">
        <v>2301</v>
      </c>
      <c r="B2152" s="3">
        <v>45981</v>
      </c>
      <c r="C2152" s="2" t="s">
        <v>220</v>
      </c>
      <c r="D2152" s="2" t="s">
        <v>14</v>
      </c>
      <c r="E2152" s="2" t="s">
        <v>50</v>
      </c>
      <c r="F2152" s="2" t="s">
        <v>51</v>
      </c>
      <c r="G2152" s="2" t="s">
        <v>42</v>
      </c>
      <c r="H2152" s="2">
        <v>15</v>
      </c>
      <c r="I2152" s="4">
        <v>1952.28</v>
      </c>
      <c r="J2152" s="3">
        <v>45984</v>
      </c>
      <c r="K2152">
        <f t="shared" si="33"/>
        <v>29284.2</v>
      </c>
      <c r="L2152" t="str">
        <f>INDEX(Raw_Shipments!L2152:L4580,MATCH(A2152,Raw_Shipments!B2152:B4580))</f>
        <v>No</v>
      </c>
    </row>
    <row r="2153" spans="1:12" x14ac:dyDescent="0.3">
      <c r="A2153" s="5" t="s">
        <v>2302</v>
      </c>
      <c r="B2153" s="6">
        <v>45982</v>
      </c>
      <c r="C2153" s="5" t="s">
        <v>128</v>
      </c>
      <c r="D2153" s="5" t="s">
        <v>25</v>
      </c>
      <c r="E2153" s="5" t="s">
        <v>53</v>
      </c>
      <c r="F2153" s="5" t="s">
        <v>54</v>
      </c>
      <c r="G2153" s="5" t="s">
        <v>55</v>
      </c>
      <c r="H2153" s="5">
        <v>63</v>
      </c>
      <c r="I2153" s="7">
        <v>2055.9</v>
      </c>
      <c r="J2153" s="6">
        <v>45985</v>
      </c>
      <c r="K2153">
        <f t="shared" si="33"/>
        <v>129521.70000000001</v>
      </c>
      <c r="L2153" t="str">
        <f>INDEX(Raw_Shipments!L2153:L4581,MATCH(A2153,Raw_Shipments!B2153:B4581))</f>
        <v>No</v>
      </c>
    </row>
    <row r="2154" spans="1:12" x14ac:dyDescent="0.3">
      <c r="A2154" s="2" t="s">
        <v>2303</v>
      </c>
      <c r="B2154" s="3">
        <v>45982</v>
      </c>
      <c r="C2154" s="2" t="s">
        <v>312</v>
      </c>
      <c r="D2154" s="2" t="s">
        <v>14</v>
      </c>
      <c r="E2154" s="2" t="s">
        <v>66</v>
      </c>
      <c r="F2154" s="2" t="s">
        <v>67</v>
      </c>
      <c r="G2154" s="2" t="s">
        <v>17</v>
      </c>
      <c r="H2154" s="2">
        <v>16</v>
      </c>
      <c r="I2154" s="4">
        <v>850.8</v>
      </c>
      <c r="J2154" s="3">
        <v>45990</v>
      </c>
      <c r="K2154">
        <f t="shared" si="33"/>
        <v>13612.8</v>
      </c>
      <c r="L2154" t="str">
        <f>INDEX(Raw_Shipments!L2154:L4582,MATCH(A2154,Raw_Shipments!B2154:B4582))</f>
        <v>Yes</v>
      </c>
    </row>
    <row r="2155" spans="1:12" x14ac:dyDescent="0.3">
      <c r="A2155" s="5" t="s">
        <v>2304</v>
      </c>
      <c r="B2155" s="6">
        <v>45982</v>
      </c>
      <c r="C2155" s="5" t="s">
        <v>442</v>
      </c>
      <c r="D2155" s="5" t="s">
        <v>14</v>
      </c>
      <c r="E2155" s="5" t="s">
        <v>26</v>
      </c>
      <c r="F2155" s="5" t="s">
        <v>27</v>
      </c>
      <c r="G2155" s="5" t="s">
        <v>22</v>
      </c>
      <c r="H2155" s="5">
        <v>31</v>
      </c>
      <c r="I2155" s="7">
        <v>1646.8</v>
      </c>
      <c r="J2155" s="6">
        <v>45985</v>
      </c>
      <c r="K2155">
        <f t="shared" si="33"/>
        <v>51050.799999999996</v>
      </c>
      <c r="L2155" t="str">
        <f>INDEX(Raw_Shipments!L2155:L4583,MATCH(A2155,Raw_Shipments!B2155:B4583))</f>
        <v>No</v>
      </c>
    </row>
    <row r="2156" spans="1:12" x14ac:dyDescent="0.3">
      <c r="A2156" s="2" t="s">
        <v>2305</v>
      </c>
      <c r="B2156" s="3">
        <v>45982</v>
      </c>
      <c r="C2156" s="2" t="s">
        <v>451</v>
      </c>
      <c r="D2156" s="2" t="s">
        <v>25</v>
      </c>
      <c r="E2156" s="2" t="s">
        <v>86</v>
      </c>
      <c r="F2156" s="2" t="s">
        <v>87</v>
      </c>
      <c r="G2156" s="2" t="s">
        <v>33</v>
      </c>
      <c r="H2156" s="2">
        <v>20</v>
      </c>
      <c r="I2156" s="4">
        <v>815.88</v>
      </c>
      <c r="J2156" s="3">
        <v>45985</v>
      </c>
      <c r="K2156">
        <f t="shared" si="33"/>
        <v>16317.6</v>
      </c>
      <c r="L2156" t="str">
        <f>INDEX(Raw_Shipments!L2156:L4584,MATCH(A2156,Raw_Shipments!B2156:B4584))</f>
        <v>No</v>
      </c>
    </row>
    <row r="2157" spans="1:12" x14ac:dyDescent="0.3">
      <c r="A2157" s="5" t="s">
        <v>2306</v>
      </c>
      <c r="B2157" s="6">
        <v>45982</v>
      </c>
      <c r="C2157" s="5" t="s">
        <v>154</v>
      </c>
      <c r="D2157" s="5" t="s">
        <v>45</v>
      </c>
      <c r="E2157" s="5" t="s">
        <v>40</v>
      </c>
      <c r="F2157" s="5" t="s">
        <v>41</v>
      </c>
      <c r="G2157" s="5" t="s">
        <v>42</v>
      </c>
      <c r="H2157" s="5">
        <v>44</v>
      </c>
      <c r="I2157" s="7">
        <v>2445.11</v>
      </c>
      <c r="J2157" s="6">
        <v>45989</v>
      </c>
      <c r="K2157">
        <f t="shared" si="33"/>
        <v>107584.84000000001</v>
      </c>
      <c r="L2157" t="str">
        <f>INDEX(Raw_Shipments!L2157:L4585,MATCH(A2157,Raw_Shipments!B2157:B4585))</f>
        <v>No</v>
      </c>
    </row>
    <row r="2158" spans="1:12" x14ac:dyDescent="0.3">
      <c r="A2158" s="2" t="s">
        <v>2307</v>
      </c>
      <c r="B2158" s="3">
        <v>45983</v>
      </c>
      <c r="C2158" s="2" t="s">
        <v>175</v>
      </c>
      <c r="D2158" s="2" t="s">
        <v>30</v>
      </c>
      <c r="E2158" s="2" t="s">
        <v>53</v>
      </c>
      <c r="F2158" s="2" t="s">
        <v>54</v>
      </c>
      <c r="G2158" s="2" t="s">
        <v>55</v>
      </c>
      <c r="H2158" s="2">
        <v>10</v>
      </c>
      <c r="I2158" s="4">
        <v>2055.9</v>
      </c>
      <c r="J2158" s="3">
        <v>45988</v>
      </c>
      <c r="K2158">
        <f t="shared" si="33"/>
        <v>20559</v>
      </c>
      <c r="L2158" t="str">
        <f>INDEX(Raw_Shipments!L2158:L4586,MATCH(A2158,Raw_Shipments!B2158:B4586))</f>
        <v>No</v>
      </c>
    </row>
    <row r="2159" spans="1:12" x14ac:dyDescent="0.3">
      <c r="A2159" s="5" t="s">
        <v>2308</v>
      </c>
      <c r="B2159" s="6">
        <v>45983</v>
      </c>
      <c r="C2159" s="5" t="s">
        <v>79</v>
      </c>
      <c r="D2159" s="5" t="s">
        <v>25</v>
      </c>
      <c r="E2159" s="5" t="s">
        <v>97</v>
      </c>
      <c r="F2159" s="5" t="s">
        <v>98</v>
      </c>
      <c r="G2159" s="5" t="s">
        <v>17</v>
      </c>
      <c r="H2159" s="5">
        <v>39</v>
      </c>
      <c r="I2159" s="7">
        <v>1110.6500000000001</v>
      </c>
      <c r="J2159" s="6">
        <v>45990</v>
      </c>
      <c r="K2159">
        <f t="shared" si="33"/>
        <v>43315.350000000006</v>
      </c>
      <c r="L2159" t="str">
        <f>INDEX(Raw_Shipments!L2159:L4587,MATCH(A2159,Raw_Shipments!B2159:B4587))</f>
        <v>Yes</v>
      </c>
    </row>
    <row r="2160" spans="1:12" x14ac:dyDescent="0.3">
      <c r="A2160" s="2" t="s">
        <v>2309</v>
      </c>
      <c r="B2160" s="3">
        <v>45983</v>
      </c>
      <c r="C2160" s="2" t="s">
        <v>128</v>
      </c>
      <c r="D2160" s="2" t="s">
        <v>45</v>
      </c>
      <c r="E2160" s="2" t="s">
        <v>15</v>
      </c>
      <c r="F2160" s="2" t="s">
        <v>16</v>
      </c>
      <c r="G2160" s="2" t="s">
        <v>17</v>
      </c>
      <c r="H2160" s="2">
        <v>13</v>
      </c>
      <c r="I2160" s="4">
        <v>183.06</v>
      </c>
      <c r="J2160" s="3">
        <v>45988</v>
      </c>
      <c r="K2160">
        <f t="shared" si="33"/>
        <v>2379.7800000000002</v>
      </c>
      <c r="L2160" t="str">
        <f>INDEX(Raw_Shipments!L2160:L4588,MATCH(A2160,Raw_Shipments!B2160:B4588))</f>
        <v>No</v>
      </c>
    </row>
    <row r="2161" spans="1:12" x14ac:dyDescent="0.3">
      <c r="A2161" s="5" t="s">
        <v>2310</v>
      </c>
      <c r="B2161" s="6">
        <v>45983</v>
      </c>
      <c r="C2161" s="5" t="s">
        <v>217</v>
      </c>
      <c r="D2161" s="5" t="s">
        <v>30</v>
      </c>
      <c r="E2161" s="5" t="s">
        <v>20</v>
      </c>
      <c r="F2161" s="5" t="s">
        <v>21</v>
      </c>
      <c r="G2161" s="5" t="s">
        <v>22</v>
      </c>
      <c r="H2161" s="5">
        <v>14</v>
      </c>
      <c r="I2161" s="7">
        <v>2108.56</v>
      </c>
      <c r="J2161" s="6">
        <v>45991</v>
      </c>
      <c r="K2161">
        <f t="shared" si="33"/>
        <v>29519.84</v>
      </c>
      <c r="L2161" t="str">
        <f>INDEX(Raw_Shipments!L2161:L4589,MATCH(A2161,Raw_Shipments!B2161:B4589))</f>
        <v>Yes</v>
      </c>
    </row>
    <row r="2162" spans="1:12" x14ac:dyDescent="0.3">
      <c r="A2162" s="2" t="s">
        <v>2311</v>
      </c>
      <c r="B2162" s="3">
        <v>45983</v>
      </c>
      <c r="C2162" s="2" t="s">
        <v>447</v>
      </c>
      <c r="D2162" s="2" t="s">
        <v>30</v>
      </c>
      <c r="E2162" s="2" t="s">
        <v>119</v>
      </c>
      <c r="F2162" s="2" t="s">
        <v>120</v>
      </c>
      <c r="G2162" s="2" t="s">
        <v>22</v>
      </c>
      <c r="H2162" s="2">
        <v>39</v>
      </c>
      <c r="I2162" s="4">
        <v>912.26</v>
      </c>
      <c r="J2162" s="3">
        <v>45986</v>
      </c>
      <c r="K2162">
        <f t="shared" si="33"/>
        <v>35578.14</v>
      </c>
      <c r="L2162" t="str">
        <f>INDEX(Raw_Shipments!L2162:L4590,MATCH(A2162,Raw_Shipments!B2162:B4590))</f>
        <v>No</v>
      </c>
    </row>
    <row r="2163" spans="1:12" x14ac:dyDescent="0.3">
      <c r="A2163" s="5" t="s">
        <v>2312</v>
      </c>
      <c r="B2163" s="6">
        <v>45983</v>
      </c>
      <c r="C2163" s="5" t="s">
        <v>85</v>
      </c>
      <c r="D2163" s="5" t="s">
        <v>45</v>
      </c>
      <c r="E2163" s="5" t="s">
        <v>31</v>
      </c>
      <c r="F2163" s="5" t="s">
        <v>32</v>
      </c>
      <c r="G2163" s="5" t="s">
        <v>33</v>
      </c>
      <c r="H2163" s="5">
        <v>72</v>
      </c>
      <c r="I2163" s="7">
        <v>689</v>
      </c>
      <c r="J2163" s="6">
        <v>45991</v>
      </c>
      <c r="K2163">
        <f t="shared" si="33"/>
        <v>49608</v>
      </c>
      <c r="L2163" t="str">
        <f>INDEX(Raw_Shipments!L2163:L4591,MATCH(A2163,Raw_Shipments!B2163:B4591))</f>
        <v>Yes</v>
      </c>
    </row>
    <row r="2164" spans="1:12" x14ac:dyDescent="0.3">
      <c r="A2164" s="2" t="s">
        <v>2313</v>
      </c>
      <c r="B2164" s="3">
        <v>45983</v>
      </c>
      <c r="C2164" s="2" t="s">
        <v>180</v>
      </c>
      <c r="D2164" s="2" t="s">
        <v>14</v>
      </c>
      <c r="E2164" s="2" t="s">
        <v>86</v>
      </c>
      <c r="F2164" s="2" t="s">
        <v>87</v>
      </c>
      <c r="G2164" s="2" t="s">
        <v>33</v>
      </c>
      <c r="H2164" s="2">
        <v>33</v>
      </c>
      <c r="I2164" s="4">
        <v>815.88</v>
      </c>
      <c r="J2164" s="3">
        <v>45986</v>
      </c>
      <c r="K2164">
        <f t="shared" si="33"/>
        <v>26924.04</v>
      </c>
      <c r="L2164" t="str">
        <f>INDEX(Raw_Shipments!L2164:L4592,MATCH(A2164,Raw_Shipments!B2164:B4592))</f>
        <v>No</v>
      </c>
    </row>
    <row r="2165" spans="1:12" x14ac:dyDescent="0.3">
      <c r="A2165" s="5" t="s">
        <v>2314</v>
      </c>
      <c r="B2165" s="6">
        <v>45983</v>
      </c>
      <c r="C2165" s="5" t="s">
        <v>400</v>
      </c>
      <c r="D2165" s="5" t="s">
        <v>14</v>
      </c>
      <c r="E2165" s="5" t="s">
        <v>50</v>
      </c>
      <c r="F2165" s="5" t="s">
        <v>51</v>
      </c>
      <c r="G2165" s="5" t="s">
        <v>42</v>
      </c>
      <c r="H2165" s="5">
        <v>10</v>
      </c>
      <c r="I2165" s="7">
        <v>1952.28</v>
      </c>
      <c r="J2165" s="6">
        <v>45987</v>
      </c>
      <c r="K2165">
        <f t="shared" si="33"/>
        <v>19522.8</v>
      </c>
      <c r="L2165" t="str">
        <f>INDEX(Raw_Shipments!L2165:L4593,MATCH(A2165,Raw_Shipments!B2165:B4593))</f>
        <v>No</v>
      </c>
    </row>
    <row r="2166" spans="1:12" x14ac:dyDescent="0.3">
      <c r="A2166" s="2" t="s">
        <v>2315</v>
      </c>
      <c r="B2166" s="3">
        <v>45984</v>
      </c>
      <c r="C2166" s="2" t="s">
        <v>510</v>
      </c>
      <c r="D2166" s="2" t="s">
        <v>30</v>
      </c>
      <c r="E2166" s="2" t="s">
        <v>58</v>
      </c>
      <c r="F2166" s="2" t="s">
        <v>59</v>
      </c>
      <c r="G2166" s="2" t="s">
        <v>55</v>
      </c>
      <c r="H2166" s="2">
        <v>22</v>
      </c>
      <c r="I2166" s="4">
        <v>1695.1</v>
      </c>
      <c r="J2166" s="3">
        <v>45992</v>
      </c>
      <c r="K2166">
        <f t="shared" si="33"/>
        <v>37292.199999999997</v>
      </c>
      <c r="L2166" t="str">
        <f>INDEX(Raw_Shipments!L2166:L4594,MATCH(A2166,Raw_Shipments!B2166:B4594))</f>
        <v>No</v>
      </c>
    </row>
    <row r="2167" spans="1:12" x14ac:dyDescent="0.3">
      <c r="A2167" s="5" t="s">
        <v>2316</v>
      </c>
      <c r="B2167" s="6">
        <v>45984</v>
      </c>
      <c r="C2167" s="5" t="s">
        <v>337</v>
      </c>
      <c r="D2167" s="5" t="s">
        <v>30</v>
      </c>
      <c r="E2167" s="5" t="s">
        <v>62</v>
      </c>
      <c r="F2167" s="5" t="s">
        <v>63</v>
      </c>
      <c r="G2167" s="5" t="s">
        <v>55</v>
      </c>
      <c r="H2167" s="5">
        <v>3</v>
      </c>
      <c r="I2167" s="7">
        <v>2555.2199999999998</v>
      </c>
      <c r="J2167" s="6">
        <v>45988</v>
      </c>
      <c r="K2167">
        <f t="shared" si="33"/>
        <v>7665.66</v>
      </c>
      <c r="L2167" t="str">
        <f>INDEX(Raw_Shipments!L2167:L4595,MATCH(A2167,Raw_Shipments!B2167:B4595))</f>
        <v>No</v>
      </c>
    </row>
    <row r="2168" spans="1:12" x14ac:dyDescent="0.3">
      <c r="A2168" s="2" t="s">
        <v>2317</v>
      </c>
      <c r="B2168" s="3">
        <v>45984</v>
      </c>
      <c r="C2168" s="2" t="s">
        <v>175</v>
      </c>
      <c r="D2168" s="2" t="s">
        <v>14</v>
      </c>
      <c r="E2168" s="2" t="s">
        <v>20</v>
      </c>
      <c r="F2168" s="2" t="s">
        <v>21</v>
      </c>
      <c r="G2168" s="2" t="s">
        <v>22</v>
      </c>
      <c r="H2168" s="2">
        <v>23</v>
      </c>
      <c r="I2168" s="4">
        <v>2108.56</v>
      </c>
      <c r="J2168" s="3">
        <v>45990</v>
      </c>
      <c r="K2168">
        <f t="shared" si="33"/>
        <v>48496.88</v>
      </c>
      <c r="L2168" t="str">
        <f>INDEX(Raw_Shipments!L2168:L4596,MATCH(A2168,Raw_Shipments!B2168:B4596))</f>
        <v>No</v>
      </c>
    </row>
    <row r="2169" spans="1:12" x14ac:dyDescent="0.3">
      <c r="A2169" s="5" t="s">
        <v>2318</v>
      </c>
      <c r="B2169" s="6">
        <v>45984</v>
      </c>
      <c r="C2169" s="5" t="s">
        <v>113</v>
      </c>
      <c r="D2169" s="5" t="s">
        <v>14</v>
      </c>
      <c r="E2169" s="5" t="s">
        <v>119</v>
      </c>
      <c r="F2169" s="5" t="s">
        <v>120</v>
      </c>
      <c r="G2169" s="5" t="s">
        <v>22</v>
      </c>
      <c r="H2169" s="5">
        <v>77</v>
      </c>
      <c r="I2169" s="7">
        <v>912.26</v>
      </c>
      <c r="J2169" s="6">
        <v>45991</v>
      </c>
      <c r="K2169">
        <f t="shared" si="33"/>
        <v>70244.02</v>
      </c>
      <c r="L2169" t="str">
        <f>INDEX(Raw_Shipments!L2169:L4597,MATCH(A2169,Raw_Shipments!B2169:B4597))</f>
        <v>No</v>
      </c>
    </row>
    <row r="2170" spans="1:12" x14ac:dyDescent="0.3">
      <c r="A2170" s="2" t="s">
        <v>2319</v>
      </c>
      <c r="B2170" s="3">
        <v>45984</v>
      </c>
      <c r="C2170" s="2" t="s">
        <v>65</v>
      </c>
      <c r="D2170" s="2" t="s">
        <v>45</v>
      </c>
      <c r="E2170" s="2" t="s">
        <v>26</v>
      </c>
      <c r="F2170" s="2" t="s">
        <v>27</v>
      </c>
      <c r="G2170" s="2" t="s">
        <v>22</v>
      </c>
      <c r="H2170" s="2">
        <v>23</v>
      </c>
      <c r="I2170" s="4">
        <v>1646.8</v>
      </c>
      <c r="J2170" s="3">
        <v>45990</v>
      </c>
      <c r="K2170">
        <f t="shared" si="33"/>
        <v>37876.400000000001</v>
      </c>
      <c r="L2170" t="str">
        <f>INDEX(Raw_Shipments!L2170:L4598,MATCH(A2170,Raw_Shipments!B2170:B4598))</f>
        <v>No</v>
      </c>
    </row>
    <row r="2171" spans="1:12" x14ac:dyDescent="0.3">
      <c r="A2171" s="5" t="s">
        <v>2320</v>
      </c>
      <c r="B2171" s="6">
        <v>45984</v>
      </c>
      <c r="C2171" s="5" t="s">
        <v>438</v>
      </c>
      <c r="D2171" s="5" t="s">
        <v>14</v>
      </c>
      <c r="E2171" s="5" t="s">
        <v>31</v>
      </c>
      <c r="F2171" s="5" t="s">
        <v>32</v>
      </c>
      <c r="G2171" s="5" t="s">
        <v>33</v>
      </c>
      <c r="H2171" s="5">
        <v>44</v>
      </c>
      <c r="I2171" s="7">
        <v>689</v>
      </c>
      <c r="J2171" s="6">
        <v>45990</v>
      </c>
      <c r="K2171">
        <f t="shared" si="33"/>
        <v>30316</v>
      </c>
      <c r="L2171" t="str">
        <f>INDEX(Raw_Shipments!L2171:L4599,MATCH(A2171,Raw_Shipments!B2171:B4599))</f>
        <v>Yes</v>
      </c>
    </row>
    <row r="2172" spans="1:12" x14ac:dyDescent="0.3">
      <c r="A2172" s="2" t="s">
        <v>2321</v>
      </c>
      <c r="B2172" s="3">
        <v>45984</v>
      </c>
      <c r="C2172" s="2" t="s">
        <v>418</v>
      </c>
      <c r="D2172" s="2" t="s">
        <v>25</v>
      </c>
      <c r="E2172" s="2" t="s">
        <v>86</v>
      </c>
      <c r="F2172" s="2" t="s">
        <v>87</v>
      </c>
      <c r="G2172" s="2" t="s">
        <v>33</v>
      </c>
      <c r="H2172" s="2">
        <v>33</v>
      </c>
      <c r="I2172" s="4">
        <v>815.88</v>
      </c>
      <c r="J2172" s="3">
        <v>45987</v>
      </c>
      <c r="K2172">
        <f t="shared" si="33"/>
        <v>26924.04</v>
      </c>
      <c r="L2172" t="str">
        <f>INDEX(Raw_Shipments!L2172:L4600,MATCH(A2172,Raw_Shipments!B2172:B4600))</f>
        <v>No</v>
      </c>
    </row>
    <row r="2173" spans="1:12" x14ac:dyDescent="0.3">
      <c r="A2173" s="5" t="s">
        <v>2322</v>
      </c>
      <c r="B2173" s="6">
        <v>45985</v>
      </c>
      <c r="C2173" s="5" t="s">
        <v>131</v>
      </c>
      <c r="D2173" s="5" t="s">
        <v>14</v>
      </c>
      <c r="E2173" s="5" t="s">
        <v>58</v>
      </c>
      <c r="F2173" s="5" t="s">
        <v>59</v>
      </c>
      <c r="G2173" s="5" t="s">
        <v>55</v>
      </c>
      <c r="H2173" s="5">
        <v>10</v>
      </c>
      <c r="I2173" s="7">
        <v>1695.1</v>
      </c>
      <c r="J2173" s="6">
        <v>45988</v>
      </c>
      <c r="K2173">
        <f t="shared" si="33"/>
        <v>16951</v>
      </c>
      <c r="L2173" t="str">
        <f>INDEX(Raw_Shipments!L2173:L4601,MATCH(A2173,Raw_Shipments!B2173:B4601))</f>
        <v>No</v>
      </c>
    </row>
    <row r="2174" spans="1:12" x14ac:dyDescent="0.3">
      <c r="A2174" s="2" t="s">
        <v>2323</v>
      </c>
      <c r="B2174" s="3">
        <v>45985</v>
      </c>
      <c r="C2174" s="2" t="s">
        <v>418</v>
      </c>
      <c r="D2174" s="2" t="s">
        <v>14</v>
      </c>
      <c r="E2174" s="2" t="s">
        <v>66</v>
      </c>
      <c r="F2174" s="2" t="s">
        <v>67</v>
      </c>
      <c r="G2174" s="2" t="s">
        <v>17</v>
      </c>
      <c r="H2174" s="2">
        <v>15</v>
      </c>
      <c r="I2174" s="4">
        <v>850.8</v>
      </c>
      <c r="J2174" s="3">
        <v>45993</v>
      </c>
      <c r="K2174">
        <f t="shared" si="33"/>
        <v>12762</v>
      </c>
      <c r="L2174" t="str">
        <f>INDEX(Raw_Shipments!L2174:L4602,MATCH(A2174,Raw_Shipments!B2174:B4602))</f>
        <v>No</v>
      </c>
    </row>
    <row r="2175" spans="1:12" x14ac:dyDescent="0.3">
      <c r="A2175" s="5" t="s">
        <v>2324</v>
      </c>
      <c r="B2175" s="6">
        <v>45985</v>
      </c>
      <c r="C2175" s="5" t="s">
        <v>152</v>
      </c>
      <c r="D2175" s="5" t="s">
        <v>45</v>
      </c>
      <c r="E2175" s="5" t="s">
        <v>97</v>
      </c>
      <c r="F2175" s="5" t="s">
        <v>98</v>
      </c>
      <c r="G2175" s="5" t="s">
        <v>17</v>
      </c>
      <c r="H2175" s="5">
        <v>19</v>
      </c>
      <c r="I2175" s="7">
        <v>1110.6500000000001</v>
      </c>
      <c r="J2175" s="6">
        <v>45990</v>
      </c>
      <c r="K2175">
        <f t="shared" si="33"/>
        <v>21102.350000000002</v>
      </c>
      <c r="L2175" t="str">
        <f>INDEX(Raw_Shipments!L2175:L4603,MATCH(A2175,Raw_Shipments!B2175:B4603))</f>
        <v>No</v>
      </c>
    </row>
    <row r="2176" spans="1:12" x14ac:dyDescent="0.3">
      <c r="A2176" s="2" t="s">
        <v>2325</v>
      </c>
      <c r="B2176" s="3">
        <v>45985</v>
      </c>
      <c r="C2176" s="2" t="s">
        <v>595</v>
      </c>
      <c r="D2176" s="2" t="s">
        <v>25</v>
      </c>
      <c r="E2176" s="2" t="s">
        <v>119</v>
      </c>
      <c r="F2176" s="2" t="s">
        <v>120</v>
      </c>
      <c r="G2176" s="2" t="s">
        <v>22</v>
      </c>
      <c r="H2176" s="2">
        <v>30</v>
      </c>
      <c r="I2176" s="4">
        <v>912.26</v>
      </c>
      <c r="J2176" s="3">
        <v>45990</v>
      </c>
      <c r="K2176">
        <f t="shared" si="33"/>
        <v>27367.8</v>
      </c>
      <c r="L2176" t="str">
        <f>INDEX(Raw_Shipments!L2176:L4604,MATCH(A2176,Raw_Shipments!B2176:B4604))</f>
        <v>No</v>
      </c>
    </row>
    <row r="2177" spans="1:12" x14ac:dyDescent="0.3">
      <c r="A2177" s="5" t="s">
        <v>2326</v>
      </c>
      <c r="B2177" s="6">
        <v>45985</v>
      </c>
      <c r="C2177" s="5" t="s">
        <v>77</v>
      </c>
      <c r="D2177" s="5" t="s">
        <v>30</v>
      </c>
      <c r="E2177" s="5" t="s">
        <v>26</v>
      </c>
      <c r="F2177" s="5" t="s">
        <v>27</v>
      </c>
      <c r="G2177" s="5" t="s">
        <v>22</v>
      </c>
      <c r="H2177" s="5">
        <v>21</v>
      </c>
      <c r="I2177" s="7">
        <v>1646.8</v>
      </c>
      <c r="J2177" s="6">
        <v>45993</v>
      </c>
      <c r="K2177">
        <f t="shared" si="33"/>
        <v>34582.799999999996</v>
      </c>
      <c r="L2177" t="str">
        <f>INDEX(Raw_Shipments!L2177:L4605,MATCH(A2177,Raw_Shipments!B2177:B4605))</f>
        <v>Yes</v>
      </c>
    </row>
    <row r="2178" spans="1:12" x14ac:dyDescent="0.3">
      <c r="A2178" s="2" t="s">
        <v>2327</v>
      </c>
      <c r="B2178" s="3">
        <v>45985</v>
      </c>
      <c r="C2178" s="2" t="s">
        <v>131</v>
      </c>
      <c r="D2178" s="2" t="s">
        <v>14</v>
      </c>
      <c r="E2178" s="2" t="s">
        <v>31</v>
      </c>
      <c r="F2178" s="2" t="s">
        <v>32</v>
      </c>
      <c r="G2178" s="2" t="s">
        <v>33</v>
      </c>
      <c r="H2178" s="2">
        <v>46</v>
      </c>
      <c r="I2178" s="4">
        <v>689</v>
      </c>
      <c r="J2178" s="3">
        <v>45994</v>
      </c>
      <c r="K2178">
        <f t="shared" si="33"/>
        <v>31694</v>
      </c>
      <c r="L2178" t="str">
        <f>INDEX(Raw_Shipments!L2178:L4606,MATCH(A2178,Raw_Shipments!B2178:B4606))</f>
        <v>No</v>
      </c>
    </row>
    <row r="2179" spans="1:12" x14ac:dyDescent="0.3">
      <c r="A2179" s="5" t="s">
        <v>2328</v>
      </c>
      <c r="B2179" s="6">
        <v>45985</v>
      </c>
      <c r="C2179" s="5" t="s">
        <v>49</v>
      </c>
      <c r="D2179" s="5" t="s">
        <v>14</v>
      </c>
      <c r="E2179" s="5" t="s">
        <v>36</v>
      </c>
      <c r="F2179" s="5" t="s">
        <v>37</v>
      </c>
      <c r="G2179" s="5" t="s">
        <v>33</v>
      </c>
      <c r="H2179" s="5">
        <v>52</v>
      </c>
      <c r="I2179" s="7">
        <v>1064.79</v>
      </c>
      <c r="J2179" s="6">
        <v>45994</v>
      </c>
      <c r="K2179">
        <f t="shared" ref="K2179:K2242" si="34">I2179*H2179</f>
        <v>55369.08</v>
      </c>
      <c r="L2179" t="str">
        <f>INDEX(Raw_Shipments!L2179:L4607,MATCH(A2179,Raw_Shipments!B2179:B4607))</f>
        <v>Yes</v>
      </c>
    </row>
    <row r="2180" spans="1:12" x14ac:dyDescent="0.3">
      <c r="A2180" s="2" t="s">
        <v>2329</v>
      </c>
      <c r="B2180" s="3">
        <v>45985</v>
      </c>
      <c r="C2180" s="2" t="s">
        <v>282</v>
      </c>
      <c r="D2180" s="2" t="s">
        <v>25</v>
      </c>
      <c r="E2180" s="2" t="s">
        <v>86</v>
      </c>
      <c r="F2180" s="2" t="s">
        <v>87</v>
      </c>
      <c r="G2180" s="2" t="s">
        <v>33</v>
      </c>
      <c r="H2180" s="2">
        <v>15</v>
      </c>
      <c r="I2180" s="4">
        <v>815.88</v>
      </c>
      <c r="J2180" s="3">
        <v>45991</v>
      </c>
      <c r="K2180">
        <f t="shared" si="34"/>
        <v>12238.2</v>
      </c>
      <c r="L2180" t="str">
        <f>INDEX(Raw_Shipments!L2180:L4608,MATCH(A2180,Raw_Shipments!B2180:B4608))</f>
        <v>No</v>
      </c>
    </row>
    <row r="2181" spans="1:12" x14ac:dyDescent="0.3">
      <c r="A2181" s="5" t="s">
        <v>2330</v>
      </c>
      <c r="B2181" s="6">
        <v>45985</v>
      </c>
      <c r="C2181" s="5" t="s">
        <v>117</v>
      </c>
      <c r="D2181" s="5" t="s">
        <v>14</v>
      </c>
      <c r="E2181" s="5" t="s">
        <v>40</v>
      </c>
      <c r="F2181" s="5" t="s">
        <v>41</v>
      </c>
      <c r="G2181" s="5" t="s">
        <v>42</v>
      </c>
      <c r="H2181" s="5">
        <v>24</v>
      </c>
      <c r="I2181" s="7">
        <v>2445.11</v>
      </c>
      <c r="J2181" s="6">
        <v>45988</v>
      </c>
      <c r="K2181">
        <f t="shared" si="34"/>
        <v>58682.64</v>
      </c>
      <c r="L2181" t="str">
        <f>INDEX(Raw_Shipments!L2181:L4609,MATCH(A2181,Raw_Shipments!B2181:B4609))</f>
        <v>No</v>
      </c>
    </row>
    <row r="2182" spans="1:12" x14ac:dyDescent="0.3">
      <c r="A2182" s="2" t="s">
        <v>2331</v>
      </c>
      <c r="B2182" s="3">
        <v>45986</v>
      </c>
      <c r="C2182" s="2" t="s">
        <v>420</v>
      </c>
      <c r="D2182" s="2" t="s">
        <v>25</v>
      </c>
      <c r="E2182" s="2" t="s">
        <v>53</v>
      </c>
      <c r="F2182" s="2" t="s">
        <v>54</v>
      </c>
      <c r="G2182" s="2" t="s">
        <v>55</v>
      </c>
      <c r="H2182" s="2">
        <v>29</v>
      </c>
      <c r="I2182" s="4">
        <v>2055.9</v>
      </c>
      <c r="J2182" s="3">
        <v>45992</v>
      </c>
      <c r="K2182">
        <f t="shared" si="34"/>
        <v>59621.100000000006</v>
      </c>
      <c r="L2182" t="str">
        <f>INDEX(Raw_Shipments!L2182:L4610,MATCH(A2182,Raw_Shipments!B2182:B4610))</f>
        <v>No</v>
      </c>
    </row>
    <row r="2183" spans="1:12" x14ac:dyDescent="0.3">
      <c r="A2183" s="5" t="s">
        <v>2332</v>
      </c>
      <c r="B2183" s="6">
        <v>45986</v>
      </c>
      <c r="C2183" s="5" t="s">
        <v>180</v>
      </c>
      <c r="D2183" s="5" t="s">
        <v>25</v>
      </c>
      <c r="E2183" s="5" t="s">
        <v>58</v>
      </c>
      <c r="F2183" s="5" t="s">
        <v>59</v>
      </c>
      <c r="G2183" s="5" t="s">
        <v>55</v>
      </c>
      <c r="H2183" s="5">
        <v>21</v>
      </c>
      <c r="I2183" s="7">
        <v>1695.1</v>
      </c>
      <c r="J2183" s="6">
        <v>45995</v>
      </c>
      <c r="K2183">
        <f t="shared" si="34"/>
        <v>35597.1</v>
      </c>
      <c r="L2183" t="str">
        <f>INDEX(Raw_Shipments!L2183:L4611,MATCH(A2183,Raw_Shipments!B2183:B4611))</f>
        <v>No</v>
      </c>
    </row>
    <row r="2184" spans="1:12" x14ac:dyDescent="0.3">
      <c r="A2184" s="2" t="s">
        <v>2333</v>
      </c>
      <c r="B2184" s="3">
        <v>45986</v>
      </c>
      <c r="C2184" s="2" t="s">
        <v>178</v>
      </c>
      <c r="D2184" s="2" t="s">
        <v>25</v>
      </c>
      <c r="E2184" s="2" t="s">
        <v>66</v>
      </c>
      <c r="F2184" s="2" t="s">
        <v>67</v>
      </c>
      <c r="G2184" s="2" t="s">
        <v>17</v>
      </c>
      <c r="H2184" s="2">
        <v>17</v>
      </c>
      <c r="I2184" s="4">
        <v>850.8</v>
      </c>
      <c r="J2184" s="3">
        <v>45996</v>
      </c>
      <c r="K2184">
        <f t="shared" si="34"/>
        <v>14463.599999999999</v>
      </c>
      <c r="L2184" t="str">
        <f>INDEX(Raw_Shipments!L2184:L4612,MATCH(A2184,Raw_Shipments!B2184:B4612))</f>
        <v>Yes</v>
      </c>
    </row>
    <row r="2185" spans="1:12" x14ac:dyDescent="0.3">
      <c r="A2185" s="5" t="s">
        <v>2334</v>
      </c>
      <c r="B2185" s="6">
        <v>45986</v>
      </c>
      <c r="C2185" s="5" t="s">
        <v>125</v>
      </c>
      <c r="D2185" s="5" t="s">
        <v>45</v>
      </c>
      <c r="E2185" s="5" t="s">
        <v>119</v>
      </c>
      <c r="F2185" s="5" t="s">
        <v>120</v>
      </c>
      <c r="G2185" s="5" t="s">
        <v>22</v>
      </c>
      <c r="H2185" s="5">
        <v>11</v>
      </c>
      <c r="I2185" s="7">
        <v>912.26</v>
      </c>
      <c r="J2185" s="6">
        <v>45990</v>
      </c>
      <c r="K2185">
        <f t="shared" si="34"/>
        <v>10034.86</v>
      </c>
      <c r="L2185" t="str">
        <f>INDEX(Raw_Shipments!L2185:L4613,MATCH(A2185,Raw_Shipments!B2185:B4613))</f>
        <v>No</v>
      </c>
    </row>
    <row r="2186" spans="1:12" x14ac:dyDescent="0.3">
      <c r="A2186" s="2" t="s">
        <v>2335</v>
      </c>
      <c r="B2186" s="3">
        <v>45986</v>
      </c>
      <c r="C2186" s="2" t="s">
        <v>229</v>
      </c>
      <c r="D2186" s="2" t="s">
        <v>45</v>
      </c>
      <c r="E2186" s="2" t="s">
        <v>40</v>
      </c>
      <c r="F2186" s="2" t="s">
        <v>41</v>
      </c>
      <c r="G2186" s="2" t="s">
        <v>42</v>
      </c>
      <c r="H2186" s="2">
        <v>21</v>
      </c>
      <c r="I2186" s="4">
        <v>2445.11</v>
      </c>
      <c r="J2186" s="3">
        <v>45991</v>
      </c>
      <c r="K2186">
        <f t="shared" si="34"/>
        <v>51347.310000000005</v>
      </c>
      <c r="L2186" t="str">
        <f>INDEX(Raw_Shipments!L2186:L4614,MATCH(A2186,Raw_Shipments!B2186:B4614))</f>
        <v>No</v>
      </c>
    </row>
    <row r="2187" spans="1:12" x14ac:dyDescent="0.3">
      <c r="A2187" s="5" t="s">
        <v>2336</v>
      </c>
      <c r="B2187" s="6">
        <v>45986</v>
      </c>
      <c r="C2187" s="5" t="s">
        <v>545</v>
      </c>
      <c r="D2187" s="5" t="s">
        <v>25</v>
      </c>
      <c r="E2187" s="5" t="s">
        <v>46</v>
      </c>
      <c r="F2187" s="5" t="s">
        <v>47</v>
      </c>
      <c r="G2187" s="5" t="s">
        <v>42</v>
      </c>
      <c r="H2187" s="5">
        <v>10</v>
      </c>
      <c r="I2187" s="7">
        <v>1833.14</v>
      </c>
      <c r="J2187" s="6">
        <v>45992</v>
      </c>
      <c r="K2187">
        <f t="shared" si="34"/>
        <v>18331.400000000001</v>
      </c>
      <c r="L2187" t="str">
        <f>INDEX(Raw_Shipments!L2187:L4615,MATCH(A2187,Raw_Shipments!B2187:B4615))</f>
        <v>No</v>
      </c>
    </row>
    <row r="2188" spans="1:12" x14ac:dyDescent="0.3">
      <c r="A2188" s="2" t="s">
        <v>2337</v>
      </c>
      <c r="B2188" s="3">
        <v>45986</v>
      </c>
      <c r="C2188" s="2" t="s">
        <v>13</v>
      </c>
      <c r="D2188" s="2" t="s">
        <v>25</v>
      </c>
      <c r="E2188" s="2" t="s">
        <v>50</v>
      </c>
      <c r="F2188" s="2" t="s">
        <v>51</v>
      </c>
      <c r="G2188" s="2" t="s">
        <v>42</v>
      </c>
      <c r="H2188" s="2">
        <v>10</v>
      </c>
      <c r="I2188" s="4">
        <v>1952.28</v>
      </c>
      <c r="J2188" s="3">
        <v>45989</v>
      </c>
      <c r="K2188">
        <f t="shared" si="34"/>
        <v>19522.8</v>
      </c>
      <c r="L2188" t="str">
        <f>INDEX(Raw_Shipments!L2188:L4616,MATCH(A2188,Raw_Shipments!B2188:B4616))</f>
        <v>No</v>
      </c>
    </row>
    <row r="2189" spans="1:12" x14ac:dyDescent="0.3">
      <c r="A2189" s="5" t="s">
        <v>2338</v>
      </c>
      <c r="B2189" s="6">
        <v>45987</v>
      </c>
      <c r="C2189" s="5" t="s">
        <v>131</v>
      </c>
      <c r="D2189" s="5" t="s">
        <v>45</v>
      </c>
      <c r="E2189" s="5" t="s">
        <v>53</v>
      </c>
      <c r="F2189" s="5" t="s">
        <v>54</v>
      </c>
      <c r="G2189" s="5" t="s">
        <v>55</v>
      </c>
      <c r="H2189" s="5">
        <v>43</v>
      </c>
      <c r="I2189" s="7">
        <v>2055.9</v>
      </c>
      <c r="J2189" s="6">
        <v>45997</v>
      </c>
      <c r="K2189">
        <f t="shared" si="34"/>
        <v>88403.7</v>
      </c>
      <c r="L2189" t="str">
        <f>INDEX(Raw_Shipments!L2189:L4617,MATCH(A2189,Raw_Shipments!B2189:B4617))</f>
        <v>Yes</v>
      </c>
    </row>
    <row r="2190" spans="1:12" x14ac:dyDescent="0.3">
      <c r="A2190" s="2" t="s">
        <v>2339</v>
      </c>
      <c r="B2190" s="3">
        <v>45987</v>
      </c>
      <c r="C2190" s="2" t="s">
        <v>100</v>
      </c>
      <c r="D2190" s="2" t="s">
        <v>45</v>
      </c>
      <c r="E2190" s="2" t="s">
        <v>97</v>
      </c>
      <c r="F2190" s="2" t="s">
        <v>98</v>
      </c>
      <c r="G2190" s="2" t="s">
        <v>17</v>
      </c>
      <c r="H2190" s="2">
        <v>46</v>
      </c>
      <c r="I2190" s="4">
        <v>1110.6500000000001</v>
      </c>
      <c r="J2190" s="3">
        <v>45990</v>
      </c>
      <c r="K2190">
        <f t="shared" si="34"/>
        <v>51089.9</v>
      </c>
      <c r="L2190" t="str">
        <f>INDEX(Raw_Shipments!L2190:L4618,MATCH(A2190,Raw_Shipments!B2190:B4618))</f>
        <v>No</v>
      </c>
    </row>
    <row r="2191" spans="1:12" x14ac:dyDescent="0.3">
      <c r="A2191" s="5" t="s">
        <v>2340</v>
      </c>
      <c r="B2191" s="6">
        <v>45987</v>
      </c>
      <c r="C2191" s="5" t="s">
        <v>431</v>
      </c>
      <c r="D2191" s="5" t="s">
        <v>30</v>
      </c>
      <c r="E2191" s="5" t="s">
        <v>31</v>
      </c>
      <c r="F2191" s="5" t="s">
        <v>32</v>
      </c>
      <c r="G2191" s="5" t="s">
        <v>33</v>
      </c>
      <c r="H2191" s="5">
        <v>39</v>
      </c>
      <c r="I2191" s="7">
        <v>689</v>
      </c>
      <c r="J2191" s="6">
        <v>45990</v>
      </c>
      <c r="K2191">
        <f t="shared" si="34"/>
        <v>26871</v>
      </c>
      <c r="L2191" t="str">
        <f>INDEX(Raw_Shipments!L2191:L4619,MATCH(A2191,Raw_Shipments!B2191:B4619))</f>
        <v>No</v>
      </c>
    </row>
    <row r="2192" spans="1:12" x14ac:dyDescent="0.3">
      <c r="A2192" s="2" t="s">
        <v>2341</v>
      </c>
      <c r="B2192" s="3">
        <v>45987</v>
      </c>
      <c r="C2192" s="2" t="s">
        <v>44</v>
      </c>
      <c r="D2192" s="2" t="s">
        <v>30</v>
      </c>
      <c r="E2192" s="2" t="s">
        <v>36</v>
      </c>
      <c r="F2192" s="2" t="s">
        <v>37</v>
      </c>
      <c r="G2192" s="2" t="s">
        <v>33</v>
      </c>
      <c r="H2192" s="2">
        <v>44</v>
      </c>
      <c r="I2192" s="4">
        <v>1064.79</v>
      </c>
      <c r="J2192" s="3">
        <v>45996</v>
      </c>
      <c r="K2192">
        <f t="shared" si="34"/>
        <v>46850.759999999995</v>
      </c>
      <c r="L2192" t="str">
        <f>INDEX(Raw_Shipments!L2192:L4620,MATCH(A2192,Raw_Shipments!B2192:B4620))</f>
        <v>Yes</v>
      </c>
    </row>
    <row r="2193" spans="1:12" x14ac:dyDescent="0.3">
      <c r="A2193" s="5" t="s">
        <v>2342</v>
      </c>
      <c r="B2193" s="6">
        <v>45987</v>
      </c>
      <c r="C2193" s="5" t="s">
        <v>102</v>
      </c>
      <c r="D2193" s="5" t="s">
        <v>30</v>
      </c>
      <c r="E2193" s="5" t="s">
        <v>86</v>
      </c>
      <c r="F2193" s="5" t="s">
        <v>87</v>
      </c>
      <c r="G2193" s="5" t="s">
        <v>33</v>
      </c>
      <c r="H2193" s="5">
        <v>25</v>
      </c>
      <c r="I2193" s="7">
        <v>815.88</v>
      </c>
      <c r="J2193" s="6">
        <v>45997</v>
      </c>
      <c r="K2193">
        <f t="shared" si="34"/>
        <v>20397</v>
      </c>
      <c r="L2193" t="str">
        <f>INDEX(Raw_Shipments!L2193:L4621,MATCH(A2193,Raw_Shipments!B2193:B4621))</f>
        <v>No</v>
      </c>
    </row>
    <row r="2194" spans="1:12" x14ac:dyDescent="0.3">
      <c r="A2194" s="2" t="s">
        <v>2343</v>
      </c>
      <c r="B2194" s="3">
        <v>45987</v>
      </c>
      <c r="C2194" s="2" t="s">
        <v>39</v>
      </c>
      <c r="D2194" s="2" t="s">
        <v>45</v>
      </c>
      <c r="E2194" s="2" t="s">
        <v>40</v>
      </c>
      <c r="F2194" s="2" t="s">
        <v>41</v>
      </c>
      <c r="G2194" s="2" t="s">
        <v>42</v>
      </c>
      <c r="H2194" s="2">
        <v>46</v>
      </c>
      <c r="I2194" s="4">
        <v>2445.11</v>
      </c>
      <c r="J2194" s="3">
        <v>45990</v>
      </c>
      <c r="K2194">
        <f t="shared" si="34"/>
        <v>112475.06000000001</v>
      </c>
      <c r="L2194" t="str">
        <f>INDEX(Raw_Shipments!L2194:L4622,MATCH(A2194,Raw_Shipments!B2194:B4622))</f>
        <v>No</v>
      </c>
    </row>
    <row r="2195" spans="1:12" x14ac:dyDescent="0.3">
      <c r="A2195" s="5" t="s">
        <v>2344</v>
      </c>
      <c r="B2195" s="6">
        <v>45988</v>
      </c>
      <c r="C2195" s="5" t="s">
        <v>154</v>
      </c>
      <c r="D2195" s="5" t="s">
        <v>25</v>
      </c>
      <c r="E2195" s="5" t="s">
        <v>62</v>
      </c>
      <c r="F2195" s="5" t="s">
        <v>63</v>
      </c>
      <c r="G2195" s="5" t="s">
        <v>55</v>
      </c>
      <c r="H2195" s="5">
        <v>41</v>
      </c>
      <c r="I2195" s="7">
        <v>2555.2199999999998</v>
      </c>
      <c r="J2195" s="6">
        <v>45995</v>
      </c>
      <c r="K2195">
        <f t="shared" si="34"/>
        <v>104764.01999999999</v>
      </c>
      <c r="L2195" t="str">
        <f>INDEX(Raw_Shipments!L2195:L4623,MATCH(A2195,Raw_Shipments!B2195:B4623))</f>
        <v>No</v>
      </c>
    </row>
    <row r="2196" spans="1:12" x14ac:dyDescent="0.3">
      <c r="A2196" s="2" t="s">
        <v>2345</v>
      </c>
      <c r="B2196" s="3">
        <v>45988</v>
      </c>
      <c r="C2196" s="2" t="s">
        <v>195</v>
      </c>
      <c r="D2196" s="2" t="s">
        <v>30</v>
      </c>
      <c r="E2196" s="2" t="s">
        <v>97</v>
      </c>
      <c r="F2196" s="2" t="s">
        <v>98</v>
      </c>
      <c r="G2196" s="2" t="s">
        <v>17</v>
      </c>
      <c r="H2196" s="2">
        <v>26</v>
      </c>
      <c r="I2196" s="4">
        <v>1110.6500000000001</v>
      </c>
      <c r="J2196" s="3">
        <v>45991</v>
      </c>
      <c r="K2196">
        <f t="shared" si="34"/>
        <v>28876.9</v>
      </c>
      <c r="L2196" t="str">
        <f>INDEX(Raw_Shipments!L2196:L4624,MATCH(A2196,Raw_Shipments!B2196:B4624))</f>
        <v>No</v>
      </c>
    </row>
    <row r="2197" spans="1:12" x14ac:dyDescent="0.3">
      <c r="A2197" s="5" t="s">
        <v>2346</v>
      </c>
      <c r="B2197" s="6">
        <v>45988</v>
      </c>
      <c r="C2197" s="5" t="s">
        <v>122</v>
      </c>
      <c r="D2197" s="5" t="s">
        <v>25</v>
      </c>
      <c r="E2197" s="5" t="s">
        <v>36</v>
      </c>
      <c r="F2197" s="5" t="s">
        <v>37</v>
      </c>
      <c r="G2197" s="5" t="s">
        <v>33</v>
      </c>
      <c r="H2197" s="5">
        <v>19</v>
      </c>
      <c r="I2197" s="7">
        <v>1064.79</v>
      </c>
      <c r="J2197" s="6">
        <v>45992</v>
      </c>
      <c r="K2197">
        <f t="shared" si="34"/>
        <v>20231.009999999998</v>
      </c>
      <c r="L2197" t="str">
        <f>INDEX(Raw_Shipments!L2197:L4625,MATCH(A2197,Raw_Shipments!B2197:B4625))</f>
        <v>No</v>
      </c>
    </row>
    <row r="2198" spans="1:12" x14ac:dyDescent="0.3">
      <c r="A2198" s="2" t="s">
        <v>2347</v>
      </c>
      <c r="B2198" s="3">
        <v>45988</v>
      </c>
      <c r="C2198" s="2" t="s">
        <v>128</v>
      </c>
      <c r="D2198" s="2" t="s">
        <v>25</v>
      </c>
      <c r="E2198" s="2" t="s">
        <v>46</v>
      </c>
      <c r="F2198" s="2" t="s">
        <v>47</v>
      </c>
      <c r="G2198" s="2" t="s">
        <v>42</v>
      </c>
      <c r="H2198" s="2">
        <v>6</v>
      </c>
      <c r="I2198" s="4">
        <v>1833.14</v>
      </c>
      <c r="J2198" s="3">
        <v>45993</v>
      </c>
      <c r="K2198">
        <f t="shared" si="34"/>
        <v>10998.84</v>
      </c>
      <c r="L2198" t="str">
        <f>INDEX(Raw_Shipments!L2198:L4626,MATCH(A2198,Raw_Shipments!B2198:B4626))</f>
        <v>No</v>
      </c>
    </row>
    <row r="2199" spans="1:12" x14ac:dyDescent="0.3">
      <c r="A2199" s="5" t="s">
        <v>2348</v>
      </c>
      <c r="B2199" s="6">
        <v>45988</v>
      </c>
      <c r="C2199" s="5" t="s">
        <v>83</v>
      </c>
      <c r="D2199" s="5" t="s">
        <v>30</v>
      </c>
      <c r="E2199" s="5" t="s">
        <v>50</v>
      </c>
      <c r="F2199" s="5" t="s">
        <v>51</v>
      </c>
      <c r="G2199" s="5" t="s">
        <v>42</v>
      </c>
      <c r="H2199" s="5">
        <v>8</v>
      </c>
      <c r="I2199" s="7">
        <v>1952.28</v>
      </c>
      <c r="J2199" s="6">
        <v>45997</v>
      </c>
      <c r="K2199">
        <f t="shared" si="34"/>
        <v>15618.24</v>
      </c>
      <c r="L2199" t="str">
        <f>INDEX(Raw_Shipments!L2199:L4627,MATCH(A2199,Raw_Shipments!B2199:B4627))</f>
        <v>No</v>
      </c>
    </row>
    <row r="2200" spans="1:12" x14ac:dyDescent="0.3">
      <c r="A2200" s="2" t="s">
        <v>2349</v>
      </c>
      <c r="B2200" s="3">
        <v>45989</v>
      </c>
      <c r="C2200" s="2" t="s">
        <v>356</v>
      </c>
      <c r="D2200" s="2" t="s">
        <v>30</v>
      </c>
      <c r="E2200" s="2" t="s">
        <v>62</v>
      </c>
      <c r="F2200" s="2" t="s">
        <v>63</v>
      </c>
      <c r="G2200" s="2" t="s">
        <v>55</v>
      </c>
      <c r="H2200" s="2">
        <v>29</v>
      </c>
      <c r="I2200" s="4">
        <v>2555.2199999999998</v>
      </c>
      <c r="J2200" s="3">
        <v>45998</v>
      </c>
      <c r="K2200">
        <f t="shared" si="34"/>
        <v>74101.37999999999</v>
      </c>
      <c r="L2200" t="str">
        <f>INDEX(Raw_Shipments!L2200:L4628,MATCH(A2200,Raw_Shipments!B2200:B4628))</f>
        <v>Yes</v>
      </c>
    </row>
    <row r="2201" spans="1:12" x14ac:dyDescent="0.3">
      <c r="A2201" s="5" t="s">
        <v>2350</v>
      </c>
      <c r="B2201" s="6">
        <v>45989</v>
      </c>
      <c r="C2201" s="5" t="s">
        <v>158</v>
      </c>
      <c r="D2201" s="5" t="s">
        <v>25</v>
      </c>
      <c r="E2201" s="5" t="s">
        <v>66</v>
      </c>
      <c r="F2201" s="5" t="s">
        <v>67</v>
      </c>
      <c r="G2201" s="5" t="s">
        <v>17</v>
      </c>
      <c r="H2201" s="5">
        <v>6</v>
      </c>
      <c r="I2201" s="7">
        <v>850.8</v>
      </c>
      <c r="J2201" s="6">
        <v>45996</v>
      </c>
      <c r="K2201">
        <f t="shared" si="34"/>
        <v>5104.7999999999993</v>
      </c>
      <c r="L2201" t="str">
        <f>INDEX(Raw_Shipments!L2201:L4629,MATCH(A2201,Raw_Shipments!B2201:B4629))</f>
        <v>Yes</v>
      </c>
    </row>
    <row r="2202" spans="1:12" x14ac:dyDescent="0.3">
      <c r="A2202" s="2" t="s">
        <v>2351</v>
      </c>
      <c r="B2202" s="3">
        <v>45989</v>
      </c>
      <c r="C2202" s="2" t="s">
        <v>122</v>
      </c>
      <c r="D2202" s="2" t="s">
        <v>25</v>
      </c>
      <c r="E2202" s="2" t="s">
        <v>36</v>
      </c>
      <c r="F2202" s="2" t="s">
        <v>37</v>
      </c>
      <c r="G2202" s="2" t="s">
        <v>33</v>
      </c>
      <c r="H2202" s="2">
        <v>89</v>
      </c>
      <c r="I2202" s="4">
        <v>1064.79</v>
      </c>
      <c r="J2202" s="3">
        <v>45994</v>
      </c>
      <c r="K2202">
        <f t="shared" si="34"/>
        <v>94766.31</v>
      </c>
      <c r="L2202" t="str">
        <f>INDEX(Raw_Shipments!L2202:L4630,MATCH(A2202,Raw_Shipments!B2202:B4630))</f>
        <v>No</v>
      </c>
    </row>
    <row r="2203" spans="1:12" x14ac:dyDescent="0.3">
      <c r="A2203" s="5" t="s">
        <v>2352</v>
      </c>
      <c r="B2203" s="6">
        <v>45989</v>
      </c>
      <c r="C2203" s="5" t="s">
        <v>131</v>
      </c>
      <c r="D2203" s="5" t="s">
        <v>30</v>
      </c>
      <c r="E2203" s="5" t="s">
        <v>46</v>
      </c>
      <c r="F2203" s="5" t="s">
        <v>47</v>
      </c>
      <c r="G2203" s="5" t="s">
        <v>42</v>
      </c>
      <c r="H2203" s="5">
        <v>4</v>
      </c>
      <c r="I2203" s="7">
        <v>1833.14</v>
      </c>
      <c r="J2203" s="6">
        <v>45994</v>
      </c>
      <c r="K2203">
        <f t="shared" si="34"/>
        <v>7332.56</v>
      </c>
      <c r="L2203" t="str">
        <f>INDEX(Raw_Shipments!L2203:L4631,MATCH(A2203,Raw_Shipments!B2203:B4631))</f>
        <v>No</v>
      </c>
    </row>
    <row r="2204" spans="1:12" x14ac:dyDescent="0.3">
      <c r="A2204" s="2" t="s">
        <v>2353</v>
      </c>
      <c r="B2204" s="3">
        <v>45989</v>
      </c>
      <c r="C2204" s="2" t="s">
        <v>400</v>
      </c>
      <c r="D2204" s="2" t="s">
        <v>45</v>
      </c>
      <c r="E2204" s="2" t="s">
        <v>50</v>
      </c>
      <c r="F2204" s="2" t="s">
        <v>51</v>
      </c>
      <c r="G2204" s="2" t="s">
        <v>42</v>
      </c>
      <c r="H2204" s="2">
        <v>9</v>
      </c>
      <c r="I2204" s="4">
        <v>1952.28</v>
      </c>
      <c r="J2204" s="3">
        <v>45992</v>
      </c>
      <c r="K2204">
        <f t="shared" si="34"/>
        <v>17570.52</v>
      </c>
      <c r="L2204" t="str">
        <f>INDEX(Raw_Shipments!L2204:L4632,MATCH(A2204,Raw_Shipments!B2204:B4632))</f>
        <v>No</v>
      </c>
    </row>
    <row r="2205" spans="1:12" x14ac:dyDescent="0.3">
      <c r="A2205" s="5" t="s">
        <v>2354</v>
      </c>
      <c r="B2205" s="6">
        <v>45990</v>
      </c>
      <c r="C2205" s="5" t="s">
        <v>442</v>
      </c>
      <c r="D2205" s="5" t="s">
        <v>14</v>
      </c>
      <c r="E2205" s="5" t="s">
        <v>58</v>
      </c>
      <c r="F2205" s="5" t="s">
        <v>59</v>
      </c>
      <c r="G2205" s="5" t="s">
        <v>55</v>
      </c>
      <c r="H2205" s="5">
        <v>23</v>
      </c>
      <c r="I2205" s="7">
        <v>1695.1</v>
      </c>
      <c r="J2205" s="6">
        <v>45995</v>
      </c>
      <c r="K2205">
        <f t="shared" si="34"/>
        <v>38987.299999999996</v>
      </c>
      <c r="L2205" t="str">
        <f>INDEX(Raw_Shipments!L2205:L4633,MATCH(A2205,Raw_Shipments!B2205:B4633))</f>
        <v>No</v>
      </c>
    </row>
    <row r="2206" spans="1:12" x14ac:dyDescent="0.3">
      <c r="A2206" s="2" t="s">
        <v>2355</v>
      </c>
      <c r="B2206" s="3">
        <v>45990</v>
      </c>
      <c r="C2206" s="2" t="s">
        <v>400</v>
      </c>
      <c r="D2206" s="2" t="s">
        <v>30</v>
      </c>
      <c r="E2206" s="2" t="s">
        <v>15</v>
      </c>
      <c r="F2206" s="2" t="s">
        <v>16</v>
      </c>
      <c r="G2206" s="2" t="s">
        <v>17</v>
      </c>
      <c r="H2206" s="2">
        <v>20</v>
      </c>
      <c r="I2206" s="4">
        <v>183.06</v>
      </c>
      <c r="J2206" s="3">
        <v>45999</v>
      </c>
      <c r="K2206">
        <f t="shared" si="34"/>
        <v>3661.2</v>
      </c>
      <c r="L2206" t="str">
        <f>INDEX(Raw_Shipments!L2206:L4634,MATCH(A2206,Raw_Shipments!B2206:B4634))</f>
        <v>No</v>
      </c>
    </row>
    <row r="2207" spans="1:12" x14ac:dyDescent="0.3">
      <c r="A2207" s="5" t="s">
        <v>2356</v>
      </c>
      <c r="B2207" s="6">
        <v>45990</v>
      </c>
      <c r="C2207" s="5" t="s">
        <v>89</v>
      </c>
      <c r="D2207" s="5" t="s">
        <v>30</v>
      </c>
      <c r="E2207" s="5" t="s">
        <v>20</v>
      </c>
      <c r="F2207" s="5" t="s">
        <v>21</v>
      </c>
      <c r="G2207" s="5" t="s">
        <v>22</v>
      </c>
      <c r="H2207" s="5">
        <v>12</v>
      </c>
      <c r="I2207" s="7">
        <v>2108.56</v>
      </c>
      <c r="J2207" s="6">
        <v>45998</v>
      </c>
      <c r="K2207">
        <f t="shared" si="34"/>
        <v>25302.720000000001</v>
      </c>
      <c r="L2207" t="str">
        <f>INDEX(Raw_Shipments!L2207:L4635,MATCH(A2207,Raw_Shipments!B2207:B4635))</f>
        <v>No</v>
      </c>
    </row>
    <row r="2208" spans="1:12" x14ac:dyDescent="0.3">
      <c r="A2208" s="2" t="s">
        <v>2357</v>
      </c>
      <c r="B2208" s="3">
        <v>45990</v>
      </c>
      <c r="C2208" s="2" t="s">
        <v>91</v>
      </c>
      <c r="D2208" s="2" t="s">
        <v>45</v>
      </c>
      <c r="E2208" s="2" t="s">
        <v>31</v>
      </c>
      <c r="F2208" s="2" t="s">
        <v>32</v>
      </c>
      <c r="G2208" s="2" t="s">
        <v>33</v>
      </c>
      <c r="H2208" s="2">
        <v>41</v>
      </c>
      <c r="I2208" s="4">
        <v>689</v>
      </c>
      <c r="J2208" s="3">
        <v>45996</v>
      </c>
      <c r="K2208">
        <f t="shared" si="34"/>
        <v>28249</v>
      </c>
      <c r="L2208" t="str">
        <f>INDEX(Raw_Shipments!L2208:L4636,MATCH(A2208,Raw_Shipments!B2208:B4636))</f>
        <v>No</v>
      </c>
    </row>
    <row r="2209" spans="1:12" x14ac:dyDescent="0.3">
      <c r="A2209" s="5" t="s">
        <v>2358</v>
      </c>
      <c r="B2209" s="6">
        <v>45991</v>
      </c>
      <c r="C2209" s="5" t="s">
        <v>451</v>
      </c>
      <c r="D2209" s="5" t="s">
        <v>14</v>
      </c>
      <c r="E2209" s="5" t="s">
        <v>58</v>
      </c>
      <c r="F2209" s="5" t="s">
        <v>59</v>
      </c>
      <c r="G2209" s="5" t="s">
        <v>55</v>
      </c>
      <c r="H2209" s="5">
        <v>18</v>
      </c>
      <c r="I2209" s="7">
        <v>1695.1</v>
      </c>
      <c r="J2209" s="6">
        <v>46000</v>
      </c>
      <c r="K2209">
        <f t="shared" si="34"/>
        <v>30511.8</v>
      </c>
      <c r="L2209" t="str">
        <f>INDEX(Raw_Shipments!L2209:L4637,MATCH(A2209,Raw_Shipments!B2209:B4637))</f>
        <v>No</v>
      </c>
    </row>
    <row r="2210" spans="1:12" x14ac:dyDescent="0.3">
      <c r="A2210" s="2" t="s">
        <v>2359</v>
      </c>
      <c r="B2210" s="3">
        <v>45991</v>
      </c>
      <c r="C2210" s="2" t="s">
        <v>238</v>
      </c>
      <c r="D2210" s="2" t="s">
        <v>45</v>
      </c>
      <c r="E2210" s="2" t="s">
        <v>66</v>
      </c>
      <c r="F2210" s="2" t="s">
        <v>67</v>
      </c>
      <c r="G2210" s="2" t="s">
        <v>17</v>
      </c>
      <c r="H2210" s="2">
        <v>18</v>
      </c>
      <c r="I2210" s="4">
        <v>850.8</v>
      </c>
      <c r="J2210" s="3">
        <v>45994</v>
      </c>
      <c r="K2210">
        <f t="shared" si="34"/>
        <v>15314.4</v>
      </c>
      <c r="L2210" t="str">
        <f>INDEX(Raw_Shipments!L2210:L4638,MATCH(A2210,Raw_Shipments!B2210:B4638))</f>
        <v>No</v>
      </c>
    </row>
    <row r="2211" spans="1:12" x14ac:dyDescent="0.3">
      <c r="A2211" s="5" t="s">
        <v>2360</v>
      </c>
      <c r="B2211" s="6">
        <v>45991</v>
      </c>
      <c r="C2211" s="5" t="s">
        <v>222</v>
      </c>
      <c r="D2211" s="5" t="s">
        <v>25</v>
      </c>
      <c r="E2211" s="5" t="s">
        <v>97</v>
      </c>
      <c r="F2211" s="5" t="s">
        <v>98</v>
      </c>
      <c r="G2211" s="5" t="s">
        <v>17</v>
      </c>
      <c r="H2211" s="5">
        <v>31</v>
      </c>
      <c r="I2211" s="7">
        <v>1110.6500000000001</v>
      </c>
      <c r="J2211" s="6">
        <v>45995</v>
      </c>
      <c r="K2211">
        <f t="shared" si="34"/>
        <v>34430.15</v>
      </c>
      <c r="L2211" t="str">
        <f>INDEX(Raw_Shipments!L2211:L4639,MATCH(A2211,Raw_Shipments!B2211:B4639))</f>
        <v>No</v>
      </c>
    </row>
    <row r="2212" spans="1:12" x14ac:dyDescent="0.3">
      <c r="A2212" s="2" t="s">
        <v>2361</v>
      </c>
      <c r="B2212" s="3">
        <v>45991</v>
      </c>
      <c r="C2212" s="2" t="s">
        <v>431</v>
      </c>
      <c r="D2212" s="2" t="s">
        <v>25</v>
      </c>
      <c r="E2212" s="2" t="s">
        <v>20</v>
      </c>
      <c r="F2212" s="2" t="s">
        <v>21</v>
      </c>
      <c r="G2212" s="2" t="s">
        <v>22</v>
      </c>
      <c r="H2212" s="2">
        <v>25</v>
      </c>
      <c r="I2212" s="4">
        <v>2108.56</v>
      </c>
      <c r="J2212" s="3">
        <v>45994</v>
      </c>
      <c r="K2212">
        <f t="shared" si="34"/>
        <v>52714</v>
      </c>
      <c r="L2212" t="str">
        <f>INDEX(Raw_Shipments!L2212:L4640,MATCH(A2212,Raw_Shipments!B2212:B4640))</f>
        <v>No</v>
      </c>
    </row>
    <row r="2213" spans="1:12" x14ac:dyDescent="0.3">
      <c r="A2213" s="5" t="s">
        <v>2362</v>
      </c>
      <c r="B2213" s="6">
        <v>45991</v>
      </c>
      <c r="C2213" s="5" t="s">
        <v>131</v>
      </c>
      <c r="D2213" s="5" t="s">
        <v>25</v>
      </c>
      <c r="E2213" s="5" t="s">
        <v>119</v>
      </c>
      <c r="F2213" s="5" t="s">
        <v>120</v>
      </c>
      <c r="G2213" s="5" t="s">
        <v>22</v>
      </c>
      <c r="H2213" s="5">
        <v>41</v>
      </c>
      <c r="I2213" s="7">
        <v>912.26</v>
      </c>
      <c r="J2213" s="6">
        <v>45999</v>
      </c>
      <c r="K2213">
        <f t="shared" si="34"/>
        <v>37402.659999999996</v>
      </c>
      <c r="L2213" t="str">
        <f>INDEX(Raw_Shipments!L2213:L4641,MATCH(A2213,Raw_Shipments!B2213:B4641))</f>
        <v>No</v>
      </c>
    </row>
    <row r="2214" spans="1:12" x14ac:dyDescent="0.3">
      <c r="A2214" s="2" t="s">
        <v>2363</v>
      </c>
      <c r="B2214" s="3">
        <v>45991</v>
      </c>
      <c r="C2214" s="2" t="s">
        <v>44</v>
      </c>
      <c r="D2214" s="2" t="s">
        <v>30</v>
      </c>
      <c r="E2214" s="2" t="s">
        <v>26</v>
      </c>
      <c r="F2214" s="2" t="s">
        <v>27</v>
      </c>
      <c r="G2214" s="2" t="s">
        <v>22</v>
      </c>
      <c r="H2214" s="2">
        <v>16</v>
      </c>
      <c r="I2214" s="4">
        <v>1646.8</v>
      </c>
      <c r="J2214" s="3">
        <v>45994</v>
      </c>
      <c r="K2214">
        <f t="shared" si="34"/>
        <v>26348.799999999999</v>
      </c>
      <c r="L2214" t="str">
        <f>INDEX(Raw_Shipments!L2214:L4642,MATCH(A2214,Raw_Shipments!B2214:B4642))</f>
        <v>No</v>
      </c>
    </row>
    <row r="2215" spans="1:12" x14ac:dyDescent="0.3">
      <c r="A2215" s="5" t="s">
        <v>2364</v>
      </c>
      <c r="B2215" s="6">
        <v>45991</v>
      </c>
      <c r="C2215" s="5" t="s">
        <v>431</v>
      </c>
      <c r="D2215" s="5" t="s">
        <v>30</v>
      </c>
      <c r="E2215" s="5" t="s">
        <v>86</v>
      </c>
      <c r="F2215" s="5" t="s">
        <v>87</v>
      </c>
      <c r="G2215" s="5" t="s">
        <v>33</v>
      </c>
      <c r="H2215" s="5">
        <v>25</v>
      </c>
      <c r="I2215" s="7">
        <v>815.88</v>
      </c>
      <c r="J2215" s="6">
        <v>45998</v>
      </c>
      <c r="K2215">
        <f t="shared" si="34"/>
        <v>20397</v>
      </c>
      <c r="L2215" t="str">
        <f>INDEX(Raw_Shipments!L2215:L4643,MATCH(A2215,Raw_Shipments!B2215:B4643))</f>
        <v>No</v>
      </c>
    </row>
    <row r="2216" spans="1:12" x14ac:dyDescent="0.3">
      <c r="A2216" s="2" t="s">
        <v>2365</v>
      </c>
      <c r="B2216" s="3">
        <v>45991</v>
      </c>
      <c r="C2216" s="2" t="s">
        <v>279</v>
      </c>
      <c r="D2216" s="2" t="s">
        <v>30</v>
      </c>
      <c r="E2216" s="2" t="s">
        <v>46</v>
      </c>
      <c r="F2216" s="2" t="s">
        <v>47</v>
      </c>
      <c r="G2216" s="2" t="s">
        <v>42</v>
      </c>
      <c r="H2216" s="2">
        <v>6</v>
      </c>
      <c r="I2216" s="4">
        <v>1833.14</v>
      </c>
      <c r="J2216" s="3">
        <v>45999</v>
      </c>
      <c r="K2216">
        <f t="shared" si="34"/>
        <v>10998.84</v>
      </c>
      <c r="L2216" t="str">
        <f>INDEX(Raw_Shipments!L2216:L4644,MATCH(A2216,Raw_Shipments!B2216:B4644))</f>
        <v>No</v>
      </c>
    </row>
    <row r="2217" spans="1:12" x14ac:dyDescent="0.3">
      <c r="A2217" s="5" t="s">
        <v>2366</v>
      </c>
      <c r="B2217" s="6">
        <v>45992</v>
      </c>
      <c r="C2217" s="5" t="s">
        <v>150</v>
      </c>
      <c r="D2217" s="5" t="s">
        <v>45</v>
      </c>
      <c r="E2217" s="5" t="s">
        <v>53</v>
      </c>
      <c r="F2217" s="5" t="s">
        <v>54</v>
      </c>
      <c r="G2217" s="5" t="s">
        <v>55</v>
      </c>
      <c r="H2217" s="5">
        <v>40</v>
      </c>
      <c r="I2217" s="7">
        <v>2055.9</v>
      </c>
      <c r="J2217" s="6">
        <v>46002</v>
      </c>
      <c r="K2217">
        <f t="shared" si="34"/>
        <v>82236</v>
      </c>
      <c r="L2217" t="str">
        <f>INDEX(Raw_Shipments!L2217:L4645,MATCH(A2217,Raw_Shipments!B2217:B4645))</f>
        <v>No</v>
      </c>
    </row>
    <row r="2218" spans="1:12" x14ac:dyDescent="0.3">
      <c r="A2218" s="2" t="s">
        <v>2367</v>
      </c>
      <c r="B2218" s="3">
        <v>45992</v>
      </c>
      <c r="C2218" s="2" t="s">
        <v>79</v>
      </c>
      <c r="D2218" s="2" t="s">
        <v>30</v>
      </c>
      <c r="E2218" s="2" t="s">
        <v>66</v>
      </c>
      <c r="F2218" s="2" t="s">
        <v>67</v>
      </c>
      <c r="G2218" s="2" t="s">
        <v>17</v>
      </c>
      <c r="H2218" s="2">
        <v>15</v>
      </c>
      <c r="I2218" s="4">
        <v>850.8</v>
      </c>
      <c r="J2218" s="3">
        <v>45996</v>
      </c>
      <c r="K2218">
        <f t="shared" si="34"/>
        <v>12762</v>
      </c>
      <c r="L2218" t="str">
        <f>INDEX(Raw_Shipments!L2218:L4646,MATCH(A2218,Raw_Shipments!B2218:B4646))</f>
        <v>No</v>
      </c>
    </row>
    <row r="2219" spans="1:12" x14ac:dyDescent="0.3">
      <c r="A2219" s="5" t="s">
        <v>2368</v>
      </c>
      <c r="B2219" s="6">
        <v>45992</v>
      </c>
      <c r="C2219" s="5" t="s">
        <v>24</v>
      </c>
      <c r="D2219" s="5" t="s">
        <v>25</v>
      </c>
      <c r="E2219" s="5" t="s">
        <v>15</v>
      </c>
      <c r="F2219" s="5" t="s">
        <v>16</v>
      </c>
      <c r="G2219" s="5" t="s">
        <v>17</v>
      </c>
      <c r="H2219" s="5">
        <v>8</v>
      </c>
      <c r="I2219" s="7">
        <v>183.06</v>
      </c>
      <c r="J2219" s="6">
        <v>46002</v>
      </c>
      <c r="K2219">
        <f t="shared" si="34"/>
        <v>1464.48</v>
      </c>
      <c r="L2219" t="str">
        <f>INDEX(Raw_Shipments!L2219:L4647,MATCH(A2219,Raw_Shipments!B2219:B4647))</f>
        <v>No</v>
      </c>
    </row>
    <row r="2220" spans="1:12" x14ac:dyDescent="0.3">
      <c r="A2220" s="2" t="s">
        <v>2369</v>
      </c>
      <c r="B2220" s="3">
        <v>45992</v>
      </c>
      <c r="C2220" s="2" t="s">
        <v>85</v>
      </c>
      <c r="D2220" s="2" t="s">
        <v>30</v>
      </c>
      <c r="E2220" s="2" t="s">
        <v>20</v>
      </c>
      <c r="F2220" s="2" t="s">
        <v>21</v>
      </c>
      <c r="G2220" s="2" t="s">
        <v>22</v>
      </c>
      <c r="H2220" s="2">
        <v>19</v>
      </c>
      <c r="I2220" s="4">
        <v>2108.56</v>
      </c>
      <c r="J2220" s="3">
        <v>45998</v>
      </c>
      <c r="K2220">
        <f t="shared" si="34"/>
        <v>40062.639999999999</v>
      </c>
      <c r="L2220" t="str">
        <f>INDEX(Raw_Shipments!L2220:L4648,MATCH(A2220,Raw_Shipments!B2220:B4648))</f>
        <v>Yes</v>
      </c>
    </row>
    <row r="2221" spans="1:12" x14ac:dyDescent="0.3">
      <c r="A2221" s="5" t="s">
        <v>2370</v>
      </c>
      <c r="B2221" s="6">
        <v>45992</v>
      </c>
      <c r="C2221" s="5" t="s">
        <v>282</v>
      </c>
      <c r="D2221" s="5" t="s">
        <v>45</v>
      </c>
      <c r="E2221" s="5" t="s">
        <v>119</v>
      </c>
      <c r="F2221" s="5" t="s">
        <v>120</v>
      </c>
      <c r="G2221" s="5" t="s">
        <v>22</v>
      </c>
      <c r="H2221" s="5">
        <v>16</v>
      </c>
      <c r="I2221" s="7">
        <v>912.26</v>
      </c>
      <c r="J2221" s="6">
        <v>45997</v>
      </c>
      <c r="K2221">
        <f t="shared" si="34"/>
        <v>14596.16</v>
      </c>
      <c r="L2221" t="str">
        <f>INDEX(Raw_Shipments!L2221:L4649,MATCH(A2221,Raw_Shipments!B2221:B4649))</f>
        <v>No</v>
      </c>
    </row>
    <row r="2222" spans="1:12" x14ac:dyDescent="0.3">
      <c r="A2222" s="2" t="s">
        <v>2371</v>
      </c>
      <c r="B2222" s="3">
        <v>45992</v>
      </c>
      <c r="C2222" s="2" t="s">
        <v>152</v>
      </c>
      <c r="D2222" s="2" t="s">
        <v>45</v>
      </c>
      <c r="E2222" s="2" t="s">
        <v>31</v>
      </c>
      <c r="F2222" s="2" t="s">
        <v>32</v>
      </c>
      <c r="G2222" s="2" t="s">
        <v>33</v>
      </c>
      <c r="H2222" s="2">
        <v>29</v>
      </c>
      <c r="I2222" s="4">
        <v>689</v>
      </c>
      <c r="J2222" s="3">
        <v>46001</v>
      </c>
      <c r="K2222">
        <f t="shared" si="34"/>
        <v>19981</v>
      </c>
      <c r="L2222" t="str">
        <f>INDEX(Raw_Shipments!L2222:L4650,MATCH(A2222,Raw_Shipments!B2222:B4650))</f>
        <v>Yes</v>
      </c>
    </row>
    <row r="2223" spans="1:12" x14ac:dyDescent="0.3">
      <c r="A2223" s="5" t="s">
        <v>2372</v>
      </c>
      <c r="B2223" s="6">
        <v>45992</v>
      </c>
      <c r="C2223" s="5" t="s">
        <v>431</v>
      </c>
      <c r="D2223" s="5" t="s">
        <v>30</v>
      </c>
      <c r="E2223" s="5" t="s">
        <v>36</v>
      </c>
      <c r="F2223" s="5" t="s">
        <v>37</v>
      </c>
      <c r="G2223" s="5" t="s">
        <v>33</v>
      </c>
      <c r="H2223" s="5">
        <v>48</v>
      </c>
      <c r="I2223" s="7">
        <v>1064.79</v>
      </c>
      <c r="J2223" s="6">
        <v>45996</v>
      </c>
      <c r="K2223">
        <f t="shared" si="34"/>
        <v>51109.919999999998</v>
      </c>
      <c r="L2223" t="str">
        <f>INDEX(Raw_Shipments!L2223:L4651,MATCH(A2223,Raw_Shipments!B2223:B4651))</f>
        <v>No</v>
      </c>
    </row>
    <row r="2224" spans="1:12" x14ac:dyDescent="0.3">
      <c r="A2224" s="2" t="s">
        <v>2373</v>
      </c>
      <c r="B2224" s="3">
        <v>45992</v>
      </c>
      <c r="C2224" s="2" t="s">
        <v>238</v>
      </c>
      <c r="D2224" s="2" t="s">
        <v>25</v>
      </c>
      <c r="E2224" s="2" t="s">
        <v>86</v>
      </c>
      <c r="F2224" s="2" t="s">
        <v>87</v>
      </c>
      <c r="G2224" s="2" t="s">
        <v>33</v>
      </c>
      <c r="H2224" s="2">
        <v>11</v>
      </c>
      <c r="I2224" s="4">
        <v>815.88</v>
      </c>
      <c r="J2224" s="3">
        <v>45995</v>
      </c>
      <c r="K2224">
        <f t="shared" si="34"/>
        <v>8974.68</v>
      </c>
      <c r="L2224" t="str">
        <f>INDEX(Raw_Shipments!L2224:L4652,MATCH(A2224,Raw_Shipments!B2224:B4652))</f>
        <v>No</v>
      </c>
    </row>
    <row r="2225" spans="1:12" x14ac:dyDescent="0.3">
      <c r="A2225" s="5" t="s">
        <v>2374</v>
      </c>
      <c r="B2225" s="6">
        <v>45992</v>
      </c>
      <c r="C2225" s="5" t="s">
        <v>81</v>
      </c>
      <c r="D2225" s="5" t="s">
        <v>14</v>
      </c>
      <c r="E2225" s="5" t="s">
        <v>40</v>
      </c>
      <c r="F2225" s="5" t="s">
        <v>41</v>
      </c>
      <c r="G2225" s="5" t="s">
        <v>42</v>
      </c>
      <c r="H2225" s="5">
        <v>39</v>
      </c>
      <c r="I2225" s="7">
        <v>2445.11</v>
      </c>
      <c r="J2225" s="6">
        <v>45997</v>
      </c>
      <c r="K2225">
        <f t="shared" si="34"/>
        <v>95359.290000000008</v>
      </c>
      <c r="L2225" t="str">
        <f>INDEX(Raw_Shipments!L2225:L4653,MATCH(A2225,Raw_Shipments!B2225:B4653))</f>
        <v>No</v>
      </c>
    </row>
    <row r="2226" spans="1:12" x14ac:dyDescent="0.3">
      <c r="A2226" s="2" t="s">
        <v>2375</v>
      </c>
      <c r="B2226" s="3">
        <v>45992</v>
      </c>
      <c r="C2226" s="2" t="s">
        <v>343</v>
      </c>
      <c r="D2226" s="2" t="s">
        <v>30</v>
      </c>
      <c r="E2226" s="2" t="s">
        <v>50</v>
      </c>
      <c r="F2226" s="2" t="s">
        <v>51</v>
      </c>
      <c r="G2226" s="2" t="s">
        <v>42</v>
      </c>
      <c r="H2226" s="2">
        <v>6</v>
      </c>
      <c r="I2226" s="4">
        <v>1952.28</v>
      </c>
      <c r="J2226" s="3">
        <v>45997</v>
      </c>
      <c r="K2226">
        <f t="shared" si="34"/>
        <v>11713.68</v>
      </c>
      <c r="L2226" t="str">
        <f>INDEX(Raw_Shipments!L2226:L4654,MATCH(A2226,Raw_Shipments!B2226:B4654))</f>
        <v>No</v>
      </c>
    </row>
    <row r="2227" spans="1:12" x14ac:dyDescent="0.3">
      <c r="A2227" s="5" t="s">
        <v>2376</v>
      </c>
      <c r="B2227" s="6">
        <v>45993</v>
      </c>
      <c r="C2227" s="5" t="s">
        <v>248</v>
      </c>
      <c r="D2227" s="5" t="s">
        <v>25</v>
      </c>
      <c r="E2227" s="5" t="s">
        <v>53</v>
      </c>
      <c r="F2227" s="5" t="s">
        <v>54</v>
      </c>
      <c r="G2227" s="5" t="s">
        <v>55</v>
      </c>
      <c r="H2227" s="5">
        <v>57</v>
      </c>
      <c r="I2227" s="7">
        <v>2055.9</v>
      </c>
      <c r="J2227" s="6">
        <v>45998</v>
      </c>
      <c r="K2227">
        <f t="shared" si="34"/>
        <v>117186.3</v>
      </c>
      <c r="L2227" t="str">
        <f>INDEX(Raw_Shipments!L2227:L4655,MATCH(A2227,Raw_Shipments!B2227:B4655))</f>
        <v>No</v>
      </c>
    </row>
    <row r="2228" spans="1:12" x14ac:dyDescent="0.3">
      <c r="A2228" s="2" t="s">
        <v>2377</v>
      </c>
      <c r="B2228" s="3">
        <v>45993</v>
      </c>
      <c r="C2228" s="2" t="s">
        <v>57</v>
      </c>
      <c r="D2228" s="2" t="s">
        <v>30</v>
      </c>
      <c r="E2228" s="2" t="s">
        <v>119</v>
      </c>
      <c r="F2228" s="2" t="s">
        <v>120</v>
      </c>
      <c r="G2228" s="2" t="s">
        <v>22</v>
      </c>
      <c r="H2228" s="2">
        <v>55</v>
      </c>
      <c r="I2228" s="4">
        <v>912.26</v>
      </c>
      <c r="J2228" s="3">
        <v>45996</v>
      </c>
      <c r="K2228">
        <f t="shared" si="34"/>
        <v>50174.3</v>
      </c>
      <c r="L2228" t="str">
        <f>INDEX(Raw_Shipments!L2228:L4656,MATCH(A2228,Raw_Shipments!B2228:B4656))</f>
        <v>No</v>
      </c>
    </row>
    <row r="2229" spans="1:12" x14ac:dyDescent="0.3">
      <c r="A2229" s="5" t="s">
        <v>2378</v>
      </c>
      <c r="B2229" s="6">
        <v>45993</v>
      </c>
      <c r="C2229" s="5" t="s">
        <v>19</v>
      </c>
      <c r="D2229" s="5" t="s">
        <v>25</v>
      </c>
      <c r="E2229" s="5" t="s">
        <v>26</v>
      </c>
      <c r="F2229" s="5" t="s">
        <v>27</v>
      </c>
      <c r="G2229" s="5" t="s">
        <v>22</v>
      </c>
      <c r="H2229" s="5">
        <v>28</v>
      </c>
      <c r="I2229" s="7">
        <v>1646.8</v>
      </c>
      <c r="J2229" s="6">
        <v>46002</v>
      </c>
      <c r="K2229">
        <f t="shared" si="34"/>
        <v>46110.400000000001</v>
      </c>
      <c r="L2229" t="str">
        <f>INDEX(Raw_Shipments!L2229:L4657,MATCH(A2229,Raw_Shipments!B2229:B4657))</f>
        <v>No</v>
      </c>
    </row>
    <row r="2230" spans="1:12" x14ac:dyDescent="0.3">
      <c r="A2230" s="2" t="s">
        <v>2379</v>
      </c>
      <c r="B2230" s="3">
        <v>45993</v>
      </c>
      <c r="C2230" s="2" t="s">
        <v>222</v>
      </c>
      <c r="D2230" s="2" t="s">
        <v>45</v>
      </c>
      <c r="E2230" s="2" t="s">
        <v>36</v>
      </c>
      <c r="F2230" s="2" t="s">
        <v>37</v>
      </c>
      <c r="G2230" s="2" t="s">
        <v>33</v>
      </c>
      <c r="H2230" s="2">
        <v>35</v>
      </c>
      <c r="I2230" s="4">
        <v>1064.79</v>
      </c>
      <c r="J2230" s="3">
        <v>46002</v>
      </c>
      <c r="K2230">
        <f t="shared" si="34"/>
        <v>37267.65</v>
      </c>
      <c r="L2230" t="str">
        <f>INDEX(Raw_Shipments!L2230:L4658,MATCH(A2230,Raw_Shipments!B2230:B4658))</f>
        <v>Yes</v>
      </c>
    </row>
    <row r="2231" spans="1:12" x14ac:dyDescent="0.3">
      <c r="A2231" s="5" t="s">
        <v>2380</v>
      </c>
      <c r="B2231" s="6">
        <v>45993</v>
      </c>
      <c r="C2231" s="5" t="s">
        <v>220</v>
      </c>
      <c r="D2231" s="5" t="s">
        <v>30</v>
      </c>
      <c r="E2231" s="5" t="s">
        <v>86</v>
      </c>
      <c r="F2231" s="5" t="s">
        <v>87</v>
      </c>
      <c r="G2231" s="5" t="s">
        <v>33</v>
      </c>
      <c r="H2231" s="5">
        <v>34</v>
      </c>
      <c r="I2231" s="7">
        <v>815.88</v>
      </c>
      <c r="J2231" s="6">
        <v>46001</v>
      </c>
      <c r="K2231">
        <f t="shared" si="34"/>
        <v>27739.919999999998</v>
      </c>
      <c r="L2231" t="str">
        <f>INDEX(Raw_Shipments!L2231:L4659,MATCH(A2231,Raw_Shipments!B2231:B4659))</f>
        <v>Yes</v>
      </c>
    </row>
    <row r="2232" spans="1:12" x14ac:dyDescent="0.3">
      <c r="A2232" s="2" t="s">
        <v>2381</v>
      </c>
      <c r="B2232" s="3">
        <v>45993</v>
      </c>
      <c r="C2232" s="2" t="s">
        <v>96</v>
      </c>
      <c r="D2232" s="2" t="s">
        <v>45</v>
      </c>
      <c r="E2232" s="2" t="s">
        <v>46</v>
      </c>
      <c r="F2232" s="2" t="s">
        <v>47</v>
      </c>
      <c r="G2232" s="2" t="s">
        <v>42</v>
      </c>
      <c r="H2232" s="2">
        <v>9</v>
      </c>
      <c r="I2232" s="4">
        <v>1833.14</v>
      </c>
      <c r="J2232" s="3">
        <v>45996</v>
      </c>
      <c r="K2232">
        <f t="shared" si="34"/>
        <v>16498.260000000002</v>
      </c>
      <c r="L2232" t="str">
        <f>INDEX(Raw_Shipments!L2232:L4660,MATCH(A2232,Raw_Shipments!B2232:B4660))</f>
        <v>No</v>
      </c>
    </row>
    <row r="2233" spans="1:12" x14ac:dyDescent="0.3">
      <c r="A2233" s="5" t="s">
        <v>2382</v>
      </c>
      <c r="B2233" s="6">
        <v>45994</v>
      </c>
      <c r="C2233" s="5" t="s">
        <v>178</v>
      </c>
      <c r="D2233" s="5" t="s">
        <v>25</v>
      </c>
      <c r="E2233" s="5" t="s">
        <v>58</v>
      </c>
      <c r="F2233" s="5" t="s">
        <v>59</v>
      </c>
      <c r="G2233" s="5" t="s">
        <v>55</v>
      </c>
      <c r="H2233" s="5">
        <v>19</v>
      </c>
      <c r="I2233" s="7">
        <v>1695.1</v>
      </c>
      <c r="J2233" s="6">
        <v>46002</v>
      </c>
      <c r="K2233">
        <f t="shared" si="34"/>
        <v>32206.899999999998</v>
      </c>
      <c r="L2233" t="str">
        <f>INDEX(Raw_Shipments!L2233:L4661,MATCH(A2233,Raw_Shipments!B2233:B4661))</f>
        <v>No</v>
      </c>
    </row>
    <row r="2234" spans="1:12" x14ac:dyDescent="0.3">
      <c r="A2234" s="2" t="s">
        <v>2383</v>
      </c>
      <c r="B2234" s="3">
        <v>45994</v>
      </c>
      <c r="C2234" s="2" t="s">
        <v>158</v>
      </c>
      <c r="D2234" s="2" t="s">
        <v>30</v>
      </c>
      <c r="E2234" s="2" t="s">
        <v>20</v>
      </c>
      <c r="F2234" s="2" t="s">
        <v>21</v>
      </c>
      <c r="G2234" s="2" t="s">
        <v>22</v>
      </c>
      <c r="H2234" s="2">
        <v>21</v>
      </c>
      <c r="I2234" s="4">
        <v>2108.56</v>
      </c>
      <c r="J2234" s="3">
        <v>46001</v>
      </c>
      <c r="K2234">
        <f t="shared" si="34"/>
        <v>44279.76</v>
      </c>
      <c r="L2234" t="str">
        <f>INDEX(Raw_Shipments!L2234:L4662,MATCH(A2234,Raw_Shipments!B2234:B4662))</f>
        <v>Yes</v>
      </c>
    </row>
    <row r="2235" spans="1:12" x14ac:dyDescent="0.3">
      <c r="A2235" s="5" t="s">
        <v>2384</v>
      </c>
      <c r="B2235" s="6">
        <v>45994</v>
      </c>
      <c r="C2235" s="5" t="s">
        <v>418</v>
      </c>
      <c r="D2235" s="5" t="s">
        <v>45</v>
      </c>
      <c r="E2235" s="5" t="s">
        <v>119</v>
      </c>
      <c r="F2235" s="5" t="s">
        <v>120</v>
      </c>
      <c r="G2235" s="5" t="s">
        <v>22</v>
      </c>
      <c r="H2235" s="5">
        <v>53</v>
      </c>
      <c r="I2235" s="7">
        <v>912.26</v>
      </c>
      <c r="J2235" s="6">
        <v>45997</v>
      </c>
      <c r="K2235">
        <f t="shared" si="34"/>
        <v>48349.78</v>
      </c>
      <c r="L2235" t="str">
        <f>INDEX(Raw_Shipments!L2235:L4663,MATCH(A2235,Raw_Shipments!B2235:B4663))</f>
        <v>No</v>
      </c>
    </row>
    <row r="2236" spans="1:12" x14ac:dyDescent="0.3">
      <c r="A2236" s="2" t="s">
        <v>2385</v>
      </c>
      <c r="B2236" s="3">
        <v>45994</v>
      </c>
      <c r="C2236" s="2" t="s">
        <v>451</v>
      </c>
      <c r="D2236" s="2" t="s">
        <v>14</v>
      </c>
      <c r="E2236" s="2" t="s">
        <v>26</v>
      </c>
      <c r="F2236" s="2" t="s">
        <v>27</v>
      </c>
      <c r="G2236" s="2" t="s">
        <v>22</v>
      </c>
      <c r="H2236" s="2">
        <v>18</v>
      </c>
      <c r="I2236" s="4">
        <v>1646.8</v>
      </c>
      <c r="J2236" s="3">
        <v>45997</v>
      </c>
      <c r="K2236">
        <f t="shared" si="34"/>
        <v>29642.399999999998</v>
      </c>
      <c r="L2236" t="str">
        <f>INDEX(Raw_Shipments!L2236:L4664,MATCH(A2236,Raw_Shipments!B2236:B4664))</f>
        <v>No</v>
      </c>
    </row>
    <row r="2237" spans="1:12" x14ac:dyDescent="0.3">
      <c r="A2237" s="5" t="s">
        <v>2386</v>
      </c>
      <c r="B2237" s="6">
        <v>45994</v>
      </c>
      <c r="C2237" s="5" t="s">
        <v>65</v>
      </c>
      <c r="D2237" s="5" t="s">
        <v>14</v>
      </c>
      <c r="E2237" s="5" t="s">
        <v>31</v>
      </c>
      <c r="F2237" s="5" t="s">
        <v>32</v>
      </c>
      <c r="G2237" s="5" t="s">
        <v>33</v>
      </c>
      <c r="H2237" s="5">
        <v>28</v>
      </c>
      <c r="I2237" s="7">
        <v>689</v>
      </c>
      <c r="J2237" s="6">
        <v>46000</v>
      </c>
      <c r="K2237">
        <f t="shared" si="34"/>
        <v>19292</v>
      </c>
      <c r="L2237" t="str">
        <f>INDEX(Raw_Shipments!L2237:L4665,MATCH(A2237,Raw_Shipments!B2237:B4665))</f>
        <v>No</v>
      </c>
    </row>
    <row r="2238" spans="1:12" x14ac:dyDescent="0.3">
      <c r="A2238" s="2" t="s">
        <v>2387</v>
      </c>
      <c r="B2238" s="3">
        <v>45994</v>
      </c>
      <c r="C2238" s="2" t="s">
        <v>107</v>
      </c>
      <c r="D2238" s="2" t="s">
        <v>30</v>
      </c>
      <c r="E2238" s="2" t="s">
        <v>36</v>
      </c>
      <c r="F2238" s="2" t="s">
        <v>37</v>
      </c>
      <c r="G2238" s="2" t="s">
        <v>33</v>
      </c>
      <c r="H2238" s="2">
        <v>29</v>
      </c>
      <c r="I2238" s="4">
        <v>1064.79</v>
      </c>
      <c r="J2238" s="3">
        <v>45998</v>
      </c>
      <c r="K2238">
        <f t="shared" si="34"/>
        <v>30878.91</v>
      </c>
      <c r="L2238" t="str">
        <f>INDEX(Raw_Shipments!L2238:L4666,MATCH(A2238,Raw_Shipments!B2238:B4666))</f>
        <v>No</v>
      </c>
    </row>
    <row r="2239" spans="1:12" x14ac:dyDescent="0.3">
      <c r="A2239" s="5" t="s">
        <v>2388</v>
      </c>
      <c r="B2239" s="6">
        <v>45994</v>
      </c>
      <c r="C2239" s="5" t="s">
        <v>418</v>
      </c>
      <c r="D2239" s="5" t="s">
        <v>14</v>
      </c>
      <c r="E2239" s="5" t="s">
        <v>50</v>
      </c>
      <c r="F2239" s="5" t="s">
        <v>51</v>
      </c>
      <c r="G2239" s="5" t="s">
        <v>42</v>
      </c>
      <c r="H2239" s="5">
        <v>11</v>
      </c>
      <c r="I2239" s="7">
        <v>1952.28</v>
      </c>
      <c r="J2239" s="6">
        <v>45999</v>
      </c>
      <c r="K2239">
        <f t="shared" si="34"/>
        <v>21475.079999999998</v>
      </c>
      <c r="L2239" t="str">
        <f>INDEX(Raw_Shipments!L2239:L4667,MATCH(A2239,Raw_Shipments!B2239:B4667))</f>
        <v>No</v>
      </c>
    </row>
    <row r="2240" spans="1:12" x14ac:dyDescent="0.3">
      <c r="A2240" s="2" t="s">
        <v>2389</v>
      </c>
      <c r="B2240" s="3">
        <v>45995</v>
      </c>
      <c r="C2240" s="2" t="s">
        <v>35</v>
      </c>
      <c r="D2240" s="2" t="s">
        <v>30</v>
      </c>
      <c r="E2240" s="2" t="s">
        <v>58</v>
      </c>
      <c r="F2240" s="2" t="s">
        <v>59</v>
      </c>
      <c r="G2240" s="2" t="s">
        <v>55</v>
      </c>
      <c r="H2240" s="2">
        <v>1</v>
      </c>
      <c r="I2240" s="4">
        <v>1695.1</v>
      </c>
      <c r="J2240" s="3">
        <v>46000</v>
      </c>
      <c r="K2240">
        <f t="shared" si="34"/>
        <v>1695.1</v>
      </c>
      <c r="L2240" t="str">
        <f>INDEX(Raw_Shipments!L2240:L4668,MATCH(A2240,Raw_Shipments!B2240:B4668))</f>
        <v>No</v>
      </c>
    </row>
    <row r="2241" spans="1:12" x14ac:dyDescent="0.3">
      <c r="A2241" s="5" t="s">
        <v>2390</v>
      </c>
      <c r="B2241" s="6">
        <v>45995</v>
      </c>
      <c r="C2241" s="5" t="s">
        <v>77</v>
      </c>
      <c r="D2241" s="5" t="s">
        <v>30</v>
      </c>
      <c r="E2241" s="5" t="s">
        <v>66</v>
      </c>
      <c r="F2241" s="5" t="s">
        <v>67</v>
      </c>
      <c r="G2241" s="5" t="s">
        <v>17</v>
      </c>
      <c r="H2241" s="5">
        <v>16</v>
      </c>
      <c r="I2241" s="7">
        <v>850.8</v>
      </c>
      <c r="J2241" s="6">
        <v>46001</v>
      </c>
      <c r="K2241">
        <f t="shared" si="34"/>
        <v>13612.8</v>
      </c>
      <c r="L2241" t="str">
        <f>INDEX(Raw_Shipments!L2241:L4669,MATCH(A2241,Raw_Shipments!B2241:B4669))</f>
        <v>No</v>
      </c>
    </row>
    <row r="2242" spans="1:12" x14ac:dyDescent="0.3">
      <c r="A2242" s="2" t="s">
        <v>2391</v>
      </c>
      <c r="B2242" s="3">
        <v>45995</v>
      </c>
      <c r="C2242" s="2" t="s">
        <v>154</v>
      </c>
      <c r="D2242" s="2" t="s">
        <v>14</v>
      </c>
      <c r="E2242" s="2" t="s">
        <v>97</v>
      </c>
      <c r="F2242" s="2" t="s">
        <v>98</v>
      </c>
      <c r="G2242" s="2" t="s">
        <v>17</v>
      </c>
      <c r="H2242" s="2">
        <v>12</v>
      </c>
      <c r="I2242" s="4">
        <v>1110.6500000000001</v>
      </c>
      <c r="J2242" s="3">
        <v>46004</v>
      </c>
      <c r="K2242">
        <f t="shared" si="34"/>
        <v>13327.800000000001</v>
      </c>
      <c r="L2242" t="str">
        <f>INDEX(Raw_Shipments!L2242:L4670,MATCH(A2242,Raw_Shipments!B2242:B4670))</f>
        <v>Yes</v>
      </c>
    </row>
    <row r="2243" spans="1:12" x14ac:dyDescent="0.3">
      <c r="A2243" s="5" t="s">
        <v>2392</v>
      </c>
      <c r="B2243" s="6">
        <v>45995</v>
      </c>
      <c r="C2243" s="5" t="s">
        <v>89</v>
      </c>
      <c r="D2243" s="5" t="s">
        <v>14</v>
      </c>
      <c r="E2243" s="5" t="s">
        <v>119</v>
      </c>
      <c r="F2243" s="5" t="s">
        <v>120</v>
      </c>
      <c r="G2243" s="5" t="s">
        <v>22</v>
      </c>
      <c r="H2243" s="5">
        <v>65</v>
      </c>
      <c r="I2243" s="7">
        <v>912.26</v>
      </c>
      <c r="J2243" s="6">
        <v>46001</v>
      </c>
      <c r="K2243">
        <f t="shared" ref="K2243:K2306" si="35">I2243*H2243</f>
        <v>59296.9</v>
      </c>
      <c r="L2243" t="str">
        <f>INDEX(Raw_Shipments!L2243:L4671,MATCH(A2243,Raw_Shipments!B2243:B4671))</f>
        <v>No</v>
      </c>
    </row>
    <row r="2244" spans="1:12" x14ac:dyDescent="0.3">
      <c r="A2244" s="2" t="s">
        <v>2393</v>
      </c>
      <c r="B2244" s="3">
        <v>45995</v>
      </c>
      <c r="C2244" s="2" t="s">
        <v>122</v>
      </c>
      <c r="D2244" s="2" t="s">
        <v>25</v>
      </c>
      <c r="E2244" s="2" t="s">
        <v>86</v>
      </c>
      <c r="F2244" s="2" t="s">
        <v>87</v>
      </c>
      <c r="G2244" s="2" t="s">
        <v>33</v>
      </c>
      <c r="H2244" s="2">
        <v>44</v>
      </c>
      <c r="I2244" s="4">
        <v>815.88</v>
      </c>
      <c r="J2244" s="3">
        <v>46001</v>
      </c>
      <c r="K2244">
        <f t="shared" si="35"/>
        <v>35898.720000000001</v>
      </c>
      <c r="L2244" t="str">
        <f>INDEX(Raw_Shipments!L2244:L4672,MATCH(A2244,Raw_Shipments!B2244:B4672))</f>
        <v>No</v>
      </c>
    </row>
    <row r="2245" spans="1:12" x14ac:dyDescent="0.3">
      <c r="A2245" s="5" t="s">
        <v>2394</v>
      </c>
      <c r="B2245" s="6">
        <v>45995</v>
      </c>
      <c r="C2245" s="5" t="s">
        <v>260</v>
      </c>
      <c r="D2245" s="5" t="s">
        <v>45</v>
      </c>
      <c r="E2245" s="5" t="s">
        <v>46</v>
      </c>
      <c r="F2245" s="5" t="s">
        <v>47</v>
      </c>
      <c r="G2245" s="5" t="s">
        <v>42</v>
      </c>
      <c r="H2245" s="5">
        <v>5</v>
      </c>
      <c r="I2245" s="7">
        <v>1833.14</v>
      </c>
      <c r="J2245" s="6">
        <v>45998</v>
      </c>
      <c r="K2245">
        <f t="shared" si="35"/>
        <v>9165.7000000000007</v>
      </c>
      <c r="L2245" t="str">
        <f>INDEX(Raw_Shipments!L2245:L4673,MATCH(A2245,Raw_Shipments!B2245:B4673))</f>
        <v>No</v>
      </c>
    </row>
    <row r="2246" spans="1:12" x14ac:dyDescent="0.3">
      <c r="A2246" s="2" t="s">
        <v>2395</v>
      </c>
      <c r="B2246" s="3">
        <v>45996</v>
      </c>
      <c r="C2246" s="2" t="s">
        <v>451</v>
      </c>
      <c r="D2246" s="2" t="s">
        <v>25</v>
      </c>
      <c r="E2246" s="2" t="s">
        <v>66</v>
      </c>
      <c r="F2246" s="2" t="s">
        <v>67</v>
      </c>
      <c r="G2246" s="2" t="s">
        <v>17</v>
      </c>
      <c r="H2246" s="2">
        <v>16</v>
      </c>
      <c r="I2246" s="4">
        <v>850.8</v>
      </c>
      <c r="J2246" s="3">
        <v>46004</v>
      </c>
      <c r="K2246">
        <f t="shared" si="35"/>
        <v>13612.8</v>
      </c>
      <c r="L2246" t="str">
        <f>INDEX(Raw_Shipments!L2246:L4674,MATCH(A2246,Raw_Shipments!B2246:B4674))</f>
        <v>Yes</v>
      </c>
    </row>
    <row r="2247" spans="1:12" x14ac:dyDescent="0.3">
      <c r="A2247" s="5" t="s">
        <v>2396</v>
      </c>
      <c r="B2247" s="6">
        <v>45997</v>
      </c>
      <c r="C2247" s="5" t="s">
        <v>250</v>
      </c>
      <c r="D2247" s="5" t="s">
        <v>30</v>
      </c>
      <c r="E2247" s="5" t="s">
        <v>53</v>
      </c>
      <c r="F2247" s="5" t="s">
        <v>54</v>
      </c>
      <c r="G2247" s="5" t="s">
        <v>55</v>
      </c>
      <c r="H2247" s="5">
        <v>53</v>
      </c>
      <c r="I2247" s="7">
        <v>2055.9</v>
      </c>
      <c r="J2247" s="6">
        <v>46005</v>
      </c>
      <c r="K2247">
        <f t="shared" si="35"/>
        <v>108962.70000000001</v>
      </c>
      <c r="L2247" t="str">
        <f>INDEX(Raw_Shipments!L2247:L4675,MATCH(A2247,Raw_Shipments!B2247:B4675))</f>
        <v>No</v>
      </c>
    </row>
    <row r="2248" spans="1:12" x14ac:dyDescent="0.3">
      <c r="A2248" s="2" t="s">
        <v>2397</v>
      </c>
      <c r="B2248" s="3">
        <v>45997</v>
      </c>
      <c r="C2248" s="2" t="s">
        <v>122</v>
      </c>
      <c r="D2248" s="2" t="s">
        <v>14</v>
      </c>
      <c r="E2248" s="2" t="s">
        <v>97</v>
      </c>
      <c r="F2248" s="2" t="s">
        <v>98</v>
      </c>
      <c r="G2248" s="2" t="s">
        <v>17</v>
      </c>
      <c r="H2248" s="2">
        <v>15</v>
      </c>
      <c r="I2248" s="4">
        <v>1110.6500000000001</v>
      </c>
      <c r="J2248" s="3">
        <v>46004</v>
      </c>
      <c r="K2248">
        <f t="shared" si="35"/>
        <v>16659.75</v>
      </c>
      <c r="L2248" t="str">
        <f>INDEX(Raw_Shipments!L2248:L4676,MATCH(A2248,Raw_Shipments!B2248:B4676))</f>
        <v>No</v>
      </c>
    </row>
    <row r="2249" spans="1:12" x14ac:dyDescent="0.3">
      <c r="A2249" s="5" t="s">
        <v>2398</v>
      </c>
      <c r="B2249" s="6">
        <v>45997</v>
      </c>
      <c r="C2249" s="5" t="s">
        <v>262</v>
      </c>
      <c r="D2249" s="5" t="s">
        <v>14</v>
      </c>
      <c r="E2249" s="5" t="s">
        <v>15</v>
      </c>
      <c r="F2249" s="5" t="s">
        <v>16</v>
      </c>
      <c r="G2249" s="5" t="s">
        <v>17</v>
      </c>
      <c r="H2249" s="5">
        <v>7</v>
      </c>
      <c r="I2249" s="7">
        <v>183.06</v>
      </c>
      <c r="J2249" s="6">
        <v>46005</v>
      </c>
      <c r="K2249">
        <f t="shared" si="35"/>
        <v>1281.42</v>
      </c>
      <c r="L2249" t="str">
        <f>INDEX(Raw_Shipments!L2249:L4677,MATCH(A2249,Raw_Shipments!B2249:B4677))</f>
        <v>Yes</v>
      </c>
    </row>
    <row r="2250" spans="1:12" x14ac:dyDescent="0.3">
      <c r="A2250" s="2" t="s">
        <v>2399</v>
      </c>
      <c r="B2250" s="3">
        <v>45997</v>
      </c>
      <c r="C2250" s="2" t="s">
        <v>29</v>
      </c>
      <c r="D2250" s="2" t="s">
        <v>25</v>
      </c>
      <c r="E2250" s="2" t="s">
        <v>20</v>
      </c>
      <c r="F2250" s="2" t="s">
        <v>21</v>
      </c>
      <c r="G2250" s="2" t="s">
        <v>22</v>
      </c>
      <c r="H2250" s="2">
        <v>13</v>
      </c>
      <c r="I2250" s="4">
        <v>2108.56</v>
      </c>
      <c r="J2250" s="3">
        <v>46006</v>
      </c>
      <c r="K2250">
        <f t="shared" si="35"/>
        <v>27411.279999999999</v>
      </c>
      <c r="L2250" t="str">
        <f>INDEX(Raw_Shipments!L2250:L4678,MATCH(A2250,Raw_Shipments!B2250:B4678))</f>
        <v>No</v>
      </c>
    </row>
    <row r="2251" spans="1:12" x14ac:dyDescent="0.3">
      <c r="A2251" s="5" t="s">
        <v>2400</v>
      </c>
      <c r="B2251" s="6">
        <v>45997</v>
      </c>
      <c r="C2251" s="5" t="s">
        <v>343</v>
      </c>
      <c r="D2251" s="5" t="s">
        <v>25</v>
      </c>
      <c r="E2251" s="5" t="s">
        <v>31</v>
      </c>
      <c r="F2251" s="5" t="s">
        <v>32</v>
      </c>
      <c r="G2251" s="5" t="s">
        <v>33</v>
      </c>
      <c r="H2251" s="5">
        <v>76</v>
      </c>
      <c r="I2251" s="7">
        <v>689</v>
      </c>
      <c r="J2251" s="6">
        <v>46002</v>
      </c>
      <c r="K2251">
        <f t="shared" si="35"/>
        <v>52364</v>
      </c>
      <c r="L2251" t="str">
        <f>INDEX(Raw_Shipments!L2251:L4679,MATCH(A2251,Raw_Shipments!B2251:B4679))</f>
        <v>No</v>
      </c>
    </row>
    <row r="2252" spans="1:12" x14ac:dyDescent="0.3">
      <c r="A2252" s="2" t="s">
        <v>2401</v>
      </c>
      <c r="B2252" s="3">
        <v>45997</v>
      </c>
      <c r="C2252" s="2" t="s">
        <v>131</v>
      </c>
      <c r="D2252" s="2" t="s">
        <v>30</v>
      </c>
      <c r="E2252" s="2" t="s">
        <v>36</v>
      </c>
      <c r="F2252" s="2" t="s">
        <v>37</v>
      </c>
      <c r="G2252" s="2" t="s">
        <v>33</v>
      </c>
      <c r="H2252" s="2">
        <v>38</v>
      </c>
      <c r="I2252" s="4">
        <v>1064.79</v>
      </c>
      <c r="J2252" s="3">
        <v>46005</v>
      </c>
      <c r="K2252">
        <f t="shared" si="35"/>
        <v>40462.019999999997</v>
      </c>
      <c r="L2252" t="str">
        <f>INDEX(Raw_Shipments!L2252:L4680,MATCH(A2252,Raw_Shipments!B2252:B4680))</f>
        <v>Yes</v>
      </c>
    </row>
    <row r="2253" spans="1:12" x14ac:dyDescent="0.3">
      <c r="A2253" s="5" t="s">
        <v>2402</v>
      </c>
      <c r="B2253" s="6">
        <v>45997</v>
      </c>
      <c r="C2253" s="5" t="s">
        <v>144</v>
      </c>
      <c r="D2253" s="5" t="s">
        <v>14</v>
      </c>
      <c r="E2253" s="5" t="s">
        <v>40</v>
      </c>
      <c r="F2253" s="5" t="s">
        <v>41</v>
      </c>
      <c r="G2253" s="5" t="s">
        <v>42</v>
      </c>
      <c r="H2253" s="5">
        <v>16</v>
      </c>
      <c r="I2253" s="7">
        <v>2445.11</v>
      </c>
      <c r="J2253" s="6">
        <v>46004</v>
      </c>
      <c r="K2253">
        <f t="shared" si="35"/>
        <v>39121.760000000002</v>
      </c>
      <c r="L2253" t="str">
        <f>INDEX(Raw_Shipments!L2253:L4681,MATCH(A2253,Raw_Shipments!B2253:B4681))</f>
        <v>No</v>
      </c>
    </row>
    <row r="2254" spans="1:12" x14ac:dyDescent="0.3">
      <c r="A2254" s="2" t="s">
        <v>2403</v>
      </c>
      <c r="B2254" s="3">
        <v>45997</v>
      </c>
      <c r="C2254" s="2" t="s">
        <v>117</v>
      </c>
      <c r="D2254" s="2" t="s">
        <v>30</v>
      </c>
      <c r="E2254" s="2" t="s">
        <v>46</v>
      </c>
      <c r="F2254" s="2" t="s">
        <v>47</v>
      </c>
      <c r="G2254" s="2" t="s">
        <v>42</v>
      </c>
      <c r="H2254" s="2">
        <v>9</v>
      </c>
      <c r="I2254" s="4">
        <v>1833.14</v>
      </c>
      <c r="J2254" s="3">
        <v>46002</v>
      </c>
      <c r="K2254">
        <f t="shared" si="35"/>
        <v>16498.260000000002</v>
      </c>
      <c r="L2254" t="str">
        <f>INDEX(Raw_Shipments!L2254:L4682,MATCH(A2254,Raw_Shipments!B2254:B4682))</f>
        <v>No</v>
      </c>
    </row>
    <row r="2255" spans="1:12" x14ac:dyDescent="0.3">
      <c r="A2255" s="5" t="s">
        <v>2404</v>
      </c>
      <c r="B2255" s="6">
        <v>45997</v>
      </c>
      <c r="C2255" s="5" t="s">
        <v>65</v>
      </c>
      <c r="D2255" s="5" t="s">
        <v>25</v>
      </c>
      <c r="E2255" s="5" t="s">
        <v>50</v>
      </c>
      <c r="F2255" s="5" t="s">
        <v>51</v>
      </c>
      <c r="G2255" s="5" t="s">
        <v>42</v>
      </c>
      <c r="H2255" s="5">
        <v>4</v>
      </c>
      <c r="I2255" s="7">
        <v>1952.28</v>
      </c>
      <c r="J2255" s="6">
        <v>46006</v>
      </c>
      <c r="K2255">
        <f t="shared" si="35"/>
        <v>7809.12</v>
      </c>
      <c r="L2255" t="str">
        <f>INDEX(Raw_Shipments!L2255:L4683,MATCH(A2255,Raw_Shipments!B2255:B4683))</f>
        <v>No</v>
      </c>
    </row>
    <row r="2256" spans="1:12" x14ac:dyDescent="0.3">
      <c r="A2256" s="2" t="s">
        <v>2405</v>
      </c>
      <c r="B2256" s="3">
        <v>45998</v>
      </c>
      <c r="C2256" s="2" t="s">
        <v>111</v>
      </c>
      <c r="D2256" s="2" t="s">
        <v>30</v>
      </c>
      <c r="E2256" s="2" t="s">
        <v>62</v>
      </c>
      <c r="F2256" s="2" t="s">
        <v>63</v>
      </c>
      <c r="G2256" s="2" t="s">
        <v>55</v>
      </c>
      <c r="H2256" s="2">
        <v>44</v>
      </c>
      <c r="I2256" s="4">
        <v>2555.2199999999998</v>
      </c>
      <c r="J2256" s="3">
        <v>46002</v>
      </c>
      <c r="K2256">
        <f t="shared" si="35"/>
        <v>112429.68</v>
      </c>
      <c r="L2256" t="str">
        <f>INDEX(Raw_Shipments!L2256:L4684,MATCH(A2256,Raw_Shipments!B2256:B4684))</f>
        <v>No</v>
      </c>
    </row>
    <row r="2257" spans="1:12" x14ac:dyDescent="0.3">
      <c r="A2257" s="5" t="s">
        <v>2406</v>
      </c>
      <c r="B2257" s="6">
        <v>45998</v>
      </c>
      <c r="C2257" s="5" t="s">
        <v>93</v>
      </c>
      <c r="D2257" s="5" t="s">
        <v>30</v>
      </c>
      <c r="E2257" s="5" t="s">
        <v>66</v>
      </c>
      <c r="F2257" s="5" t="s">
        <v>67</v>
      </c>
      <c r="G2257" s="5" t="s">
        <v>17</v>
      </c>
      <c r="H2257" s="5">
        <v>19</v>
      </c>
      <c r="I2257" s="7">
        <v>850.8</v>
      </c>
      <c r="J2257" s="6">
        <v>46004</v>
      </c>
      <c r="K2257">
        <f t="shared" si="35"/>
        <v>16165.199999999999</v>
      </c>
      <c r="L2257" t="str">
        <f>INDEX(Raw_Shipments!L2257:L4685,MATCH(A2257,Raw_Shipments!B2257:B4685))</f>
        <v>Yes</v>
      </c>
    </row>
    <row r="2258" spans="1:12" x14ac:dyDescent="0.3">
      <c r="A2258" s="2" t="s">
        <v>2407</v>
      </c>
      <c r="B2258" s="3">
        <v>45998</v>
      </c>
      <c r="C2258" s="2" t="s">
        <v>545</v>
      </c>
      <c r="D2258" s="2" t="s">
        <v>30</v>
      </c>
      <c r="E2258" s="2" t="s">
        <v>119</v>
      </c>
      <c r="F2258" s="2" t="s">
        <v>120</v>
      </c>
      <c r="G2258" s="2" t="s">
        <v>22</v>
      </c>
      <c r="H2258" s="2">
        <v>39</v>
      </c>
      <c r="I2258" s="4">
        <v>912.26</v>
      </c>
      <c r="J2258" s="3">
        <v>46001</v>
      </c>
      <c r="K2258">
        <f t="shared" si="35"/>
        <v>35578.14</v>
      </c>
      <c r="L2258" t="str">
        <f>INDEX(Raw_Shipments!L2258:L4686,MATCH(A2258,Raw_Shipments!B2258:B4686))</f>
        <v>No</v>
      </c>
    </row>
    <row r="2259" spans="1:12" x14ac:dyDescent="0.3">
      <c r="A2259" s="5" t="s">
        <v>2408</v>
      </c>
      <c r="B2259" s="6">
        <v>45998</v>
      </c>
      <c r="C2259" s="5" t="s">
        <v>158</v>
      </c>
      <c r="D2259" s="5" t="s">
        <v>14</v>
      </c>
      <c r="E2259" s="5" t="s">
        <v>36</v>
      </c>
      <c r="F2259" s="5" t="s">
        <v>37</v>
      </c>
      <c r="G2259" s="5" t="s">
        <v>33</v>
      </c>
      <c r="H2259" s="5">
        <v>43</v>
      </c>
      <c r="I2259" s="7">
        <v>1064.79</v>
      </c>
      <c r="J2259" s="6">
        <v>46002</v>
      </c>
      <c r="K2259">
        <f t="shared" si="35"/>
        <v>45785.97</v>
      </c>
      <c r="L2259" t="str">
        <f>INDEX(Raw_Shipments!L2259:L4687,MATCH(A2259,Raw_Shipments!B2259:B4687))</f>
        <v>No</v>
      </c>
    </row>
    <row r="2260" spans="1:12" x14ac:dyDescent="0.3">
      <c r="A2260" s="2" t="s">
        <v>2409</v>
      </c>
      <c r="B2260" s="3">
        <v>45998</v>
      </c>
      <c r="C2260" s="2" t="s">
        <v>222</v>
      </c>
      <c r="D2260" s="2" t="s">
        <v>25</v>
      </c>
      <c r="E2260" s="2" t="s">
        <v>86</v>
      </c>
      <c r="F2260" s="2" t="s">
        <v>87</v>
      </c>
      <c r="G2260" s="2" t="s">
        <v>33</v>
      </c>
      <c r="H2260" s="2">
        <v>35</v>
      </c>
      <c r="I2260" s="4">
        <v>815.88</v>
      </c>
      <c r="J2260" s="3">
        <v>46001</v>
      </c>
      <c r="K2260">
        <f t="shared" si="35"/>
        <v>28555.8</v>
      </c>
      <c r="L2260" t="str">
        <f>INDEX(Raw_Shipments!L2260:L4688,MATCH(A2260,Raw_Shipments!B2260:B4688))</f>
        <v>No</v>
      </c>
    </row>
    <row r="2261" spans="1:12" x14ac:dyDescent="0.3">
      <c r="A2261" s="5" t="s">
        <v>2410</v>
      </c>
      <c r="B2261" s="6">
        <v>45998</v>
      </c>
      <c r="C2261" s="5" t="s">
        <v>268</v>
      </c>
      <c r="D2261" s="5" t="s">
        <v>45</v>
      </c>
      <c r="E2261" s="5" t="s">
        <v>40</v>
      </c>
      <c r="F2261" s="5" t="s">
        <v>41</v>
      </c>
      <c r="G2261" s="5" t="s">
        <v>42</v>
      </c>
      <c r="H2261" s="5">
        <v>1</v>
      </c>
      <c r="I2261" s="7">
        <v>2445.11</v>
      </c>
      <c r="J2261" s="6">
        <v>46005</v>
      </c>
      <c r="K2261">
        <f t="shared" si="35"/>
        <v>2445.11</v>
      </c>
      <c r="L2261" t="str">
        <f>INDEX(Raw_Shipments!L2261:L4689,MATCH(A2261,Raw_Shipments!B2261:B4689))</f>
        <v>No</v>
      </c>
    </row>
    <row r="2262" spans="1:12" x14ac:dyDescent="0.3">
      <c r="A2262" s="2" t="s">
        <v>2411</v>
      </c>
      <c r="B2262" s="3">
        <v>45999</v>
      </c>
      <c r="C2262" s="2" t="s">
        <v>100</v>
      </c>
      <c r="D2262" s="2" t="s">
        <v>25</v>
      </c>
      <c r="E2262" s="2" t="s">
        <v>53</v>
      </c>
      <c r="F2262" s="2" t="s">
        <v>54</v>
      </c>
      <c r="G2262" s="2" t="s">
        <v>55</v>
      </c>
      <c r="H2262" s="2">
        <v>56</v>
      </c>
      <c r="I2262" s="4">
        <v>2055.9</v>
      </c>
      <c r="J2262" s="3">
        <v>46002</v>
      </c>
      <c r="K2262">
        <f t="shared" si="35"/>
        <v>115130.40000000001</v>
      </c>
      <c r="L2262" t="str">
        <f>INDEX(Raw_Shipments!L2262:L4690,MATCH(A2262,Raw_Shipments!B2262:B4690))</f>
        <v>No</v>
      </c>
    </row>
    <row r="2263" spans="1:12" x14ac:dyDescent="0.3">
      <c r="A2263" s="5" t="s">
        <v>2412</v>
      </c>
      <c r="B2263" s="6">
        <v>45999</v>
      </c>
      <c r="C2263" s="5" t="s">
        <v>113</v>
      </c>
      <c r="D2263" s="5" t="s">
        <v>14</v>
      </c>
      <c r="E2263" s="5" t="s">
        <v>66</v>
      </c>
      <c r="F2263" s="5" t="s">
        <v>67</v>
      </c>
      <c r="G2263" s="5" t="s">
        <v>17</v>
      </c>
      <c r="H2263" s="5">
        <v>12</v>
      </c>
      <c r="I2263" s="7">
        <v>850.8</v>
      </c>
      <c r="J2263" s="6">
        <v>46005</v>
      </c>
      <c r="K2263">
        <f t="shared" si="35"/>
        <v>10209.599999999999</v>
      </c>
      <c r="L2263" t="str">
        <f>INDEX(Raw_Shipments!L2263:L4691,MATCH(A2263,Raw_Shipments!B2263:B4691))</f>
        <v>No</v>
      </c>
    </row>
    <row r="2264" spans="1:12" x14ac:dyDescent="0.3">
      <c r="A2264" s="2" t="s">
        <v>2413</v>
      </c>
      <c r="B2264" s="3">
        <v>45999</v>
      </c>
      <c r="C2264" s="2" t="s">
        <v>19</v>
      </c>
      <c r="D2264" s="2" t="s">
        <v>25</v>
      </c>
      <c r="E2264" s="2" t="s">
        <v>20</v>
      </c>
      <c r="F2264" s="2" t="s">
        <v>21</v>
      </c>
      <c r="G2264" s="2" t="s">
        <v>22</v>
      </c>
      <c r="H2264" s="2">
        <v>6</v>
      </c>
      <c r="I2264" s="4">
        <v>2108.56</v>
      </c>
      <c r="J2264" s="3">
        <v>46004</v>
      </c>
      <c r="K2264">
        <f t="shared" si="35"/>
        <v>12651.36</v>
      </c>
      <c r="L2264" t="str">
        <f>INDEX(Raw_Shipments!L2264:L4692,MATCH(A2264,Raw_Shipments!B2264:B4692))</f>
        <v>No</v>
      </c>
    </row>
    <row r="2265" spans="1:12" x14ac:dyDescent="0.3">
      <c r="A2265" s="5" t="s">
        <v>2414</v>
      </c>
      <c r="B2265" s="6">
        <v>45999</v>
      </c>
      <c r="C2265" s="5" t="s">
        <v>131</v>
      </c>
      <c r="D2265" s="5" t="s">
        <v>45</v>
      </c>
      <c r="E2265" s="5" t="s">
        <v>26</v>
      </c>
      <c r="F2265" s="5" t="s">
        <v>27</v>
      </c>
      <c r="G2265" s="5" t="s">
        <v>22</v>
      </c>
      <c r="H2265" s="5">
        <v>19</v>
      </c>
      <c r="I2265" s="7">
        <v>1646.8</v>
      </c>
      <c r="J2265" s="6">
        <v>46008</v>
      </c>
      <c r="K2265">
        <f t="shared" si="35"/>
        <v>31289.200000000001</v>
      </c>
      <c r="L2265" t="str">
        <f>INDEX(Raw_Shipments!L2265:L4693,MATCH(A2265,Raw_Shipments!B2265:B4693))</f>
        <v>No</v>
      </c>
    </row>
    <row r="2266" spans="1:12" x14ac:dyDescent="0.3">
      <c r="A2266" s="2" t="s">
        <v>2415</v>
      </c>
      <c r="B2266" s="3">
        <v>45999</v>
      </c>
      <c r="C2266" s="2" t="s">
        <v>527</v>
      </c>
      <c r="D2266" s="2" t="s">
        <v>45</v>
      </c>
      <c r="E2266" s="2" t="s">
        <v>36</v>
      </c>
      <c r="F2266" s="2" t="s">
        <v>37</v>
      </c>
      <c r="G2266" s="2" t="s">
        <v>33</v>
      </c>
      <c r="H2266" s="2">
        <v>45</v>
      </c>
      <c r="I2266" s="4">
        <v>1064.79</v>
      </c>
      <c r="J2266" s="3">
        <v>46006</v>
      </c>
      <c r="K2266">
        <f t="shared" si="35"/>
        <v>47915.549999999996</v>
      </c>
      <c r="L2266" t="str">
        <f>INDEX(Raw_Shipments!L2266:L4694,MATCH(A2266,Raw_Shipments!B2266:B4694))</f>
        <v>No</v>
      </c>
    </row>
    <row r="2267" spans="1:12" x14ac:dyDescent="0.3">
      <c r="A2267" s="5" t="s">
        <v>2416</v>
      </c>
      <c r="B2267" s="6">
        <v>45999</v>
      </c>
      <c r="C2267" s="5" t="s">
        <v>248</v>
      </c>
      <c r="D2267" s="5" t="s">
        <v>14</v>
      </c>
      <c r="E2267" s="5" t="s">
        <v>86</v>
      </c>
      <c r="F2267" s="5" t="s">
        <v>87</v>
      </c>
      <c r="G2267" s="5" t="s">
        <v>33</v>
      </c>
      <c r="H2267" s="5">
        <v>1</v>
      </c>
      <c r="I2267" s="7">
        <v>815.88</v>
      </c>
      <c r="J2267" s="6">
        <v>46008</v>
      </c>
      <c r="K2267">
        <f t="shared" si="35"/>
        <v>815.88</v>
      </c>
      <c r="L2267" t="str">
        <f>INDEX(Raw_Shipments!L2267:L4695,MATCH(A2267,Raw_Shipments!B2267:B4695))</f>
        <v>Yes</v>
      </c>
    </row>
    <row r="2268" spans="1:12" x14ac:dyDescent="0.3">
      <c r="A2268" s="2" t="s">
        <v>2417</v>
      </c>
      <c r="B2268" s="3">
        <v>45999</v>
      </c>
      <c r="C2268" s="2" t="s">
        <v>125</v>
      </c>
      <c r="D2268" s="2" t="s">
        <v>14</v>
      </c>
      <c r="E2268" s="2" t="s">
        <v>46</v>
      </c>
      <c r="F2268" s="2" t="s">
        <v>47</v>
      </c>
      <c r="G2268" s="2" t="s">
        <v>42</v>
      </c>
      <c r="H2268" s="2">
        <v>8</v>
      </c>
      <c r="I2268" s="4">
        <v>1833.14</v>
      </c>
      <c r="J2268" s="3">
        <v>46003</v>
      </c>
      <c r="K2268">
        <f t="shared" si="35"/>
        <v>14665.12</v>
      </c>
      <c r="L2268" t="str">
        <f>INDEX(Raw_Shipments!L2268:L4696,MATCH(A2268,Raw_Shipments!B2268:B4696))</f>
        <v>No</v>
      </c>
    </row>
    <row r="2269" spans="1:12" x14ac:dyDescent="0.3">
      <c r="A2269" s="5" t="s">
        <v>2418</v>
      </c>
      <c r="B2269" s="6">
        <v>46000</v>
      </c>
      <c r="C2269" s="5" t="s">
        <v>175</v>
      </c>
      <c r="D2269" s="5" t="s">
        <v>14</v>
      </c>
      <c r="E2269" s="5" t="s">
        <v>53</v>
      </c>
      <c r="F2269" s="5" t="s">
        <v>54</v>
      </c>
      <c r="G2269" s="5" t="s">
        <v>55</v>
      </c>
      <c r="H2269" s="5">
        <v>50</v>
      </c>
      <c r="I2269" s="7">
        <v>2055.9</v>
      </c>
      <c r="J2269" s="6">
        <v>46009</v>
      </c>
      <c r="K2269">
        <f t="shared" si="35"/>
        <v>102795</v>
      </c>
      <c r="L2269" t="str">
        <f>INDEX(Raw_Shipments!L2269:L4697,MATCH(A2269,Raw_Shipments!B2269:B4697))</f>
        <v>No</v>
      </c>
    </row>
    <row r="2270" spans="1:12" x14ac:dyDescent="0.3">
      <c r="A2270" s="2" t="s">
        <v>2419</v>
      </c>
      <c r="B2270" s="3">
        <v>46000</v>
      </c>
      <c r="C2270" s="2" t="s">
        <v>57</v>
      </c>
      <c r="D2270" s="2" t="s">
        <v>14</v>
      </c>
      <c r="E2270" s="2" t="s">
        <v>58</v>
      </c>
      <c r="F2270" s="2" t="s">
        <v>59</v>
      </c>
      <c r="G2270" s="2" t="s">
        <v>55</v>
      </c>
      <c r="H2270" s="2">
        <v>26</v>
      </c>
      <c r="I2270" s="4">
        <v>1695.1</v>
      </c>
      <c r="J2270" s="3">
        <v>46010</v>
      </c>
      <c r="K2270">
        <f t="shared" si="35"/>
        <v>44072.6</v>
      </c>
      <c r="L2270" t="str">
        <f>INDEX(Raw_Shipments!L2270:L4698,MATCH(A2270,Raw_Shipments!B2270:B4698))</f>
        <v>Yes</v>
      </c>
    </row>
    <row r="2271" spans="1:12" x14ac:dyDescent="0.3">
      <c r="A2271" s="5" t="s">
        <v>2420</v>
      </c>
      <c r="B2271" s="6">
        <v>46000</v>
      </c>
      <c r="C2271" s="5" t="s">
        <v>19</v>
      </c>
      <c r="D2271" s="5" t="s">
        <v>25</v>
      </c>
      <c r="E2271" s="5" t="s">
        <v>66</v>
      </c>
      <c r="F2271" s="5" t="s">
        <v>67</v>
      </c>
      <c r="G2271" s="5" t="s">
        <v>17</v>
      </c>
      <c r="H2271" s="5">
        <v>12</v>
      </c>
      <c r="I2271" s="7">
        <v>850.8</v>
      </c>
      <c r="J2271" s="6">
        <v>46009</v>
      </c>
      <c r="K2271">
        <f t="shared" si="35"/>
        <v>10209.599999999999</v>
      </c>
      <c r="L2271" t="str">
        <f>INDEX(Raw_Shipments!L2271:L4699,MATCH(A2271,Raw_Shipments!B2271:B4699))</f>
        <v>No</v>
      </c>
    </row>
    <row r="2272" spans="1:12" x14ac:dyDescent="0.3">
      <c r="A2272" s="2" t="s">
        <v>2421</v>
      </c>
      <c r="B2272" s="3">
        <v>46000</v>
      </c>
      <c r="C2272" s="2" t="s">
        <v>128</v>
      </c>
      <c r="D2272" s="2" t="s">
        <v>45</v>
      </c>
      <c r="E2272" s="2" t="s">
        <v>97</v>
      </c>
      <c r="F2272" s="2" t="s">
        <v>98</v>
      </c>
      <c r="G2272" s="2" t="s">
        <v>17</v>
      </c>
      <c r="H2272" s="2">
        <v>28</v>
      </c>
      <c r="I2272" s="4">
        <v>1110.6500000000001</v>
      </c>
      <c r="J2272" s="3">
        <v>46008</v>
      </c>
      <c r="K2272">
        <f t="shared" si="35"/>
        <v>31098.200000000004</v>
      </c>
      <c r="L2272" t="str">
        <f>INDEX(Raw_Shipments!L2272:L4700,MATCH(A2272,Raw_Shipments!B2272:B4700))</f>
        <v>No</v>
      </c>
    </row>
    <row r="2273" spans="1:12" x14ac:dyDescent="0.3">
      <c r="A2273" s="5" t="s">
        <v>2422</v>
      </c>
      <c r="B2273" s="6">
        <v>46000</v>
      </c>
      <c r="C2273" s="5" t="s">
        <v>122</v>
      </c>
      <c r="D2273" s="5" t="s">
        <v>30</v>
      </c>
      <c r="E2273" s="5" t="s">
        <v>31</v>
      </c>
      <c r="F2273" s="5" t="s">
        <v>32</v>
      </c>
      <c r="G2273" s="5" t="s">
        <v>33</v>
      </c>
      <c r="H2273" s="5">
        <v>32</v>
      </c>
      <c r="I2273" s="7">
        <v>689</v>
      </c>
      <c r="J2273" s="6">
        <v>46004</v>
      </c>
      <c r="K2273">
        <f t="shared" si="35"/>
        <v>22048</v>
      </c>
      <c r="L2273" t="str">
        <f>INDEX(Raw_Shipments!L2273:L4701,MATCH(A2273,Raw_Shipments!B2273:B4701))</f>
        <v>No</v>
      </c>
    </row>
    <row r="2274" spans="1:12" x14ac:dyDescent="0.3">
      <c r="A2274" s="2" t="s">
        <v>2423</v>
      </c>
      <c r="B2274" s="3">
        <v>46000</v>
      </c>
      <c r="C2274" s="2" t="s">
        <v>115</v>
      </c>
      <c r="D2274" s="2" t="s">
        <v>25</v>
      </c>
      <c r="E2274" s="2" t="s">
        <v>36</v>
      </c>
      <c r="F2274" s="2" t="s">
        <v>37</v>
      </c>
      <c r="G2274" s="2" t="s">
        <v>33</v>
      </c>
      <c r="H2274" s="2">
        <v>38</v>
      </c>
      <c r="I2274" s="4">
        <v>1064.79</v>
      </c>
      <c r="J2274" s="3">
        <v>46008</v>
      </c>
      <c r="K2274">
        <f t="shared" si="35"/>
        <v>40462.019999999997</v>
      </c>
      <c r="L2274" t="str">
        <f>INDEX(Raw_Shipments!L2274:L4702,MATCH(A2274,Raw_Shipments!B2274:B4702))</f>
        <v>No</v>
      </c>
    </row>
    <row r="2275" spans="1:12" x14ac:dyDescent="0.3">
      <c r="A2275" s="5" t="s">
        <v>2424</v>
      </c>
      <c r="B2275" s="6">
        <v>46000</v>
      </c>
      <c r="C2275" s="5" t="s">
        <v>113</v>
      </c>
      <c r="D2275" s="5" t="s">
        <v>30</v>
      </c>
      <c r="E2275" s="5" t="s">
        <v>86</v>
      </c>
      <c r="F2275" s="5" t="s">
        <v>87</v>
      </c>
      <c r="G2275" s="5" t="s">
        <v>33</v>
      </c>
      <c r="H2275" s="5">
        <v>37</v>
      </c>
      <c r="I2275" s="7">
        <v>815.88</v>
      </c>
      <c r="J2275" s="6">
        <v>46007</v>
      </c>
      <c r="K2275">
        <f t="shared" si="35"/>
        <v>30187.56</v>
      </c>
      <c r="L2275" t="str">
        <f>INDEX(Raw_Shipments!L2275:L4703,MATCH(A2275,Raw_Shipments!B2275:B4703))</f>
        <v>Yes</v>
      </c>
    </row>
    <row r="2276" spans="1:12" x14ac:dyDescent="0.3">
      <c r="A2276" s="2" t="s">
        <v>2425</v>
      </c>
      <c r="B2276" s="3">
        <v>46000</v>
      </c>
      <c r="C2276" s="2" t="s">
        <v>175</v>
      </c>
      <c r="D2276" s="2" t="s">
        <v>45</v>
      </c>
      <c r="E2276" s="2" t="s">
        <v>50</v>
      </c>
      <c r="F2276" s="2" t="s">
        <v>51</v>
      </c>
      <c r="G2276" s="2" t="s">
        <v>42</v>
      </c>
      <c r="H2276" s="2">
        <v>13</v>
      </c>
      <c r="I2276" s="4">
        <v>1952.28</v>
      </c>
      <c r="J2276" s="3">
        <v>46004</v>
      </c>
      <c r="K2276">
        <f t="shared" si="35"/>
        <v>25379.64</v>
      </c>
      <c r="L2276" t="str">
        <f>INDEX(Raw_Shipments!L2276:L4704,MATCH(A2276,Raw_Shipments!B2276:B4704))</f>
        <v>No</v>
      </c>
    </row>
    <row r="2277" spans="1:12" x14ac:dyDescent="0.3">
      <c r="A2277" s="5" t="s">
        <v>2426</v>
      </c>
      <c r="B2277" s="6">
        <v>46001</v>
      </c>
      <c r="C2277" s="5" t="s">
        <v>356</v>
      </c>
      <c r="D2277" s="5" t="s">
        <v>30</v>
      </c>
      <c r="E2277" s="5" t="s">
        <v>53</v>
      </c>
      <c r="F2277" s="5" t="s">
        <v>54</v>
      </c>
      <c r="G2277" s="5" t="s">
        <v>55</v>
      </c>
      <c r="H2277" s="5">
        <v>37</v>
      </c>
      <c r="I2277" s="7">
        <v>2055.9</v>
      </c>
      <c r="J2277" s="6">
        <v>46009</v>
      </c>
      <c r="K2277">
        <f t="shared" si="35"/>
        <v>76068.3</v>
      </c>
      <c r="L2277" t="str">
        <f>INDEX(Raw_Shipments!L2277:L4705,MATCH(A2277,Raw_Shipments!B2277:B4705))</f>
        <v>No</v>
      </c>
    </row>
    <row r="2278" spans="1:12" x14ac:dyDescent="0.3">
      <c r="A2278" s="2" t="s">
        <v>2427</v>
      </c>
      <c r="B2278" s="3">
        <v>46001</v>
      </c>
      <c r="C2278" s="2" t="s">
        <v>250</v>
      </c>
      <c r="D2278" s="2" t="s">
        <v>30</v>
      </c>
      <c r="E2278" s="2" t="s">
        <v>58</v>
      </c>
      <c r="F2278" s="2" t="s">
        <v>59</v>
      </c>
      <c r="G2278" s="2" t="s">
        <v>55</v>
      </c>
      <c r="H2278" s="2">
        <v>14</v>
      </c>
      <c r="I2278" s="4">
        <v>1695.1</v>
      </c>
      <c r="J2278" s="3">
        <v>46010</v>
      </c>
      <c r="K2278">
        <f t="shared" si="35"/>
        <v>23731.399999999998</v>
      </c>
      <c r="L2278" t="str">
        <f>INDEX(Raw_Shipments!L2278:L4706,MATCH(A2278,Raw_Shipments!B2278:B4706))</f>
        <v>No</v>
      </c>
    </row>
    <row r="2279" spans="1:12" x14ac:dyDescent="0.3">
      <c r="A2279" s="5" t="s">
        <v>2428</v>
      </c>
      <c r="B2279" s="6">
        <v>46001</v>
      </c>
      <c r="C2279" s="5" t="s">
        <v>203</v>
      </c>
      <c r="D2279" s="5" t="s">
        <v>25</v>
      </c>
      <c r="E2279" s="5" t="s">
        <v>62</v>
      </c>
      <c r="F2279" s="5" t="s">
        <v>63</v>
      </c>
      <c r="G2279" s="5" t="s">
        <v>55</v>
      </c>
      <c r="H2279" s="5">
        <v>51</v>
      </c>
      <c r="I2279" s="7">
        <v>2555.2199999999998</v>
      </c>
      <c r="J2279" s="6">
        <v>46007</v>
      </c>
      <c r="K2279">
        <f t="shared" si="35"/>
        <v>130316.21999999999</v>
      </c>
      <c r="L2279" t="str">
        <f>INDEX(Raw_Shipments!L2279:L4707,MATCH(A2279,Raw_Shipments!B2279:B4707))</f>
        <v>No</v>
      </c>
    </row>
    <row r="2280" spans="1:12" x14ac:dyDescent="0.3">
      <c r="A2280" s="2" t="s">
        <v>2429</v>
      </c>
      <c r="B2280" s="3">
        <v>46001</v>
      </c>
      <c r="C2280" s="2" t="s">
        <v>24</v>
      </c>
      <c r="D2280" s="2" t="s">
        <v>30</v>
      </c>
      <c r="E2280" s="2" t="s">
        <v>97</v>
      </c>
      <c r="F2280" s="2" t="s">
        <v>98</v>
      </c>
      <c r="G2280" s="2" t="s">
        <v>17</v>
      </c>
      <c r="H2280" s="2">
        <v>38</v>
      </c>
      <c r="I2280" s="4">
        <v>1110.6500000000001</v>
      </c>
      <c r="J2280" s="3">
        <v>46007</v>
      </c>
      <c r="K2280">
        <f t="shared" si="35"/>
        <v>42204.700000000004</v>
      </c>
      <c r="L2280" t="str">
        <f>INDEX(Raw_Shipments!L2280:L4708,MATCH(A2280,Raw_Shipments!B2280:B4708))</f>
        <v>No</v>
      </c>
    </row>
    <row r="2281" spans="1:12" x14ac:dyDescent="0.3">
      <c r="A2281" s="5" t="s">
        <v>2430</v>
      </c>
      <c r="B2281" s="6">
        <v>46001</v>
      </c>
      <c r="C2281" s="5" t="s">
        <v>250</v>
      </c>
      <c r="D2281" s="5" t="s">
        <v>14</v>
      </c>
      <c r="E2281" s="5" t="s">
        <v>15</v>
      </c>
      <c r="F2281" s="5" t="s">
        <v>16</v>
      </c>
      <c r="G2281" s="5" t="s">
        <v>17</v>
      </c>
      <c r="H2281" s="5">
        <v>21</v>
      </c>
      <c r="I2281" s="7">
        <v>183.06</v>
      </c>
      <c r="J2281" s="6">
        <v>46007</v>
      </c>
      <c r="K2281">
        <f t="shared" si="35"/>
        <v>3844.26</v>
      </c>
      <c r="L2281" t="str">
        <f>INDEX(Raw_Shipments!L2281:L4709,MATCH(A2281,Raw_Shipments!B2281:B4709))</f>
        <v>No</v>
      </c>
    </row>
    <row r="2282" spans="1:12" x14ac:dyDescent="0.3">
      <c r="A2282" s="2" t="s">
        <v>2431</v>
      </c>
      <c r="B2282" s="3">
        <v>46001</v>
      </c>
      <c r="C2282" s="2" t="s">
        <v>304</v>
      </c>
      <c r="D2282" s="2" t="s">
        <v>25</v>
      </c>
      <c r="E2282" s="2" t="s">
        <v>20</v>
      </c>
      <c r="F2282" s="2" t="s">
        <v>21</v>
      </c>
      <c r="G2282" s="2" t="s">
        <v>22</v>
      </c>
      <c r="H2282" s="2">
        <v>16</v>
      </c>
      <c r="I2282" s="4">
        <v>2108.56</v>
      </c>
      <c r="J2282" s="3">
        <v>46005</v>
      </c>
      <c r="K2282">
        <f t="shared" si="35"/>
        <v>33736.959999999999</v>
      </c>
      <c r="L2282" t="str">
        <f>INDEX(Raw_Shipments!L2282:L4710,MATCH(A2282,Raw_Shipments!B2282:B4710))</f>
        <v>No</v>
      </c>
    </row>
    <row r="2283" spans="1:12" x14ac:dyDescent="0.3">
      <c r="A2283" s="5" t="s">
        <v>2432</v>
      </c>
      <c r="B2283" s="6">
        <v>46001</v>
      </c>
      <c r="C2283" s="5" t="s">
        <v>29</v>
      </c>
      <c r="D2283" s="5" t="s">
        <v>14</v>
      </c>
      <c r="E2283" s="5" t="s">
        <v>26</v>
      </c>
      <c r="F2283" s="5" t="s">
        <v>27</v>
      </c>
      <c r="G2283" s="5" t="s">
        <v>22</v>
      </c>
      <c r="H2283" s="5">
        <v>21</v>
      </c>
      <c r="I2283" s="7">
        <v>1646.8</v>
      </c>
      <c r="J2283" s="6">
        <v>46010</v>
      </c>
      <c r="K2283">
        <f t="shared" si="35"/>
        <v>34582.799999999996</v>
      </c>
      <c r="L2283" t="str">
        <f>INDEX(Raw_Shipments!L2283:L4711,MATCH(A2283,Raw_Shipments!B2283:B4711))</f>
        <v>Yes</v>
      </c>
    </row>
    <row r="2284" spans="1:12" x14ac:dyDescent="0.3">
      <c r="A2284" s="2" t="s">
        <v>2433</v>
      </c>
      <c r="B2284" s="3">
        <v>46001</v>
      </c>
      <c r="C2284" s="2" t="s">
        <v>250</v>
      </c>
      <c r="D2284" s="2" t="s">
        <v>45</v>
      </c>
      <c r="E2284" s="2" t="s">
        <v>31</v>
      </c>
      <c r="F2284" s="2" t="s">
        <v>32</v>
      </c>
      <c r="G2284" s="2" t="s">
        <v>33</v>
      </c>
      <c r="H2284" s="2">
        <v>40</v>
      </c>
      <c r="I2284" s="4">
        <v>689</v>
      </c>
      <c r="J2284" s="3">
        <v>46007</v>
      </c>
      <c r="K2284">
        <f t="shared" si="35"/>
        <v>27560</v>
      </c>
      <c r="L2284" t="str">
        <f>INDEX(Raw_Shipments!L2284:L4712,MATCH(A2284,Raw_Shipments!B2284:B4712))</f>
        <v>No</v>
      </c>
    </row>
    <row r="2285" spans="1:12" x14ac:dyDescent="0.3">
      <c r="A2285" s="5" t="s">
        <v>2434</v>
      </c>
      <c r="B2285" s="6">
        <v>46002</v>
      </c>
      <c r="C2285" s="5" t="s">
        <v>545</v>
      </c>
      <c r="D2285" s="5" t="s">
        <v>14</v>
      </c>
      <c r="E2285" s="5" t="s">
        <v>53</v>
      </c>
      <c r="F2285" s="5" t="s">
        <v>54</v>
      </c>
      <c r="G2285" s="5" t="s">
        <v>55</v>
      </c>
      <c r="H2285" s="5">
        <v>58</v>
      </c>
      <c r="I2285" s="7">
        <v>2055.9</v>
      </c>
      <c r="J2285" s="6">
        <v>46012</v>
      </c>
      <c r="K2285">
        <f t="shared" si="35"/>
        <v>119242.20000000001</v>
      </c>
      <c r="L2285" t="str">
        <f>INDEX(Raw_Shipments!L2285:L4713,MATCH(A2285,Raw_Shipments!B2285:B4713))</f>
        <v>No</v>
      </c>
    </row>
    <row r="2286" spans="1:12" x14ac:dyDescent="0.3">
      <c r="A2286" s="2" t="s">
        <v>2435</v>
      </c>
      <c r="B2286" s="3">
        <v>46002</v>
      </c>
      <c r="C2286" s="2" t="s">
        <v>222</v>
      </c>
      <c r="D2286" s="2" t="s">
        <v>45</v>
      </c>
      <c r="E2286" s="2" t="s">
        <v>58</v>
      </c>
      <c r="F2286" s="2" t="s">
        <v>59</v>
      </c>
      <c r="G2286" s="2" t="s">
        <v>55</v>
      </c>
      <c r="H2286" s="2">
        <v>23</v>
      </c>
      <c r="I2286" s="4">
        <v>1695.1</v>
      </c>
      <c r="J2286" s="3">
        <v>46006</v>
      </c>
      <c r="K2286">
        <f t="shared" si="35"/>
        <v>38987.299999999996</v>
      </c>
      <c r="L2286" t="str">
        <f>INDEX(Raw_Shipments!L2286:L4714,MATCH(A2286,Raw_Shipments!B2286:B4714))</f>
        <v>No</v>
      </c>
    </row>
    <row r="2287" spans="1:12" x14ac:dyDescent="0.3">
      <c r="A2287" s="5" t="s">
        <v>2436</v>
      </c>
      <c r="B2287" s="6">
        <v>46002</v>
      </c>
      <c r="C2287" s="5" t="s">
        <v>152</v>
      </c>
      <c r="D2287" s="5" t="s">
        <v>45</v>
      </c>
      <c r="E2287" s="5" t="s">
        <v>62</v>
      </c>
      <c r="F2287" s="5" t="s">
        <v>63</v>
      </c>
      <c r="G2287" s="5" t="s">
        <v>55</v>
      </c>
      <c r="H2287" s="5">
        <v>35</v>
      </c>
      <c r="I2287" s="7">
        <v>2555.2199999999998</v>
      </c>
      <c r="J2287" s="6">
        <v>46007</v>
      </c>
      <c r="K2287">
        <f t="shared" si="35"/>
        <v>89432.7</v>
      </c>
      <c r="L2287" t="str">
        <f>INDEX(Raw_Shipments!L2287:L4715,MATCH(A2287,Raw_Shipments!B2287:B4715))</f>
        <v>No</v>
      </c>
    </row>
    <row r="2288" spans="1:12" x14ac:dyDescent="0.3">
      <c r="A2288" s="2" t="s">
        <v>2437</v>
      </c>
      <c r="B2288" s="3">
        <v>46002</v>
      </c>
      <c r="C2288" s="2" t="s">
        <v>35</v>
      </c>
      <c r="D2288" s="2" t="s">
        <v>45</v>
      </c>
      <c r="E2288" s="2" t="s">
        <v>15</v>
      </c>
      <c r="F2288" s="2" t="s">
        <v>16</v>
      </c>
      <c r="G2288" s="2" t="s">
        <v>17</v>
      </c>
      <c r="H2288" s="2">
        <v>20</v>
      </c>
      <c r="I2288" s="4">
        <v>183.06</v>
      </c>
      <c r="J2288" s="3">
        <v>46007</v>
      </c>
      <c r="K2288">
        <f t="shared" si="35"/>
        <v>3661.2</v>
      </c>
      <c r="L2288" t="str">
        <f>INDEX(Raw_Shipments!L2288:L4716,MATCH(A2288,Raw_Shipments!B2288:B4716))</f>
        <v>No</v>
      </c>
    </row>
    <row r="2289" spans="1:12" x14ac:dyDescent="0.3">
      <c r="A2289" s="5" t="s">
        <v>2438</v>
      </c>
      <c r="B2289" s="6">
        <v>46002</v>
      </c>
      <c r="C2289" s="5" t="s">
        <v>343</v>
      </c>
      <c r="D2289" s="5" t="s">
        <v>25</v>
      </c>
      <c r="E2289" s="5" t="s">
        <v>20</v>
      </c>
      <c r="F2289" s="5" t="s">
        <v>21</v>
      </c>
      <c r="G2289" s="5" t="s">
        <v>22</v>
      </c>
      <c r="H2289" s="5">
        <v>23</v>
      </c>
      <c r="I2289" s="7">
        <v>2108.56</v>
      </c>
      <c r="J2289" s="6">
        <v>46007</v>
      </c>
      <c r="K2289">
        <f t="shared" si="35"/>
        <v>48496.88</v>
      </c>
      <c r="L2289" t="str">
        <f>INDEX(Raw_Shipments!L2289:L4717,MATCH(A2289,Raw_Shipments!B2289:B4717))</f>
        <v>No</v>
      </c>
    </row>
    <row r="2290" spans="1:12" x14ac:dyDescent="0.3">
      <c r="A2290" s="2" t="s">
        <v>2439</v>
      </c>
      <c r="B2290" s="3">
        <v>46002</v>
      </c>
      <c r="C2290" s="2" t="s">
        <v>240</v>
      </c>
      <c r="D2290" s="2" t="s">
        <v>45</v>
      </c>
      <c r="E2290" s="2" t="s">
        <v>26</v>
      </c>
      <c r="F2290" s="2" t="s">
        <v>27</v>
      </c>
      <c r="G2290" s="2" t="s">
        <v>22</v>
      </c>
      <c r="H2290" s="2">
        <v>21</v>
      </c>
      <c r="I2290" s="4">
        <v>1646.8</v>
      </c>
      <c r="J2290" s="3">
        <v>46007</v>
      </c>
      <c r="K2290">
        <f t="shared" si="35"/>
        <v>34582.799999999996</v>
      </c>
      <c r="L2290" t="str">
        <f>INDEX(Raw_Shipments!L2290:L4718,MATCH(A2290,Raw_Shipments!B2290:B4718))</f>
        <v>Yes</v>
      </c>
    </row>
    <row r="2291" spans="1:12" x14ac:dyDescent="0.3">
      <c r="A2291" s="5" t="s">
        <v>2440</v>
      </c>
      <c r="B2291" s="6">
        <v>46002</v>
      </c>
      <c r="C2291" s="5" t="s">
        <v>191</v>
      </c>
      <c r="D2291" s="5" t="s">
        <v>25</v>
      </c>
      <c r="E2291" s="5" t="s">
        <v>86</v>
      </c>
      <c r="F2291" s="5" t="s">
        <v>87</v>
      </c>
      <c r="G2291" s="5" t="s">
        <v>33</v>
      </c>
      <c r="H2291" s="5">
        <v>32</v>
      </c>
      <c r="I2291" s="7">
        <v>815.88</v>
      </c>
      <c r="J2291" s="6">
        <v>46010</v>
      </c>
      <c r="K2291">
        <f t="shared" si="35"/>
        <v>26108.16</v>
      </c>
      <c r="L2291" t="str">
        <f>INDEX(Raw_Shipments!L2291:L4719,MATCH(A2291,Raw_Shipments!B2291:B4719))</f>
        <v>Yes</v>
      </c>
    </row>
    <row r="2292" spans="1:12" x14ac:dyDescent="0.3">
      <c r="A2292" s="2" t="s">
        <v>2441</v>
      </c>
      <c r="B2292" s="3">
        <v>46003</v>
      </c>
      <c r="C2292" s="2" t="s">
        <v>158</v>
      </c>
      <c r="D2292" s="2" t="s">
        <v>45</v>
      </c>
      <c r="E2292" s="2" t="s">
        <v>58</v>
      </c>
      <c r="F2292" s="2" t="s">
        <v>59</v>
      </c>
      <c r="G2292" s="2" t="s">
        <v>55</v>
      </c>
      <c r="H2292" s="2">
        <v>20</v>
      </c>
      <c r="I2292" s="4">
        <v>1695.1</v>
      </c>
      <c r="J2292" s="3">
        <v>46012</v>
      </c>
      <c r="K2292">
        <f t="shared" si="35"/>
        <v>33902</v>
      </c>
      <c r="L2292" t="str">
        <f>INDEX(Raw_Shipments!L2292:L4720,MATCH(A2292,Raw_Shipments!B2292:B4720))</f>
        <v>No</v>
      </c>
    </row>
    <row r="2293" spans="1:12" x14ac:dyDescent="0.3">
      <c r="A2293" s="5" t="s">
        <v>2442</v>
      </c>
      <c r="B2293" s="6">
        <v>46003</v>
      </c>
      <c r="C2293" s="5" t="s">
        <v>44</v>
      </c>
      <c r="D2293" s="5" t="s">
        <v>30</v>
      </c>
      <c r="E2293" s="5" t="s">
        <v>62</v>
      </c>
      <c r="F2293" s="5" t="s">
        <v>63</v>
      </c>
      <c r="G2293" s="5" t="s">
        <v>55</v>
      </c>
      <c r="H2293" s="5">
        <v>41</v>
      </c>
      <c r="I2293" s="7">
        <v>2555.2199999999998</v>
      </c>
      <c r="J2293" s="6">
        <v>46013</v>
      </c>
      <c r="K2293">
        <f t="shared" si="35"/>
        <v>104764.01999999999</v>
      </c>
      <c r="L2293" t="str">
        <f>INDEX(Raw_Shipments!L2293:L4721,MATCH(A2293,Raw_Shipments!B2293:B4721))</f>
        <v>No</v>
      </c>
    </row>
    <row r="2294" spans="1:12" x14ac:dyDescent="0.3">
      <c r="A2294" s="2" t="s">
        <v>2443</v>
      </c>
      <c r="B2294" s="3">
        <v>46003</v>
      </c>
      <c r="C2294" s="2" t="s">
        <v>331</v>
      </c>
      <c r="D2294" s="2" t="s">
        <v>30</v>
      </c>
      <c r="E2294" s="2" t="s">
        <v>40</v>
      </c>
      <c r="F2294" s="2" t="s">
        <v>41</v>
      </c>
      <c r="G2294" s="2" t="s">
        <v>42</v>
      </c>
      <c r="H2294" s="2">
        <v>32</v>
      </c>
      <c r="I2294" s="4">
        <v>2445.11</v>
      </c>
      <c r="J2294" s="3">
        <v>46008</v>
      </c>
      <c r="K2294">
        <f t="shared" si="35"/>
        <v>78243.520000000004</v>
      </c>
      <c r="L2294" t="str">
        <f>INDEX(Raw_Shipments!L2294:L4722,MATCH(A2294,Raw_Shipments!B2294:B4722))</f>
        <v>No</v>
      </c>
    </row>
    <row r="2295" spans="1:12" x14ac:dyDescent="0.3">
      <c r="A2295" s="5" t="s">
        <v>2444</v>
      </c>
      <c r="B2295" s="6">
        <v>46003</v>
      </c>
      <c r="C2295" s="5" t="s">
        <v>131</v>
      </c>
      <c r="D2295" s="5" t="s">
        <v>45</v>
      </c>
      <c r="E2295" s="5" t="s">
        <v>46</v>
      </c>
      <c r="F2295" s="5" t="s">
        <v>47</v>
      </c>
      <c r="G2295" s="5" t="s">
        <v>42</v>
      </c>
      <c r="H2295" s="5">
        <v>14</v>
      </c>
      <c r="I2295" s="7">
        <v>1833.14</v>
      </c>
      <c r="J2295" s="6">
        <v>46006</v>
      </c>
      <c r="K2295">
        <f t="shared" si="35"/>
        <v>25663.960000000003</v>
      </c>
      <c r="L2295" t="str">
        <f>INDEX(Raw_Shipments!L2295:L4723,MATCH(A2295,Raw_Shipments!B2295:B4723))</f>
        <v>No</v>
      </c>
    </row>
    <row r="2296" spans="1:12" x14ac:dyDescent="0.3">
      <c r="A2296" s="2" t="s">
        <v>2445</v>
      </c>
      <c r="B2296" s="3">
        <v>46004</v>
      </c>
      <c r="C2296" s="2" t="s">
        <v>111</v>
      </c>
      <c r="D2296" s="2" t="s">
        <v>30</v>
      </c>
      <c r="E2296" s="2" t="s">
        <v>53</v>
      </c>
      <c r="F2296" s="2" t="s">
        <v>54</v>
      </c>
      <c r="G2296" s="2" t="s">
        <v>55</v>
      </c>
      <c r="H2296" s="2">
        <v>35</v>
      </c>
      <c r="I2296" s="4">
        <v>2055.9</v>
      </c>
      <c r="J2296" s="3">
        <v>46013</v>
      </c>
      <c r="K2296">
        <f t="shared" si="35"/>
        <v>71956.5</v>
      </c>
      <c r="L2296" t="str">
        <f>INDEX(Raw_Shipments!L2296:L4724,MATCH(A2296,Raw_Shipments!B2296:B4724))</f>
        <v>No</v>
      </c>
    </row>
    <row r="2297" spans="1:12" x14ac:dyDescent="0.3">
      <c r="A2297" s="5" t="s">
        <v>2446</v>
      </c>
      <c r="B2297" s="6">
        <v>46004</v>
      </c>
      <c r="C2297" s="5" t="s">
        <v>185</v>
      </c>
      <c r="D2297" s="5" t="s">
        <v>30</v>
      </c>
      <c r="E2297" s="5" t="s">
        <v>58</v>
      </c>
      <c r="F2297" s="5" t="s">
        <v>59</v>
      </c>
      <c r="G2297" s="5" t="s">
        <v>55</v>
      </c>
      <c r="H2297" s="5">
        <v>31</v>
      </c>
      <c r="I2297" s="7">
        <v>1695.1</v>
      </c>
      <c r="J2297" s="6">
        <v>46007</v>
      </c>
      <c r="K2297">
        <f t="shared" si="35"/>
        <v>52548.1</v>
      </c>
      <c r="L2297" t="str">
        <f>INDEX(Raw_Shipments!L2297:L4725,MATCH(A2297,Raw_Shipments!B2297:B4725))</f>
        <v>No</v>
      </c>
    </row>
    <row r="2298" spans="1:12" x14ac:dyDescent="0.3">
      <c r="A2298" s="2" t="s">
        <v>2447</v>
      </c>
      <c r="B2298" s="3">
        <v>46004</v>
      </c>
      <c r="C2298" s="2" t="s">
        <v>175</v>
      </c>
      <c r="D2298" s="2" t="s">
        <v>14</v>
      </c>
      <c r="E2298" s="2" t="s">
        <v>62</v>
      </c>
      <c r="F2298" s="2" t="s">
        <v>63</v>
      </c>
      <c r="G2298" s="2" t="s">
        <v>55</v>
      </c>
      <c r="H2298" s="2">
        <v>60</v>
      </c>
      <c r="I2298" s="4">
        <v>2555.2199999999998</v>
      </c>
      <c r="J2298" s="3">
        <v>46009</v>
      </c>
      <c r="K2298">
        <f t="shared" si="35"/>
        <v>153313.19999999998</v>
      </c>
      <c r="L2298" t="str">
        <f>INDEX(Raw_Shipments!L2298:L4726,MATCH(A2298,Raw_Shipments!B2298:B4726))</f>
        <v>No</v>
      </c>
    </row>
    <row r="2299" spans="1:12" x14ac:dyDescent="0.3">
      <c r="A2299" s="5" t="s">
        <v>2448</v>
      </c>
      <c r="B2299" s="6">
        <v>46004</v>
      </c>
      <c r="C2299" s="5" t="s">
        <v>135</v>
      </c>
      <c r="D2299" s="5" t="s">
        <v>45</v>
      </c>
      <c r="E2299" s="5" t="s">
        <v>97</v>
      </c>
      <c r="F2299" s="5" t="s">
        <v>98</v>
      </c>
      <c r="G2299" s="5" t="s">
        <v>17</v>
      </c>
      <c r="H2299" s="5">
        <v>35</v>
      </c>
      <c r="I2299" s="7">
        <v>1110.6500000000001</v>
      </c>
      <c r="J2299" s="6">
        <v>46010</v>
      </c>
      <c r="K2299">
        <f t="shared" si="35"/>
        <v>38872.75</v>
      </c>
      <c r="L2299" t="str">
        <f>INDEX(Raw_Shipments!L2299:L4727,MATCH(A2299,Raw_Shipments!B2299:B4727))</f>
        <v>No</v>
      </c>
    </row>
    <row r="2300" spans="1:12" x14ac:dyDescent="0.3">
      <c r="A2300" s="2" t="s">
        <v>2449</v>
      </c>
      <c r="B2300" s="3">
        <v>46004</v>
      </c>
      <c r="C2300" s="2" t="s">
        <v>131</v>
      </c>
      <c r="D2300" s="2" t="s">
        <v>30</v>
      </c>
      <c r="E2300" s="2" t="s">
        <v>119</v>
      </c>
      <c r="F2300" s="2" t="s">
        <v>120</v>
      </c>
      <c r="G2300" s="2" t="s">
        <v>22</v>
      </c>
      <c r="H2300" s="2">
        <v>28</v>
      </c>
      <c r="I2300" s="4">
        <v>912.26</v>
      </c>
      <c r="J2300" s="3">
        <v>46012</v>
      </c>
      <c r="K2300">
        <f t="shared" si="35"/>
        <v>25543.279999999999</v>
      </c>
      <c r="L2300" t="str">
        <f>INDEX(Raw_Shipments!L2300:L4728,MATCH(A2300,Raw_Shipments!B2300:B4728))</f>
        <v>Yes</v>
      </c>
    </row>
    <row r="2301" spans="1:12" x14ac:dyDescent="0.3">
      <c r="A2301" s="5" t="s">
        <v>2450</v>
      </c>
      <c r="B2301" s="6">
        <v>46004</v>
      </c>
      <c r="C2301" s="5" t="s">
        <v>35</v>
      </c>
      <c r="D2301" s="5" t="s">
        <v>14</v>
      </c>
      <c r="E2301" s="5" t="s">
        <v>26</v>
      </c>
      <c r="F2301" s="5" t="s">
        <v>27</v>
      </c>
      <c r="G2301" s="5" t="s">
        <v>22</v>
      </c>
      <c r="H2301" s="5">
        <v>32</v>
      </c>
      <c r="I2301" s="7">
        <v>1646.8</v>
      </c>
      <c r="J2301" s="6">
        <v>46007</v>
      </c>
      <c r="K2301">
        <f t="shared" si="35"/>
        <v>52697.599999999999</v>
      </c>
      <c r="L2301" t="str">
        <f>INDEX(Raw_Shipments!L2301:L4729,MATCH(A2301,Raw_Shipments!B2301:B4729))</f>
        <v>No</v>
      </c>
    </row>
    <row r="2302" spans="1:12" x14ac:dyDescent="0.3">
      <c r="A2302" s="2" t="s">
        <v>2451</v>
      </c>
      <c r="B2302" s="3">
        <v>46004</v>
      </c>
      <c r="C2302" s="2" t="s">
        <v>473</v>
      </c>
      <c r="D2302" s="2" t="s">
        <v>30</v>
      </c>
      <c r="E2302" s="2" t="s">
        <v>86</v>
      </c>
      <c r="F2302" s="2" t="s">
        <v>87</v>
      </c>
      <c r="G2302" s="2" t="s">
        <v>33</v>
      </c>
      <c r="H2302" s="2">
        <v>44</v>
      </c>
      <c r="I2302" s="4">
        <v>815.88</v>
      </c>
      <c r="J2302" s="3">
        <v>46013</v>
      </c>
      <c r="K2302">
        <f t="shared" si="35"/>
        <v>35898.720000000001</v>
      </c>
      <c r="L2302" t="str">
        <f>INDEX(Raw_Shipments!L2302:L4730,MATCH(A2302,Raw_Shipments!B2302:B4730))</f>
        <v>No</v>
      </c>
    </row>
    <row r="2303" spans="1:12" x14ac:dyDescent="0.3">
      <c r="A2303" s="5" t="s">
        <v>2452</v>
      </c>
      <c r="B2303" s="6">
        <v>46004</v>
      </c>
      <c r="C2303" s="5" t="s">
        <v>183</v>
      </c>
      <c r="D2303" s="5" t="s">
        <v>30</v>
      </c>
      <c r="E2303" s="5" t="s">
        <v>40</v>
      </c>
      <c r="F2303" s="5" t="s">
        <v>41</v>
      </c>
      <c r="G2303" s="5" t="s">
        <v>42</v>
      </c>
      <c r="H2303" s="5">
        <v>36</v>
      </c>
      <c r="I2303" s="7">
        <v>2445.11</v>
      </c>
      <c r="J2303" s="6">
        <v>46011</v>
      </c>
      <c r="K2303">
        <f t="shared" si="35"/>
        <v>88023.96</v>
      </c>
      <c r="L2303" t="str">
        <f>INDEX(Raw_Shipments!L2303:L4731,MATCH(A2303,Raw_Shipments!B2303:B4731))</f>
        <v>No</v>
      </c>
    </row>
    <row r="2304" spans="1:12" x14ac:dyDescent="0.3">
      <c r="A2304" s="2" t="s">
        <v>2453</v>
      </c>
      <c r="B2304" s="3">
        <v>46004</v>
      </c>
      <c r="C2304" s="2" t="s">
        <v>183</v>
      </c>
      <c r="D2304" s="2" t="s">
        <v>25</v>
      </c>
      <c r="E2304" s="2" t="s">
        <v>46</v>
      </c>
      <c r="F2304" s="2" t="s">
        <v>47</v>
      </c>
      <c r="G2304" s="2" t="s">
        <v>42</v>
      </c>
      <c r="H2304" s="2">
        <v>13</v>
      </c>
      <c r="I2304" s="4">
        <v>1833.14</v>
      </c>
      <c r="J2304" s="3">
        <v>46008</v>
      </c>
      <c r="K2304">
        <f t="shared" si="35"/>
        <v>23830.82</v>
      </c>
      <c r="L2304" t="str">
        <f>INDEX(Raw_Shipments!L2304:L4732,MATCH(A2304,Raw_Shipments!B2304:B4732))</f>
        <v>No</v>
      </c>
    </row>
    <row r="2305" spans="1:12" x14ac:dyDescent="0.3">
      <c r="A2305" s="5" t="s">
        <v>2454</v>
      </c>
      <c r="B2305" s="6">
        <v>46004</v>
      </c>
      <c r="C2305" s="5" t="s">
        <v>170</v>
      </c>
      <c r="D2305" s="5" t="s">
        <v>45</v>
      </c>
      <c r="E2305" s="5" t="s">
        <v>50</v>
      </c>
      <c r="F2305" s="5" t="s">
        <v>51</v>
      </c>
      <c r="G2305" s="5" t="s">
        <v>42</v>
      </c>
      <c r="H2305" s="5">
        <v>10</v>
      </c>
      <c r="I2305" s="7">
        <v>1952.28</v>
      </c>
      <c r="J2305" s="6">
        <v>46009</v>
      </c>
      <c r="K2305">
        <f t="shared" si="35"/>
        <v>19522.8</v>
      </c>
      <c r="L2305" t="str">
        <f>INDEX(Raw_Shipments!L2305:L4733,MATCH(A2305,Raw_Shipments!B2305:B4733))</f>
        <v>No</v>
      </c>
    </row>
    <row r="2306" spans="1:12" x14ac:dyDescent="0.3">
      <c r="A2306" s="2" t="s">
        <v>2455</v>
      </c>
      <c r="B2306" s="3">
        <v>46005</v>
      </c>
      <c r="C2306" s="2" t="s">
        <v>418</v>
      </c>
      <c r="D2306" s="2" t="s">
        <v>14</v>
      </c>
      <c r="E2306" s="2" t="s">
        <v>53</v>
      </c>
      <c r="F2306" s="2" t="s">
        <v>54</v>
      </c>
      <c r="G2306" s="2" t="s">
        <v>55</v>
      </c>
      <c r="H2306" s="2">
        <v>39</v>
      </c>
      <c r="I2306" s="4">
        <v>2055.9</v>
      </c>
      <c r="J2306" s="3">
        <v>46008</v>
      </c>
      <c r="K2306">
        <f t="shared" si="35"/>
        <v>80180.100000000006</v>
      </c>
      <c r="L2306" t="str">
        <f>INDEX(Raw_Shipments!L2306:L4734,MATCH(A2306,Raw_Shipments!B2306:B4734))</f>
        <v>No</v>
      </c>
    </row>
    <row r="2307" spans="1:12" x14ac:dyDescent="0.3">
      <c r="A2307" s="5" t="s">
        <v>2456</v>
      </c>
      <c r="B2307" s="6">
        <v>46005</v>
      </c>
      <c r="C2307" s="5" t="s">
        <v>115</v>
      </c>
      <c r="D2307" s="5" t="s">
        <v>25</v>
      </c>
      <c r="E2307" s="5" t="s">
        <v>62</v>
      </c>
      <c r="F2307" s="5" t="s">
        <v>63</v>
      </c>
      <c r="G2307" s="5" t="s">
        <v>55</v>
      </c>
      <c r="H2307" s="5">
        <v>32</v>
      </c>
      <c r="I2307" s="7">
        <v>2555.2199999999998</v>
      </c>
      <c r="J2307" s="6">
        <v>46015</v>
      </c>
      <c r="K2307">
        <f t="shared" ref="K2307:K2370" si="36">I2307*H2307</f>
        <v>81767.039999999994</v>
      </c>
      <c r="L2307" t="str">
        <f>INDEX(Raw_Shipments!L2307:L4735,MATCH(A2307,Raw_Shipments!B2307:B4735))</f>
        <v>No</v>
      </c>
    </row>
    <row r="2308" spans="1:12" x14ac:dyDescent="0.3">
      <c r="A2308" s="2" t="s">
        <v>2457</v>
      </c>
      <c r="B2308" s="3">
        <v>46005</v>
      </c>
      <c r="C2308" s="2" t="s">
        <v>57</v>
      </c>
      <c r="D2308" s="2" t="s">
        <v>30</v>
      </c>
      <c r="E2308" s="2" t="s">
        <v>20</v>
      </c>
      <c r="F2308" s="2" t="s">
        <v>21</v>
      </c>
      <c r="G2308" s="2" t="s">
        <v>22</v>
      </c>
      <c r="H2308" s="2">
        <v>24</v>
      </c>
      <c r="I2308" s="4">
        <v>2108.56</v>
      </c>
      <c r="J2308" s="3">
        <v>46009</v>
      </c>
      <c r="K2308">
        <f t="shared" si="36"/>
        <v>50605.440000000002</v>
      </c>
      <c r="L2308" t="str">
        <f>INDEX(Raw_Shipments!L2308:L4736,MATCH(A2308,Raw_Shipments!B2308:B4736))</f>
        <v>No</v>
      </c>
    </row>
    <row r="2309" spans="1:12" x14ac:dyDescent="0.3">
      <c r="A2309" s="5" t="s">
        <v>2458</v>
      </c>
      <c r="B2309" s="6">
        <v>46005</v>
      </c>
      <c r="C2309" s="5" t="s">
        <v>109</v>
      </c>
      <c r="D2309" s="5" t="s">
        <v>45</v>
      </c>
      <c r="E2309" s="5" t="s">
        <v>119</v>
      </c>
      <c r="F2309" s="5" t="s">
        <v>120</v>
      </c>
      <c r="G2309" s="5" t="s">
        <v>22</v>
      </c>
      <c r="H2309" s="5">
        <v>56</v>
      </c>
      <c r="I2309" s="7">
        <v>912.26</v>
      </c>
      <c r="J2309" s="6">
        <v>46008</v>
      </c>
      <c r="K2309">
        <f t="shared" si="36"/>
        <v>51086.559999999998</v>
      </c>
      <c r="L2309" t="str">
        <f>INDEX(Raw_Shipments!L2309:L4737,MATCH(A2309,Raw_Shipments!B2309:B4737))</f>
        <v>No</v>
      </c>
    </row>
    <row r="2310" spans="1:12" x14ac:dyDescent="0.3">
      <c r="A2310" s="2" t="s">
        <v>2459</v>
      </c>
      <c r="B2310" s="3">
        <v>46005</v>
      </c>
      <c r="C2310" s="2" t="s">
        <v>272</v>
      </c>
      <c r="D2310" s="2" t="s">
        <v>25</v>
      </c>
      <c r="E2310" s="2" t="s">
        <v>31</v>
      </c>
      <c r="F2310" s="2" t="s">
        <v>32</v>
      </c>
      <c r="G2310" s="2" t="s">
        <v>33</v>
      </c>
      <c r="H2310" s="2">
        <v>54</v>
      </c>
      <c r="I2310" s="4">
        <v>689</v>
      </c>
      <c r="J2310" s="3">
        <v>46015</v>
      </c>
      <c r="K2310">
        <f t="shared" si="36"/>
        <v>37206</v>
      </c>
      <c r="L2310" t="str">
        <f>INDEX(Raw_Shipments!L2310:L4738,MATCH(A2310,Raw_Shipments!B2310:B4738))</f>
        <v>Yes</v>
      </c>
    </row>
    <row r="2311" spans="1:12" x14ac:dyDescent="0.3">
      <c r="A2311" s="5" t="s">
        <v>2460</v>
      </c>
      <c r="B2311" s="6">
        <v>46005</v>
      </c>
      <c r="C2311" s="5" t="s">
        <v>250</v>
      </c>
      <c r="D2311" s="5" t="s">
        <v>30</v>
      </c>
      <c r="E2311" s="5" t="s">
        <v>36</v>
      </c>
      <c r="F2311" s="5" t="s">
        <v>37</v>
      </c>
      <c r="G2311" s="5" t="s">
        <v>33</v>
      </c>
      <c r="H2311" s="5">
        <v>34</v>
      </c>
      <c r="I2311" s="7">
        <v>1064.79</v>
      </c>
      <c r="J2311" s="6">
        <v>46011</v>
      </c>
      <c r="K2311">
        <f t="shared" si="36"/>
        <v>36202.86</v>
      </c>
      <c r="L2311" t="str">
        <f>INDEX(Raw_Shipments!L2311:L4739,MATCH(A2311,Raw_Shipments!B2311:B4739))</f>
        <v>No</v>
      </c>
    </row>
    <row r="2312" spans="1:12" x14ac:dyDescent="0.3">
      <c r="A2312" s="2" t="s">
        <v>2461</v>
      </c>
      <c r="B2312" s="3">
        <v>46005</v>
      </c>
      <c r="C2312" s="2" t="s">
        <v>158</v>
      </c>
      <c r="D2312" s="2" t="s">
        <v>14</v>
      </c>
      <c r="E2312" s="2" t="s">
        <v>86</v>
      </c>
      <c r="F2312" s="2" t="s">
        <v>87</v>
      </c>
      <c r="G2312" s="2" t="s">
        <v>33</v>
      </c>
      <c r="H2312" s="2">
        <v>33</v>
      </c>
      <c r="I2312" s="4">
        <v>815.88</v>
      </c>
      <c r="J2312" s="3">
        <v>46008</v>
      </c>
      <c r="K2312">
        <f t="shared" si="36"/>
        <v>26924.04</v>
      </c>
      <c r="L2312" t="str">
        <f>INDEX(Raw_Shipments!L2312:L4740,MATCH(A2312,Raw_Shipments!B2312:B4740))</f>
        <v>No</v>
      </c>
    </row>
    <row r="2313" spans="1:12" x14ac:dyDescent="0.3">
      <c r="A2313" s="5" t="s">
        <v>2462</v>
      </c>
      <c r="B2313" s="6">
        <v>46005</v>
      </c>
      <c r="C2313" s="5" t="s">
        <v>260</v>
      </c>
      <c r="D2313" s="5" t="s">
        <v>14</v>
      </c>
      <c r="E2313" s="5" t="s">
        <v>40</v>
      </c>
      <c r="F2313" s="5" t="s">
        <v>41</v>
      </c>
      <c r="G2313" s="5" t="s">
        <v>42</v>
      </c>
      <c r="H2313" s="5">
        <v>35</v>
      </c>
      <c r="I2313" s="7">
        <v>2445.11</v>
      </c>
      <c r="J2313" s="6">
        <v>46011</v>
      </c>
      <c r="K2313">
        <f t="shared" si="36"/>
        <v>85578.85</v>
      </c>
      <c r="L2313" t="str">
        <f>INDEX(Raw_Shipments!L2313:L4741,MATCH(A2313,Raw_Shipments!B2313:B4741))</f>
        <v>No</v>
      </c>
    </row>
    <row r="2314" spans="1:12" x14ac:dyDescent="0.3">
      <c r="A2314" s="2" t="s">
        <v>2463</v>
      </c>
      <c r="B2314" s="3">
        <v>46005</v>
      </c>
      <c r="C2314" s="2" t="s">
        <v>125</v>
      </c>
      <c r="D2314" s="2" t="s">
        <v>45</v>
      </c>
      <c r="E2314" s="2" t="s">
        <v>46</v>
      </c>
      <c r="F2314" s="2" t="s">
        <v>47</v>
      </c>
      <c r="G2314" s="2" t="s">
        <v>42</v>
      </c>
      <c r="H2314" s="2">
        <v>1</v>
      </c>
      <c r="I2314" s="4">
        <v>1833.14</v>
      </c>
      <c r="J2314" s="3">
        <v>46011</v>
      </c>
      <c r="K2314">
        <f t="shared" si="36"/>
        <v>1833.14</v>
      </c>
      <c r="L2314" t="str">
        <f>INDEX(Raw_Shipments!L2314:L4742,MATCH(A2314,Raw_Shipments!B2314:B4742))</f>
        <v>No</v>
      </c>
    </row>
    <row r="2315" spans="1:12" x14ac:dyDescent="0.3">
      <c r="A2315" s="5" t="s">
        <v>2464</v>
      </c>
      <c r="B2315" s="6">
        <v>46005</v>
      </c>
      <c r="C2315" s="5" t="s">
        <v>77</v>
      </c>
      <c r="D2315" s="5" t="s">
        <v>30</v>
      </c>
      <c r="E2315" s="5" t="s">
        <v>50</v>
      </c>
      <c r="F2315" s="5" t="s">
        <v>51</v>
      </c>
      <c r="G2315" s="5" t="s">
        <v>42</v>
      </c>
      <c r="H2315" s="5">
        <v>6</v>
      </c>
      <c r="I2315" s="7">
        <v>1952.28</v>
      </c>
      <c r="J2315" s="6">
        <v>46008</v>
      </c>
      <c r="K2315">
        <f t="shared" si="36"/>
        <v>11713.68</v>
      </c>
      <c r="L2315" t="str">
        <f>INDEX(Raw_Shipments!L2315:L4743,MATCH(A2315,Raw_Shipments!B2315:B4743))</f>
        <v>No</v>
      </c>
    </row>
    <row r="2316" spans="1:12" x14ac:dyDescent="0.3">
      <c r="A2316" s="2" t="s">
        <v>2465</v>
      </c>
      <c r="B2316" s="3">
        <v>46006</v>
      </c>
      <c r="C2316" s="2" t="s">
        <v>100</v>
      </c>
      <c r="D2316" s="2" t="s">
        <v>45</v>
      </c>
      <c r="E2316" s="2" t="s">
        <v>58</v>
      </c>
      <c r="F2316" s="2" t="s">
        <v>59</v>
      </c>
      <c r="G2316" s="2" t="s">
        <v>55</v>
      </c>
      <c r="H2316" s="2">
        <v>25</v>
      </c>
      <c r="I2316" s="4">
        <v>1695.1</v>
      </c>
      <c r="J2316" s="3">
        <v>46016</v>
      </c>
      <c r="K2316">
        <f t="shared" si="36"/>
        <v>42377.5</v>
      </c>
      <c r="L2316" t="str">
        <f>INDEX(Raw_Shipments!L2316:L4744,MATCH(A2316,Raw_Shipments!B2316:B4744))</f>
        <v>No</v>
      </c>
    </row>
    <row r="2317" spans="1:12" x14ac:dyDescent="0.3">
      <c r="A2317" s="5" t="s">
        <v>2466</v>
      </c>
      <c r="B2317" s="6">
        <v>46006</v>
      </c>
      <c r="C2317" s="5" t="s">
        <v>220</v>
      </c>
      <c r="D2317" s="5" t="s">
        <v>25</v>
      </c>
      <c r="E2317" s="5" t="s">
        <v>97</v>
      </c>
      <c r="F2317" s="5" t="s">
        <v>98</v>
      </c>
      <c r="G2317" s="5" t="s">
        <v>17</v>
      </c>
      <c r="H2317" s="5">
        <v>30</v>
      </c>
      <c r="I2317" s="7">
        <v>1110.6500000000001</v>
      </c>
      <c r="J2317" s="6">
        <v>46014</v>
      </c>
      <c r="K2317">
        <f t="shared" si="36"/>
        <v>33319.5</v>
      </c>
      <c r="L2317" t="str">
        <f>INDEX(Raw_Shipments!L2317:L4745,MATCH(A2317,Raw_Shipments!B2317:B4745))</f>
        <v>No</v>
      </c>
    </row>
    <row r="2318" spans="1:12" x14ac:dyDescent="0.3">
      <c r="A2318" s="2" t="s">
        <v>2467</v>
      </c>
      <c r="B2318" s="3">
        <v>46006</v>
      </c>
      <c r="C2318" s="2" t="s">
        <v>122</v>
      </c>
      <c r="D2318" s="2" t="s">
        <v>14</v>
      </c>
      <c r="E2318" s="2" t="s">
        <v>36</v>
      </c>
      <c r="F2318" s="2" t="s">
        <v>37</v>
      </c>
      <c r="G2318" s="2" t="s">
        <v>33</v>
      </c>
      <c r="H2318" s="2">
        <v>62</v>
      </c>
      <c r="I2318" s="4">
        <v>1064.79</v>
      </c>
      <c r="J2318" s="3">
        <v>46013</v>
      </c>
      <c r="K2318">
        <f t="shared" si="36"/>
        <v>66016.98</v>
      </c>
      <c r="L2318" t="str">
        <f>INDEX(Raw_Shipments!L2318:L4746,MATCH(A2318,Raw_Shipments!B2318:B4746))</f>
        <v>No</v>
      </c>
    </row>
    <row r="2319" spans="1:12" x14ac:dyDescent="0.3">
      <c r="A2319" s="5" t="s">
        <v>2468</v>
      </c>
      <c r="B2319" s="6">
        <v>46006</v>
      </c>
      <c r="C2319" s="5" t="s">
        <v>102</v>
      </c>
      <c r="D2319" s="5" t="s">
        <v>30</v>
      </c>
      <c r="E2319" s="5" t="s">
        <v>86</v>
      </c>
      <c r="F2319" s="5" t="s">
        <v>87</v>
      </c>
      <c r="G2319" s="5" t="s">
        <v>33</v>
      </c>
      <c r="H2319" s="5">
        <v>47</v>
      </c>
      <c r="I2319" s="7">
        <v>815.88</v>
      </c>
      <c r="J2319" s="6">
        <v>46009</v>
      </c>
      <c r="K2319">
        <f t="shared" si="36"/>
        <v>38346.36</v>
      </c>
      <c r="L2319" t="str">
        <f>INDEX(Raw_Shipments!L2319:L4747,MATCH(A2319,Raw_Shipments!B2319:B4747))</f>
        <v>No</v>
      </c>
    </row>
    <row r="2320" spans="1:12" x14ac:dyDescent="0.3">
      <c r="A2320" s="2" t="s">
        <v>2469</v>
      </c>
      <c r="B2320" s="3">
        <v>46006</v>
      </c>
      <c r="C2320" s="2" t="s">
        <v>141</v>
      </c>
      <c r="D2320" s="2" t="s">
        <v>25</v>
      </c>
      <c r="E2320" s="2" t="s">
        <v>40</v>
      </c>
      <c r="F2320" s="2" t="s">
        <v>41</v>
      </c>
      <c r="G2320" s="2" t="s">
        <v>42</v>
      </c>
      <c r="H2320" s="2">
        <v>41</v>
      </c>
      <c r="I2320" s="4">
        <v>2445.11</v>
      </c>
      <c r="J2320" s="3">
        <v>46015</v>
      </c>
      <c r="K2320">
        <f t="shared" si="36"/>
        <v>100249.51000000001</v>
      </c>
      <c r="L2320" t="str">
        <f>INDEX(Raw_Shipments!L2320:L4748,MATCH(A2320,Raw_Shipments!B2320:B4748))</f>
        <v>No</v>
      </c>
    </row>
    <row r="2321" spans="1:12" x14ac:dyDescent="0.3">
      <c r="A2321" s="5" t="s">
        <v>2470</v>
      </c>
      <c r="B2321" s="6">
        <v>46006</v>
      </c>
      <c r="C2321" s="5" t="s">
        <v>178</v>
      </c>
      <c r="D2321" s="5" t="s">
        <v>14</v>
      </c>
      <c r="E2321" s="5" t="s">
        <v>50</v>
      </c>
      <c r="F2321" s="5" t="s">
        <v>51</v>
      </c>
      <c r="G2321" s="5" t="s">
        <v>42</v>
      </c>
      <c r="H2321" s="5">
        <v>10</v>
      </c>
      <c r="I2321" s="7">
        <v>1952.28</v>
      </c>
      <c r="J2321" s="6">
        <v>46011</v>
      </c>
      <c r="K2321">
        <f t="shared" si="36"/>
        <v>19522.8</v>
      </c>
      <c r="L2321" t="str">
        <f>INDEX(Raw_Shipments!L2321:L4749,MATCH(A2321,Raw_Shipments!B2321:B4749))</f>
        <v>No</v>
      </c>
    </row>
    <row r="2322" spans="1:12" x14ac:dyDescent="0.3">
      <c r="A2322" s="2" t="s">
        <v>2471</v>
      </c>
      <c r="B2322" s="3">
        <v>46007</v>
      </c>
      <c r="C2322" s="2" t="s">
        <v>229</v>
      </c>
      <c r="D2322" s="2" t="s">
        <v>25</v>
      </c>
      <c r="E2322" s="2" t="s">
        <v>58</v>
      </c>
      <c r="F2322" s="2" t="s">
        <v>59</v>
      </c>
      <c r="G2322" s="2" t="s">
        <v>55</v>
      </c>
      <c r="H2322" s="2">
        <v>29</v>
      </c>
      <c r="I2322" s="4">
        <v>1695.1</v>
      </c>
      <c r="J2322" s="3">
        <v>46012</v>
      </c>
      <c r="K2322">
        <f t="shared" si="36"/>
        <v>49157.899999999994</v>
      </c>
      <c r="L2322" t="str">
        <f>INDEX(Raw_Shipments!L2322:L4750,MATCH(A2322,Raw_Shipments!B2322:B4750))</f>
        <v>No</v>
      </c>
    </row>
    <row r="2323" spans="1:12" x14ac:dyDescent="0.3">
      <c r="A2323" s="5" t="s">
        <v>2472</v>
      </c>
      <c r="B2323" s="6">
        <v>46007</v>
      </c>
      <c r="C2323" s="5" t="s">
        <v>260</v>
      </c>
      <c r="D2323" s="5" t="s">
        <v>25</v>
      </c>
      <c r="E2323" s="5" t="s">
        <v>62</v>
      </c>
      <c r="F2323" s="5" t="s">
        <v>63</v>
      </c>
      <c r="G2323" s="5" t="s">
        <v>55</v>
      </c>
      <c r="H2323" s="5">
        <v>39</v>
      </c>
      <c r="I2323" s="7">
        <v>2555.2199999999998</v>
      </c>
      <c r="J2323" s="6">
        <v>46016</v>
      </c>
      <c r="K2323">
        <f t="shared" si="36"/>
        <v>99653.579999999987</v>
      </c>
      <c r="L2323" t="str">
        <f>INDEX(Raw_Shipments!L2323:L4751,MATCH(A2323,Raw_Shipments!B2323:B4751))</f>
        <v>Yes</v>
      </c>
    </row>
    <row r="2324" spans="1:12" x14ac:dyDescent="0.3">
      <c r="A2324" s="2" t="s">
        <v>2473</v>
      </c>
      <c r="B2324" s="3">
        <v>46007</v>
      </c>
      <c r="C2324" s="2" t="s">
        <v>139</v>
      </c>
      <c r="D2324" s="2" t="s">
        <v>25</v>
      </c>
      <c r="E2324" s="2" t="s">
        <v>66</v>
      </c>
      <c r="F2324" s="2" t="s">
        <v>67</v>
      </c>
      <c r="G2324" s="2" t="s">
        <v>17</v>
      </c>
      <c r="H2324" s="2">
        <v>17</v>
      </c>
      <c r="I2324" s="4">
        <v>850.8</v>
      </c>
      <c r="J2324" s="3">
        <v>46011</v>
      </c>
      <c r="K2324">
        <f t="shared" si="36"/>
        <v>14463.599999999999</v>
      </c>
      <c r="L2324" t="str">
        <f>INDEX(Raw_Shipments!L2324:L4752,MATCH(A2324,Raw_Shipments!B2324:B4752))</f>
        <v>No</v>
      </c>
    </row>
    <row r="2325" spans="1:12" x14ac:dyDescent="0.3">
      <c r="A2325" s="5" t="s">
        <v>2474</v>
      </c>
      <c r="B2325" s="6">
        <v>46007</v>
      </c>
      <c r="C2325" s="5" t="s">
        <v>102</v>
      </c>
      <c r="D2325" s="5" t="s">
        <v>14</v>
      </c>
      <c r="E2325" s="5" t="s">
        <v>15</v>
      </c>
      <c r="F2325" s="5" t="s">
        <v>16</v>
      </c>
      <c r="G2325" s="5" t="s">
        <v>17</v>
      </c>
      <c r="H2325" s="5">
        <v>25</v>
      </c>
      <c r="I2325" s="7">
        <v>183.06</v>
      </c>
      <c r="J2325" s="6">
        <v>46016</v>
      </c>
      <c r="K2325">
        <f t="shared" si="36"/>
        <v>4576.5</v>
      </c>
      <c r="L2325" t="str">
        <f>INDEX(Raw_Shipments!L2325:L4753,MATCH(A2325,Raw_Shipments!B2325:B4753))</f>
        <v>No</v>
      </c>
    </row>
    <row r="2326" spans="1:12" x14ac:dyDescent="0.3">
      <c r="A2326" s="2" t="s">
        <v>2475</v>
      </c>
      <c r="B2326" s="3">
        <v>46007</v>
      </c>
      <c r="C2326" s="2" t="s">
        <v>13</v>
      </c>
      <c r="D2326" s="2" t="s">
        <v>25</v>
      </c>
      <c r="E2326" s="2" t="s">
        <v>20</v>
      </c>
      <c r="F2326" s="2" t="s">
        <v>21</v>
      </c>
      <c r="G2326" s="2" t="s">
        <v>22</v>
      </c>
      <c r="H2326" s="2">
        <v>22</v>
      </c>
      <c r="I2326" s="4">
        <v>2108.56</v>
      </c>
      <c r="J2326" s="3">
        <v>46015</v>
      </c>
      <c r="K2326">
        <f t="shared" si="36"/>
        <v>46388.32</v>
      </c>
      <c r="L2326" t="str">
        <f>INDEX(Raw_Shipments!L2326:L4754,MATCH(A2326,Raw_Shipments!B2326:B4754))</f>
        <v>No</v>
      </c>
    </row>
    <row r="2327" spans="1:12" x14ac:dyDescent="0.3">
      <c r="A2327" s="5" t="s">
        <v>2476</v>
      </c>
      <c r="B2327" s="6">
        <v>46007</v>
      </c>
      <c r="C2327" s="5" t="s">
        <v>166</v>
      </c>
      <c r="D2327" s="5" t="s">
        <v>14</v>
      </c>
      <c r="E2327" s="5" t="s">
        <v>119</v>
      </c>
      <c r="F2327" s="5" t="s">
        <v>120</v>
      </c>
      <c r="G2327" s="5" t="s">
        <v>22</v>
      </c>
      <c r="H2327" s="5">
        <v>48</v>
      </c>
      <c r="I2327" s="7">
        <v>912.26</v>
      </c>
      <c r="J2327" s="6">
        <v>46017</v>
      </c>
      <c r="K2327">
        <f t="shared" si="36"/>
        <v>43788.479999999996</v>
      </c>
      <c r="L2327" t="str">
        <f>INDEX(Raw_Shipments!L2327:L4755,MATCH(A2327,Raw_Shipments!B2327:B4755))</f>
        <v>No</v>
      </c>
    </row>
    <row r="2328" spans="1:12" x14ac:dyDescent="0.3">
      <c r="A2328" s="2" t="s">
        <v>2477</v>
      </c>
      <c r="B2328" s="3">
        <v>46007</v>
      </c>
      <c r="C2328" s="2" t="s">
        <v>232</v>
      </c>
      <c r="D2328" s="2" t="s">
        <v>14</v>
      </c>
      <c r="E2328" s="2" t="s">
        <v>26</v>
      </c>
      <c r="F2328" s="2" t="s">
        <v>27</v>
      </c>
      <c r="G2328" s="2" t="s">
        <v>22</v>
      </c>
      <c r="H2328" s="2">
        <v>28</v>
      </c>
      <c r="I2328" s="4">
        <v>1646.8</v>
      </c>
      <c r="J2328" s="3">
        <v>46012</v>
      </c>
      <c r="K2328">
        <f t="shared" si="36"/>
        <v>46110.400000000001</v>
      </c>
      <c r="L2328" t="str">
        <f>INDEX(Raw_Shipments!L2328:L4756,MATCH(A2328,Raw_Shipments!B2328:B4756))</f>
        <v>No</v>
      </c>
    </row>
    <row r="2329" spans="1:12" x14ac:dyDescent="0.3">
      <c r="A2329" s="5" t="s">
        <v>2478</v>
      </c>
      <c r="B2329" s="6">
        <v>46007</v>
      </c>
      <c r="C2329" s="5" t="s">
        <v>442</v>
      </c>
      <c r="D2329" s="5" t="s">
        <v>45</v>
      </c>
      <c r="E2329" s="5" t="s">
        <v>40</v>
      </c>
      <c r="F2329" s="5" t="s">
        <v>41</v>
      </c>
      <c r="G2329" s="5" t="s">
        <v>42</v>
      </c>
      <c r="H2329" s="5">
        <v>25</v>
      </c>
      <c r="I2329" s="7">
        <v>2445.11</v>
      </c>
      <c r="J2329" s="6">
        <v>46011</v>
      </c>
      <c r="K2329">
        <f t="shared" si="36"/>
        <v>61127.75</v>
      </c>
      <c r="L2329" t="str">
        <f>INDEX(Raw_Shipments!L2329:L4757,MATCH(A2329,Raw_Shipments!B2329:B4757))</f>
        <v>No</v>
      </c>
    </row>
    <row r="2330" spans="1:12" x14ac:dyDescent="0.3">
      <c r="A2330" s="2" t="s">
        <v>2479</v>
      </c>
      <c r="B2330" s="3">
        <v>46007</v>
      </c>
      <c r="C2330" s="2" t="s">
        <v>141</v>
      </c>
      <c r="D2330" s="2" t="s">
        <v>45</v>
      </c>
      <c r="E2330" s="2" t="s">
        <v>46</v>
      </c>
      <c r="F2330" s="2" t="s">
        <v>47</v>
      </c>
      <c r="G2330" s="2" t="s">
        <v>42</v>
      </c>
      <c r="H2330" s="2">
        <v>3</v>
      </c>
      <c r="I2330" s="4">
        <v>1833.14</v>
      </c>
      <c r="J2330" s="3">
        <v>46012</v>
      </c>
      <c r="K2330">
        <f t="shared" si="36"/>
        <v>5499.42</v>
      </c>
      <c r="L2330" t="str">
        <f>INDEX(Raw_Shipments!L2330:L4758,MATCH(A2330,Raw_Shipments!B2330:B4758))</f>
        <v>No</v>
      </c>
    </row>
    <row r="2331" spans="1:12" x14ac:dyDescent="0.3">
      <c r="A2331" s="5" t="s">
        <v>2480</v>
      </c>
      <c r="B2331" s="6">
        <v>46008</v>
      </c>
      <c r="C2331" s="5" t="s">
        <v>356</v>
      </c>
      <c r="D2331" s="5" t="s">
        <v>25</v>
      </c>
      <c r="E2331" s="5" t="s">
        <v>53</v>
      </c>
      <c r="F2331" s="5" t="s">
        <v>54</v>
      </c>
      <c r="G2331" s="5" t="s">
        <v>55</v>
      </c>
      <c r="H2331" s="5">
        <v>55</v>
      </c>
      <c r="I2331" s="7">
        <v>2055.9</v>
      </c>
      <c r="J2331" s="6">
        <v>46015</v>
      </c>
      <c r="K2331">
        <f t="shared" si="36"/>
        <v>113074.5</v>
      </c>
      <c r="L2331" t="str">
        <f>INDEX(Raw_Shipments!L2331:L4759,MATCH(A2331,Raw_Shipments!B2331:B4759))</f>
        <v>No</v>
      </c>
    </row>
    <row r="2332" spans="1:12" x14ac:dyDescent="0.3">
      <c r="A2332" s="2" t="s">
        <v>2481</v>
      </c>
      <c r="B2332" s="3">
        <v>46008</v>
      </c>
      <c r="C2332" s="2" t="s">
        <v>24</v>
      </c>
      <c r="D2332" s="2" t="s">
        <v>45</v>
      </c>
      <c r="E2332" s="2" t="s">
        <v>62</v>
      </c>
      <c r="F2332" s="2" t="s">
        <v>63</v>
      </c>
      <c r="G2332" s="2" t="s">
        <v>55</v>
      </c>
      <c r="H2332" s="2">
        <v>51</v>
      </c>
      <c r="I2332" s="4">
        <v>2555.2199999999998</v>
      </c>
      <c r="J2332" s="3">
        <v>46012</v>
      </c>
      <c r="K2332">
        <f t="shared" si="36"/>
        <v>130316.21999999999</v>
      </c>
      <c r="L2332" t="str">
        <f>INDEX(Raw_Shipments!L2332:L4760,MATCH(A2332,Raw_Shipments!B2332:B4760))</f>
        <v>No</v>
      </c>
    </row>
    <row r="2333" spans="1:12" x14ac:dyDescent="0.3">
      <c r="A2333" s="5" t="s">
        <v>2482</v>
      </c>
      <c r="B2333" s="6">
        <v>46008</v>
      </c>
      <c r="C2333" s="5" t="s">
        <v>166</v>
      </c>
      <c r="D2333" s="5" t="s">
        <v>30</v>
      </c>
      <c r="E2333" s="5" t="s">
        <v>20</v>
      </c>
      <c r="F2333" s="5" t="s">
        <v>21</v>
      </c>
      <c r="G2333" s="5" t="s">
        <v>22</v>
      </c>
      <c r="H2333" s="5">
        <v>21</v>
      </c>
      <c r="I2333" s="7">
        <v>2108.56</v>
      </c>
      <c r="J2333" s="6">
        <v>46013</v>
      </c>
      <c r="K2333">
        <f t="shared" si="36"/>
        <v>44279.76</v>
      </c>
      <c r="L2333" t="str">
        <f>INDEX(Raw_Shipments!L2333:L4761,MATCH(A2333,Raw_Shipments!B2333:B4761))</f>
        <v>No</v>
      </c>
    </row>
    <row r="2334" spans="1:12" x14ac:dyDescent="0.3">
      <c r="A2334" s="2" t="s">
        <v>2483</v>
      </c>
      <c r="B2334" s="3">
        <v>46008</v>
      </c>
      <c r="C2334" s="2" t="s">
        <v>85</v>
      </c>
      <c r="D2334" s="2" t="s">
        <v>25</v>
      </c>
      <c r="E2334" s="2" t="s">
        <v>119</v>
      </c>
      <c r="F2334" s="2" t="s">
        <v>120</v>
      </c>
      <c r="G2334" s="2" t="s">
        <v>22</v>
      </c>
      <c r="H2334" s="2">
        <v>30</v>
      </c>
      <c r="I2334" s="4">
        <v>912.26</v>
      </c>
      <c r="J2334" s="3">
        <v>46012</v>
      </c>
      <c r="K2334">
        <f t="shared" si="36"/>
        <v>27367.8</v>
      </c>
      <c r="L2334" t="str">
        <f>INDEX(Raw_Shipments!L2334:L4762,MATCH(A2334,Raw_Shipments!B2334:B4762))</f>
        <v>No</v>
      </c>
    </row>
    <row r="2335" spans="1:12" x14ac:dyDescent="0.3">
      <c r="A2335" s="5" t="s">
        <v>2484</v>
      </c>
      <c r="B2335" s="6">
        <v>46008</v>
      </c>
      <c r="C2335" s="5" t="s">
        <v>312</v>
      </c>
      <c r="D2335" s="5" t="s">
        <v>25</v>
      </c>
      <c r="E2335" s="5" t="s">
        <v>26</v>
      </c>
      <c r="F2335" s="5" t="s">
        <v>27</v>
      </c>
      <c r="G2335" s="5" t="s">
        <v>22</v>
      </c>
      <c r="H2335" s="5">
        <v>18</v>
      </c>
      <c r="I2335" s="7">
        <v>1646.8</v>
      </c>
      <c r="J2335" s="6">
        <v>46018</v>
      </c>
      <c r="K2335">
        <f t="shared" si="36"/>
        <v>29642.399999999998</v>
      </c>
      <c r="L2335" t="str">
        <f>INDEX(Raw_Shipments!L2335:L4763,MATCH(A2335,Raw_Shipments!B2335:B4763))</f>
        <v>No</v>
      </c>
    </row>
    <row r="2336" spans="1:12" x14ac:dyDescent="0.3">
      <c r="A2336" s="2" t="s">
        <v>2485</v>
      </c>
      <c r="B2336" s="3">
        <v>46008</v>
      </c>
      <c r="C2336" s="2" t="s">
        <v>312</v>
      </c>
      <c r="D2336" s="2" t="s">
        <v>14</v>
      </c>
      <c r="E2336" s="2" t="s">
        <v>31</v>
      </c>
      <c r="F2336" s="2" t="s">
        <v>32</v>
      </c>
      <c r="G2336" s="2" t="s">
        <v>33</v>
      </c>
      <c r="H2336" s="2">
        <v>51</v>
      </c>
      <c r="I2336" s="4">
        <v>689</v>
      </c>
      <c r="J2336" s="3">
        <v>46018</v>
      </c>
      <c r="K2336">
        <f t="shared" si="36"/>
        <v>35139</v>
      </c>
      <c r="L2336" t="str">
        <f>INDEX(Raw_Shipments!L2336:L4764,MATCH(A2336,Raw_Shipments!B2336:B4764))</f>
        <v>Yes</v>
      </c>
    </row>
    <row r="2337" spans="1:12" x14ac:dyDescent="0.3">
      <c r="A2337" s="5" t="s">
        <v>2486</v>
      </c>
      <c r="B2337" s="6">
        <v>46008</v>
      </c>
      <c r="C2337" s="5" t="s">
        <v>109</v>
      </c>
      <c r="D2337" s="5" t="s">
        <v>14</v>
      </c>
      <c r="E2337" s="5" t="s">
        <v>86</v>
      </c>
      <c r="F2337" s="5" t="s">
        <v>87</v>
      </c>
      <c r="G2337" s="5" t="s">
        <v>33</v>
      </c>
      <c r="H2337" s="5">
        <v>19</v>
      </c>
      <c r="I2337" s="7">
        <v>815.88</v>
      </c>
      <c r="J2337" s="6">
        <v>46016</v>
      </c>
      <c r="K2337">
        <f t="shared" si="36"/>
        <v>15501.72</v>
      </c>
      <c r="L2337" t="str">
        <f>INDEX(Raw_Shipments!L2337:L4765,MATCH(A2337,Raw_Shipments!B2337:B4765))</f>
        <v>Yes</v>
      </c>
    </row>
    <row r="2338" spans="1:12" x14ac:dyDescent="0.3">
      <c r="A2338" s="2" t="s">
        <v>2487</v>
      </c>
      <c r="B2338" s="3">
        <v>46008</v>
      </c>
      <c r="C2338" s="2" t="s">
        <v>260</v>
      </c>
      <c r="D2338" s="2" t="s">
        <v>14</v>
      </c>
      <c r="E2338" s="2" t="s">
        <v>50</v>
      </c>
      <c r="F2338" s="2" t="s">
        <v>51</v>
      </c>
      <c r="G2338" s="2" t="s">
        <v>42</v>
      </c>
      <c r="H2338" s="2">
        <v>8</v>
      </c>
      <c r="I2338" s="4">
        <v>1952.28</v>
      </c>
      <c r="J2338" s="3">
        <v>46017</v>
      </c>
      <c r="K2338">
        <f t="shared" si="36"/>
        <v>15618.24</v>
      </c>
      <c r="L2338" t="str">
        <f>INDEX(Raw_Shipments!L2338:L4766,MATCH(A2338,Raw_Shipments!B2338:B4766))</f>
        <v>No</v>
      </c>
    </row>
    <row r="2339" spans="1:12" x14ac:dyDescent="0.3">
      <c r="A2339" s="5" t="s">
        <v>2488</v>
      </c>
      <c r="B2339" s="6">
        <v>46009</v>
      </c>
      <c r="C2339" s="5" t="s">
        <v>438</v>
      </c>
      <c r="D2339" s="5" t="s">
        <v>14</v>
      </c>
      <c r="E2339" s="5" t="s">
        <v>66</v>
      </c>
      <c r="F2339" s="5" t="s">
        <v>67</v>
      </c>
      <c r="G2339" s="5" t="s">
        <v>17</v>
      </c>
      <c r="H2339" s="5">
        <v>17</v>
      </c>
      <c r="I2339" s="7">
        <v>850.8</v>
      </c>
      <c r="J2339" s="6">
        <v>46019</v>
      </c>
      <c r="K2339">
        <f t="shared" si="36"/>
        <v>14463.599999999999</v>
      </c>
      <c r="L2339" t="str">
        <f>INDEX(Raw_Shipments!L2339:L4767,MATCH(A2339,Raw_Shipments!B2339:B4767))</f>
        <v>Yes</v>
      </c>
    </row>
    <row r="2340" spans="1:12" x14ac:dyDescent="0.3">
      <c r="A2340" s="2" t="s">
        <v>2489</v>
      </c>
      <c r="B2340" s="3">
        <v>46009</v>
      </c>
      <c r="C2340" s="2" t="s">
        <v>49</v>
      </c>
      <c r="D2340" s="2" t="s">
        <v>30</v>
      </c>
      <c r="E2340" s="2" t="s">
        <v>97</v>
      </c>
      <c r="F2340" s="2" t="s">
        <v>98</v>
      </c>
      <c r="G2340" s="2" t="s">
        <v>17</v>
      </c>
      <c r="H2340" s="2">
        <v>56</v>
      </c>
      <c r="I2340" s="4">
        <v>1110.6500000000001</v>
      </c>
      <c r="J2340" s="3">
        <v>46014</v>
      </c>
      <c r="K2340">
        <f t="shared" si="36"/>
        <v>62196.400000000009</v>
      </c>
      <c r="L2340" t="str">
        <f>INDEX(Raw_Shipments!L2340:L4768,MATCH(A2340,Raw_Shipments!B2340:B4768))</f>
        <v>No</v>
      </c>
    </row>
    <row r="2341" spans="1:12" x14ac:dyDescent="0.3">
      <c r="A2341" s="5" t="s">
        <v>2490</v>
      </c>
      <c r="B2341" s="6">
        <v>46009</v>
      </c>
      <c r="C2341" s="5" t="s">
        <v>69</v>
      </c>
      <c r="D2341" s="5" t="s">
        <v>25</v>
      </c>
      <c r="E2341" s="5" t="s">
        <v>15</v>
      </c>
      <c r="F2341" s="5" t="s">
        <v>16</v>
      </c>
      <c r="G2341" s="5" t="s">
        <v>17</v>
      </c>
      <c r="H2341" s="5">
        <v>21</v>
      </c>
      <c r="I2341" s="7">
        <v>183.06</v>
      </c>
      <c r="J2341" s="6">
        <v>46013</v>
      </c>
      <c r="K2341">
        <f t="shared" si="36"/>
        <v>3844.26</v>
      </c>
      <c r="L2341" t="str">
        <f>INDEX(Raw_Shipments!L2341:L4769,MATCH(A2341,Raw_Shipments!B2341:B4769))</f>
        <v>No</v>
      </c>
    </row>
    <row r="2342" spans="1:12" x14ac:dyDescent="0.3">
      <c r="A2342" s="2" t="s">
        <v>2491</v>
      </c>
      <c r="B2342" s="3">
        <v>46009</v>
      </c>
      <c r="C2342" s="2" t="s">
        <v>172</v>
      </c>
      <c r="D2342" s="2" t="s">
        <v>14</v>
      </c>
      <c r="E2342" s="2" t="s">
        <v>31</v>
      </c>
      <c r="F2342" s="2" t="s">
        <v>32</v>
      </c>
      <c r="G2342" s="2" t="s">
        <v>33</v>
      </c>
      <c r="H2342" s="2">
        <v>64</v>
      </c>
      <c r="I2342" s="4">
        <v>689</v>
      </c>
      <c r="J2342" s="3">
        <v>46016</v>
      </c>
      <c r="K2342">
        <f t="shared" si="36"/>
        <v>44096</v>
      </c>
      <c r="L2342" t="str">
        <f>INDEX(Raw_Shipments!L2342:L4770,MATCH(A2342,Raw_Shipments!B2342:B4770))</f>
        <v>No</v>
      </c>
    </row>
    <row r="2343" spans="1:12" x14ac:dyDescent="0.3">
      <c r="A2343" s="5" t="s">
        <v>2492</v>
      </c>
      <c r="B2343" s="6">
        <v>46009</v>
      </c>
      <c r="C2343" s="5" t="s">
        <v>213</v>
      </c>
      <c r="D2343" s="5" t="s">
        <v>25</v>
      </c>
      <c r="E2343" s="5" t="s">
        <v>40</v>
      </c>
      <c r="F2343" s="5" t="s">
        <v>41</v>
      </c>
      <c r="G2343" s="5" t="s">
        <v>42</v>
      </c>
      <c r="H2343" s="5">
        <v>43</v>
      </c>
      <c r="I2343" s="7">
        <v>2445.11</v>
      </c>
      <c r="J2343" s="6">
        <v>46018</v>
      </c>
      <c r="K2343">
        <f t="shared" si="36"/>
        <v>105139.73000000001</v>
      </c>
      <c r="L2343" t="str">
        <f>INDEX(Raw_Shipments!L2343:L4771,MATCH(A2343,Raw_Shipments!B2343:B4771))</f>
        <v>No</v>
      </c>
    </row>
    <row r="2344" spans="1:12" x14ac:dyDescent="0.3">
      <c r="A2344" s="2" t="s">
        <v>2493</v>
      </c>
      <c r="B2344" s="3">
        <v>46009</v>
      </c>
      <c r="C2344" s="2" t="s">
        <v>227</v>
      </c>
      <c r="D2344" s="2" t="s">
        <v>14</v>
      </c>
      <c r="E2344" s="2" t="s">
        <v>46</v>
      </c>
      <c r="F2344" s="2" t="s">
        <v>47</v>
      </c>
      <c r="G2344" s="2" t="s">
        <v>42</v>
      </c>
      <c r="H2344" s="2">
        <v>13</v>
      </c>
      <c r="I2344" s="4">
        <v>1833.14</v>
      </c>
      <c r="J2344" s="3">
        <v>46016</v>
      </c>
      <c r="K2344">
        <f t="shared" si="36"/>
        <v>23830.82</v>
      </c>
      <c r="L2344" t="str">
        <f>INDEX(Raw_Shipments!L2344:L4772,MATCH(A2344,Raw_Shipments!B2344:B4772))</f>
        <v>No</v>
      </c>
    </row>
    <row r="2345" spans="1:12" x14ac:dyDescent="0.3">
      <c r="A2345" s="5" t="s">
        <v>2494</v>
      </c>
      <c r="B2345" s="6">
        <v>46010</v>
      </c>
      <c r="C2345" s="5" t="s">
        <v>89</v>
      </c>
      <c r="D2345" s="5" t="s">
        <v>30</v>
      </c>
      <c r="E2345" s="5" t="s">
        <v>97</v>
      </c>
      <c r="F2345" s="5" t="s">
        <v>98</v>
      </c>
      <c r="G2345" s="5" t="s">
        <v>17</v>
      </c>
      <c r="H2345" s="5">
        <v>38</v>
      </c>
      <c r="I2345" s="7">
        <v>1110.6500000000001</v>
      </c>
      <c r="J2345" s="6">
        <v>46018</v>
      </c>
      <c r="K2345">
        <f t="shared" si="36"/>
        <v>42204.700000000004</v>
      </c>
      <c r="L2345" t="str">
        <f>INDEX(Raw_Shipments!L2345:L4773,MATCH(A2345,Raw_Shipments!B2345:B4773))</f>
        <v>No</v>
      </c>
    </row>
    <row r="2346" spans="1:12" x14ac:dyDescent="0.3">
      <c r="A2346" s="2" t="s">
        <v>2495</v>
      </c>
      <c r="B2346" s="3">
        <v>46010</v>
      </c>
      <c r="C2346" s="2" t="s">
        <v>260</v>
      </c>
      <c r="D2346" s="2" t="s">
        <v>45</v>
      </c>
      <c r="E2346" s="2" t="s">
        <v>31</v>
      </c>
      <c r="F2346" s="2" t="s">
        <v>32</v>
      </c>
      <c r="G2346" s="2" t="s">
        <v>33</v>
      </c>
      <c r="H2346" s="2">
        <v>54</v>
      </c>
      <c r="I2346" s="4">
        <v>689</v>
      </c>
      <c r="J2346" s="3">
        <v>46017</v>
      </c>
      <c r="K2346">
        <f t="shared" si="36"/>
        <v>37206</v>
      </c>
      <c r="L2346" t="str">
        <f>INDEX(Raw_Shipments!L2346:L4774,MATCH(A2346,Raw_Shipments!B2346:B4774))</f>
        <v>Yes</v>
      </c>
    </row>
    <row r="2347" spans="1:12" x14ac:dyDescent="0.3">
      <c r="A2347" s="5" t="s">
        <v>2496</v>
      </c>
      <c r="B2347" s="6">
        <v>46010</v>
      </c>
      <c r="C2347" s="5" t="s">
        <v>262</v>
      </c>
      <c r="D2347" s="5" t="s">
        <v>30</v>
      </c>
      <c r="E2347" s="5" t="s">
        <v>40</v>
      </c>
      <c r="F2347" s="5" t="s">
        <v>41</v>
      </c>
      <c r="G2347" s="5" t="s">
        <v>42</v>
      </c>
      <c r="H2347" s="5">
        <v>27</v>
      </c>
      <c r="I2347" s="7">
        <v>2445.11</v>
      </c>
      <c r="J2347" s="6">
        <v>46015</v>
      </c>
      <c r="K2347">
        <f t="shared" si="36"/>
        <v>66017.97</v>
      </c>
      <c r="L2347" t="str">
        <f>INDEX(Raw_Shipments!L2347:L4775,MATCH(A2347,Raw_Shipments!B2347:B4775))</f>
        <v>No</v>
      </c>
    </row>
    <row r="2348" spans="1:12" x14ac:dyDescent="0.3">
      <c r="A2348" s="2" t="s">
        <v>2497</v>
      </c>
      <c r="B2348" s="3">
        <v>46011</v>
      </c>
      <c r="C2348" s="2" t="s">
        <v>85</v>
      </c>
      <c r="D2348" s="2" t="s">
        <v>25</v>
      </c>
      <c r="E2348" s="2" t="s">
        <v>58</v>
      </c>
      <c r="F2348" s="2" t="s">
        <v>59</v>
      </c>
      <c r="G2348" s="2" t="s">
        <v>55</v>
      </c>
      <c r="H2348" s="2">
        <v>23</v>
      </c>
      <c r="I2348" s="4">
        <v>1695.1</v>
      </c>
      <c r="J2348" s="3">
        <v>46019</v>
      </c>
      <c r="K2348">
        <f t="shared" si="36"/>
        <v>38987.299999999996</v>
      </c>
      <c r="L2348" t="str">
        <f>INDEX(Raw_Shipments!L2348:L4776,MATCH(A2348,Raw_Shipments!B2348:B4776))</f>
        <v>Yes</v>
      </c>
    </row>
    <row r="2349" spans="1:12" x14ac:dyDescent="0.3">
      <c r="A2349" s="5" t="s">
        <v>2498</v>
      </c>
      <c r="B2349" s="6">
        <v>46011</v>
      </c>
      <c r="C2349" s="5" t="s">
        <v>65</v>
      </c>
      <c r="D2349" s="5" t="s">
        <v>14</v>
      </c>
      <c r="E2349" s="5" t="s">
        <v>62</v>
      </c>
      <c r="F2349" s="5" t="s">
        <v>63</v>
      </c>
      <c r="G2349" s="5" t="s">
        <v>55</v>
      </c>
      <c r="H2349" s="5">
        <v>22</v>
      </c>
      <c r="I2349" s="7">
        <v>2555.2199999999998</v>
      </c>
      <c r="J2349" s="6">
        <v>46015</v>
      </c>
      <c r="K2349">
        <f t="shared" si="36"/>
        <v>56214.84</v>
      </c>
      <c r="L2349" t="str">
        <f>INDEX(Raw_Shipments!L2349:L4777,MATCH(A2349,Raw_Shipments!B2349:B4777))</f>
        <v>No</v>
      </c>
    </row>
    <row r="2350" spans="1:12" x14ac:dyDescent="0.3">
      <c r="A2350" s="2" t="s">
        <v>2499</v>
      </c>
      <c r="B2350" s="3">
        <v>46011</v>
      </c>
      <c r="C2350" s="2" t="s">
        <v>304</v>
      </c>
      <c r="D2350" s="2" t="s">
        <v>30</v>
      </c>
      <c r="E2350" s="2" t="s">
        <v>66</v>
      </c>
      <c r="F2350" s="2" t="s">
        <v>67</v>
      </c>
      <c r="G2350" s="2" t="s">
        <v>17</v>
      </c>
      <c r="H2350" s="2">
        <v>13</v>
      </c>
      <c r="I2350" s="4">
        <v>850.8</v>
      </c>
      <c r="J2350" s="3">
        <v>46018</v>
      </c>
      <c r="K2350">
        <f t="shared" si="36"/>
        <v>11060.4</v>
      </c>
      <c r="L2350" t="str">
        <f>INDEX(Raw_Shipments!L2350:L4778,MATCH(A2350,Raw_Shipments!B2350:B4778))</f>
        <v>No</v>
      </c>
    </row>
    <row r="2351" spans="1:12" x14ac:dyDescent="0.3">
      <c r="A2351" s="5" t="s">
        <v>2500</v>
      </c>
      <c r="B2351" s="6">
        <v>46011</v>
      </c>
      <c r="C2351" s="5" t="s">
        <v>79</v>
      </c>
      <c r="D2351" s="5" t="s">
        <v>25</v>
      </c>
      <c r="E2351" s="5" t="s">
        <v>26</v>
      </c>
      <c r="F2351" s="5" t="s">
        <v>27</v>
      </c>
      <c r="G2351" s="5" t="s">
        <v>22</v>
      </c>
      <c r="H2351" s="5">
        <v>35</v>
      </c>
      <c r="I2351" s="7">
        <v>1646.8</v>
      </c>
      <c r="J2351" s="6">
        <v>46014</v>
      </c>
      <c r="K2351">
        <f t="shared" si="36"/>
        <v>57638</v>
      </c>
      <c r="L2351" t="str">
        <f>INDEX(Raw_Shipments!L2351:L4779,MATCH(A2351,Raw_Shipments!B2351:B4779))</f>
        <v>No</v>
      </c>
    </row>
    <row r="2352" spans="1:12" x14ac:dyDescent="0.3">
      <c r="A2352" s="2" t="s">
        <v>2501</v>
      </c>
      <c r="B2352" s="3">
        <v>46011</v>
      </c>
      <c r="C2352" s="2" t="s">
        <v>220</v>
      </c>
      <c r="D2352" s="2" t="s">
        <v>30</v>
      </c>
      <c r="E2352" s="2" t="s">
        <v>86</v>
      </c>
      <c r="F2352" s="2" t="s">
        <v>87</v>
      </c>
      <c r="G2352" s="2" t="s">
        <v>33</v>
      </c>
      <c r="H2352" s="2">
        <v>27</v>
      </c>
      <c r="I2352" s="4">
        <v>815.88</v>
      </c>
      <c r="J2352" s="3">
        <v>46015</v>
      </c>
      <c r="K2352">
        <f t="shared" si="36"/>
        <v>22028.76</v>
      </c>
      <c r="L2352" t="str">
        <f>INDEX(Raw_Shipments!L2352:L4780,MATCH(A2352,Raw_Shipments!B2352:B4780))</f>
        <v>No</v>
      </c>
    </row>
    <row r="2353" spans="1:12" x14ac:dyDescent="0.3">
      <c r="A2353" s="5" t="s">
        <v>2502</v>
      </c>
      <c r="B2353" s="6">
        <v>46012</v>
      </c>
      <c r="C2353" s="5" t="s">
        <v>282</v>
      </c>
      <c r="D2353" s="5" t="s">
        <v>14</v>
      </c>
      <c r="E2353" s="5" t="s">
        <v>53</v>
      </c>
      <c r="F2353" s="5" t="s">
        <v>54</v>
      </c>
      <c r="G2353" s="5" t="s">
        <v>55</v>
      </c>
      <c r="H2353" s="5">
        <v>54</v>
      </c>
      <c r="I2353" s="7">
        <v>2055.9</v>
      </c>
      <c r="J2353" s="6">
        <v>46020</v>
      </c>
      <c r="K2353">
        <f t="shared" si="36"/>
        <v>111018.6</v>
      </c>
      <c r="L2353" t="str">
        <f>INDEX(Raw_Shipments!L2353:L4781,MATCH(A2353,Raw_Shipments!B2353:B4781))</f>
        <v>No</v>
      </c>
    </row>
    <row r="2354" spans="1:12" x14ac:dyDescent="0.3">
      <c r="A2354" s="2" t="s">
        <v>2503</v>
      </c>
      <c r="B2354" s="3">
        <v>46012</v>
      </c>
      <c r="C2354" s="2" t="s">
        <v>113</v>
      </c>
      <c r="D2354" s="2" t="s">
        <v>25</v>
      </c>
      <c r="E2354" s="2" t="s">
        <v>58</v>
      </c>
      <c r="F2354" s="2" t="s">
        <v>59</v>
      </c>
      <c r="G2354" s="2" t="s">
        <v>55</v>
      </c>
      <c r="H2354" s="2">
        <v>18</v>
      </c>
      <c r="I2354" s="4">
        <v>1695.1</v>
      </c>
      <c r="J2354" s="3">
        <v>46015</v>
      </c>
      <c r="K2354">
        <f t="shared" si="36"/>
        <v>30511.8</v>
      </c>
      <c r="L2354" t="str">
        <f>INDEX(Raw_Shipments!L2354:L4782,MATCH(A2354,Raw_Shipments!B2354:B4782))</f>
        <v>No</v>
      </c>
    </row>
    <row r="2355" spans="1:12" x14ac:dyDescent="0.3">
      <c r="A2355" s="5" t="s">
        <v>2504</v>
      </c>
      <c r="B2355" s="6">
        <v>46012</v>
      </c>
      <c r="C2355" s="5" t="s">
        <v>304</v>
      </c>
      <c r="D2355" s="5" t="s">
        <v>14</v>
      </c>
      <c r="E2355" s="5" t="s">
        <v>62</v>
      </c>
      <c r="F2355" s="5" t="s">
        <v>63</v>
      </c>
      <c r="G2355" s="5" t="s">
        <v>55</v>
      </c>
      <c r="H2355" s="5">
        <v>65</v>
      </c>
      <c r="I2355" s="7">
        <v>2555.2199999999998</v>
      </c>
      <c r="J2355" s="6">
        <v>46015</v>
      </c>
      <c r="K2355">
        <f t="shared" si="36"/>
        <v>166089.29999999999</v>
      </c>
      <c r="L2355" t="str">
        <f>INDEX(Raw_Shipments!L2355:L4783,MATCH(A2355,Raw_Shipments!B2355:B4783))</f>
        <v>No</v>
      </c>
    </row>
    <row r="2356" spans="1:12" x14ac:dyDescent="0.3">
      <c r="A2356" s="2" t="s">
        <v>2505</v>
      </c>
      <c r="B2356" s="3">
        <v>46012</v>
      </c>
      <c r="C2356" s="2" t="s">
        <v>125</v>
      </c>
      <c r="D2356" s="2" t="s">
        <v>30</v>
      </c>
      <c r="E2356" s="2" t="s">
        <v>66</v>
      </c>
      <c r="F2356" s="2" t="s">
        <v>67</v>
      </c>
      <c r="G2356" s="2" t="s">
        <v>17</v>
      </c>
      <c r="H2356" s="2">
        <v>23</v>
      </c>
      <c r="I2356" s="4">
        <v>850.8</v>
      </c>
      <c r="J2356" s="3">
        <v>46021</v>
      </c>
      <c r="K2356">
        <f t="shared" si="36"/>
        <v>19568.399999999998</v>
      </c>
      <c r="L2356" t="str">
        <f>INDEX(Raw_Shipments!L2356:L4784,MATCH(A2356,Raw_Shipments!B2356:B4784))</f>
        <v>Yes</v>
      </c>
    </row>
    <row r="2357" spans="1:12" x14ac:dyDescent="0.3">
      <c r="A2357" s="5" t="s">
        <v>2506</v>
      </c>
      <c r="B2357" s="6">
        <v>46012</v>
      </c>
      <c r="C2357" s="5" t="s">
        <v>29</v>
      </c>
      <c r="D2357" s="5" t="s">
        <v>30</v>
      </c>
      <c r="E2357" s="5" t="s">
        <v>97</v>
      </c>
      <c r="F2357" s="5" t="s">
        <v>98</v>
      </c>
      <c r="G2357" s="5" t="s">
        <v>17</v>
      </c>
      <c r="H2357" s="5">
        <v>30</v>
      </c>
      <c r="I2357" s="7">
        <v>1110.6500000000001</v>
      </c>
      <c r="J2357" s="6">
        <v>46016</v>
      </c>
      <c r="K2357">
        <f t="shared" si="36"/>
        <v>33319.5</v>
      </c>
      <c r="L2357" t="str">
        <f>INDEX(Raw_Shipments!L2357:L4785,MATCH(A2357,Raw_Shipments!B2357:B4785))</f>
        <v>No</v>
      </c>
    </row>
    <row r="2358" spans="1:12" x14ac:dyDescent="0.3">
      <c r="A2358" s="2" t="s">
        <v>2507</v>
      </c>
      <c r="B2358" s="3">
        <v>46012</v>
      </c>
      <c r="C2358" s="2" t="s">
        <v>343</v>
      </c>
      <c r="D2358" s="2" t="s">
        <v>45</v>
      </c>
      <c r="E2358" s="2" t="s">
        <v>15</v>
      </c>
      <c r="F2358" s="2" t="s">
        <v>16</v>
      </c>
      <c r="G2358" s="2" t="s">
        <v>17</v>
      </c>
      <c r="H2358" s="2">
        <v>24</v>
      </c>
      <c r="I2358" s="4">
        <v>183.06</v>
      </c>
      <c r="J2358" s="3">
        <v>46019</v>
      </c>
      <c r="K2358">
        <f t="shared" si="36"/>
        <v>4393.4400000000005</v>
      </c>
      <c r="L2358" t="str">
        <f>INDEX(Raw_Shipments!L2358:L4786,MATCH(A2358,Raw_Shipments!B2358:B4786))</f>
        <v>Yes</v>
      </c>
    </row>
    <row r="2359" spans="1:12" x14ac:dyDescent="0.3">
      <c r="A2359" s="5" t="s">
        <v>2508</v>
      </c>
      <c r="B2359" s="6">
        <v>46012</v>
      </c>
      <c r="C2359" s="5" t="s">
        <v>107</v>
      </c>
      <c r="D2359" s="5" t="s">
        <v>14</v>
      </c>
      <c r="E2359" s="5" t="s">
        <v>46</v>
      </c>
      <c r="F2359" s="5" t="s">
        <v>47</v>
      </c>
      <c r="G2359" s="5" t="s">
        <v>42</v>
      </c>
      <c r="H2359" s="5">
        <v>4</v>
      </c>
      <c r="I2359" s="7">
        <v>1833.14</v>
      </c>
      <c r="J2359" s="6">
        <v>46020</v>
      </c>
      <c r="K2359">
        <f t="shared" si="36"/>
        <v>7332.56</v>
      </c>
      <c r="L2359" t="str">
        <f>INDEX(Raw_Shipments!L2359:L4787,MATCH(A2359,Raw_Shipments!B2359:B4787))</f>
        <v>No</v>
      </c>
    </row>
    <row r="2360" spans="1:12" x14ac:dyDescent="0.3">
      <c r="A2360" s="2" t="s">
        <v>2509</v>
      </c>
      <c r="B2360" s="3">
        <v>46012</v>
      </c>
      <c r="C2360" s="2" t="s">
        <v>65</v>
      </c>
      <c r="D2360" s="2" t="s">
        <v>45</v>
      </c>
      <c r="E2360" s="2" t="s">
        <v>50</v>
      </c>
      <c r="F2360" s="2" t="s">
        <v>51</v>
      </c>
      <c r="G2360" s="2" t="s">
        <v>42</v>
      </c>
      <c r="H2360" s="2">
        <v>8</v>
      </c>
      <c r="I2360" s="4">
        <v>1952.28</v>
      </c>
      <c r="J2360" s="3">
        <v>46018</v>
      </c>
      <c r="K2360">
        <f t="shared" si="36"/>
        <v>15618.24</v>
      </c>
      <c r="L2360" t="str">
        <f>INDEX(Raw_Shipments!L2360:L4788,MATCH(A2360,Raw_Shipments!B2360:B4788))</f>
        <v>No</v>
      </c>
    </row>
    <row r="2361" spans="1:12" x14ac:dyDescent="0.3">
      <c r="A2361" s="5" t="s">
        <v>2510</v>
      </c>
      <c r="B2361" s="6">
        <v>46013</v>
      </c>
      <c r="C2361" s="5" t="s">
        <v>240</v>
      </c>
      <c r="D2361" s="5" t="s">
        <v>25</v>
      </c>
      <c r="E2361" s="5" t="s">
        <v>53</v>
      </c>
      <c r="F2361" s="5" t="s">
        <v>54</v>
      </c>
      <c r="G2361" s="5" t="s">
        <v>55</v>
      </c>
      <c r="H2361" s="5">
        <v>47</v>
      </c>
      <c r="I2361" s="7">
        <v>2055.9</v>
      </c>
      <c r="J2361" s="6">
        <v>46020</v>
      </c>
      <c r="K2361">
        <f t="shared" si="36"/>
        <v>96627.3</v>
      </c>
      <c r="L2361" t="str">
        <f>INDEX(Raw_Shipments!L2361:L4789,MATCH(A2361,Raw_Shipments!B2361:B4789))</f>
        <v>No</v>
      </c>
    </row>
    <row r="2362" spans="1:12" x14ac:dyDescent="0.3">
      <c r="A2362" s="2" t="s">
        <v>2511</v>
      </c>
      <c r="B2362" s="3">
        <v>46013</v>
      </c>
      <c r="C2362" s="2" t="s">
        <v>356</v>
      </c>
      <c r="D2362" s="2" t="s">
        <v>45</v>
      </c>
      <c r="E2362" s="2" t="s">
        <v>62</v>
      </c>
      <c r="F2362" s="2" t="s">
        <v>63</v>
      </c>
      <c r="G2362" s="2" t="s">
        <v>55</v>
      </c>
      <c r="H2362" s="2">
        <v>53</v>
      </c>
      <c r="I2362" s="4">
        <v>2555.2199999999998</v>
      </c>
      <c r="J2362" s="3">
        <v>46018</v>
      </c>
      <c r="K2362">
        <f t="shared" si="36"/>
        <v>135426.66</v>
      </c>
      <c r="L2362" t="str">
        <f>INDEX(Raw_Shipments!L2362:L4790,MATCH(A2362,Raw_Shipments!B2362:B4790))</f>
        <v>No</v>
      </c>
    </row>
    <row r="2363" spans="1:12" x14ac:dyDescent="0.3">
      <c r="A2363" s="5" t="s">
        <v>2512</v>
      </c>
      <c r="B2363" s="6">
        <v>46013</v>
      </c>
      <c r="C2363" s="5" t="s">
        <v>81</v>
      </c>
      <c r="D2363" s="5" t="s">
        <v>14</v>
      </c>
      <c r="E2363" s="5" t="s">
        <v>97</v>
      </c>
      <c r="F2363" s="5" t="s">
        <v>98</v>
      </c>
      <c r="G2363" s="5" t="s">
        <v>17</v>
      </c>
      <c r="H2363" s="5">
        <v>29</v>
      </c>
      <c r="I2363" s="7">
        <v>1110.6500000000001</v>
      </c>
      <c r="J2363" s="6">
        <v>46017</v>
      </c>
      <c r="K2363">
        <f t="shared" si="36"/>
        <v>32208.850000000002</v>
      </c>
      <c r="L2363" t="str">
        <f>INDEX(Raw_Shipments!L2363:L4791,MATCH(A2363,Raw_Shipments!B2363:B4791))</f>
        <v>No</v>
      </c>
    </row>
    <row r="2364" spans="1:12" x14ac:dyDescent="0.3">
      <c r="A2364" s="2" t="s">
        <v>2513</v>
      </c>
      <c r="B2364" s="3">
        <v>46013</v>
      </c>
      <c r="C2364" s="2" t="s">
        <v>107</v>
      </c>
      <c r="D2364" s="2" t="s">
        <v>45</v>
      </c>
      <c r="E2364" s="2" t="s">
        <v>119</v>
      </c>
      <c r="F2364" s="2" t="s">
        <v>120</v>
      </c>
      <c r="G2364" s="2" t="s">
        <v>22</v>
      </c>
      <c r="H2364" s="2">
        <v>52</v>
      </c>
      <c r="I2364" s="4">
        <v>912.26</v>
      </c>
      <c r="J2364" s="3">
        <v>46020</v>
      </c>
      <c r="K2364">
        <f t="shared" si="36"/>
        <v>47437.52</v>
      </c>
      <c r="L2364" t="str">
        <f>INDEX(Raw_Shipments!L2364:L4792,MATCH(A2364,Raw_Shipments!B2364:B4792))</f>
        <v>No</v>
      </c>
    </row>
    <row r="2365" spans="1:12" x14ac:dyDescent="0.3">
      <c r="A2365" s="5" t="s">
        <v>2514</v>
      </c>
      <c r="B2365" s="6">
        <v>46013</v>
      </c>
      <c r="C2365" s="5" t="s">
        <v>418</v>
      </c>
      <c r="D2365" s="5" t="s">
        <v>45</v>
      </c>
      <c r="E2365" s="5" t="s">
        <v>31</v>
      </c>
      <c r="F2365" s="5" t="s">
        <v>32</v>
      </c>
      <c r="G2365" s="5" t="s">
        <v>33</v>
      </c>
      <c r="H2365" s="5">
        <v>76</v>
      </c>
      <c r="I2365" s="7">
        <v>689</v>
      </c>
      <c r="J2365" s="6">
        <v>46023</v>
      </c>
      <c r="K2365">
        <f t="shared" si="36"/>
        <v>52364</v>
      </c>
      <c r="L2365" t="str">
        <f>INDEX(Raw_Shipments!L2365:L4793,MATCH(A2365,Raw_Shipments!B2365:B4793))</f>
        <v>No</v>
      </c>
    </row>
    <row r="2366" spans="1:12" x14ac:dyDescent="0.3">
      <c r="A2366" s="2" t="s">
        <v>2515</v>
      </c>
      <c r="B2366" s="3">
        <v>46013</v>
      </c>
      <c r="C2366" s="2" t="s">
        <v>234</v>
      </c>
      <c r="D2366" s="2" t="s">
        <v>25</v>
      </c>
      <c r="E2366" s="2" t="s">
        <v>46</v>
      </c>
      <c r="F2366" s="2" t="s">
        <v>47</v>
      </c>
      <c r="G2366" s="2" t="s">
        <v>42</v>
      </c>
      <c r="H2366" s="2">
        <v>9</v>
      </c>
      <c r="I2366" s="4">
        <v>1833.14</v>
      </c>
      <c r="J2366" s="3">
        <v>46019</v>
      </c>
      <c r="K2366">
        <f t="shared" si="36"/>
        <v>16498.260000000002</v>
      </c>
      <c r="L2366" t="str">
        <f>INDEX(Raw_Shipments!L2366:L4794,MATCH(A2366,Raw_Shipments!B2366:B4794))</f>
        <v>No</v>
      </c>
    </row>
    <row r="2367" spans="1:12" x14ac:dyDescent="0.3">
      <c r="A2367" s="5" t="s">
        <v>2516</v>
      </c>
      <c r="B2367" s="6">
        <v>46014</v>
      </c>
      <c r="C2367" s="5" t="s">
        <v>96</v>
      </c>
      <c r="D2367" s="5" t="s">
        <v>14</v>
      </c>
      <c r="E2367" s="5" t="s">
        <v>15</v>
      </c>
      <c r="F2367" s="5" t="s">
        <v>16</v>
      </c>
      <c r="G2367" s="5" t="s">
        <v>17</v>
      </c>
      <c r="H2367" s="5">
        <v>19</v>
      </c>
      <c r="I2367" s="7">
        <v>183.06</v>
      </c>
      <c r="J2367" s="6">
        <v>46022</v>
      </c>
      <c r="K2367">
        <f t="shared" si="36"/>
        <v>3478.14</v>
      </c>
      <c r="L2367" t="str">
        <f>INDEX(Raw_Shipments!L2367:L4795,MATCH(A2367,Raw_Shipments!B2367:B4795))</f>
        <v>Yes</v>
      </c>
    </row>
    <row r="2368" spans="1:12" x14ac:dyDescent="0.3">
      <c r="A2368" s="2" t="s">
        <v>2517</v>
      </c>
      <c r="B2368" s="3">
        <v>46014</v>
      </c>
      <c r="C2368" s="2" t="s">
        <v>49</v>
      </c>
      <c r="D2368" s="2" t="s">
        <v>30</v>
      </c>
      <c r="E2368" s="2" t="s">
        <v>31</v>
      </c>
      <c r="F2368" s="2" t="s">
        <v>32</v>
      </c>
      <c r="G2368" s="2" t="s">
        <v>33</v>
      </c>
      <c r="H2368" s="2">
        <v>65</v>
      </c>
      <c r="I2368" s="4">
        <v>689</v>
      </c>
      <c r="J2368" s="3">
        <v>46023</v>
      </c>
      <c r="K2368">
        <f t="shared" si="36"/>
        <v>44785</v>
      </c>
      <c r="L2368" t="str">
        <f>INDEX(Raw_Shipments!L2368:L4796,MATCH(A2368,Raw_Shipments!B2368:B4796))</f>
        <v>No</v>
      </c>
    </row>
    <row r="2369" spans="1:12" x14ac:dyDescent="0.3">
      <c r="A2369" s="5" t="s">
        <v>2518</v>
      </c>
      <c r="B2369" s="6">
        <v>46014</v>
      </c>
      <c r="C2369" s="5" t="s">
        <v>75</v>
      </c>
      <c r="D2369" s="5" t="s">
        <v>30</v>
      </c>
      <c r="E2369" s="5" t="s">
        <v>36</v>
      </c>
      <c r="F2369" s="5" t="s">
        <v>37</v>
      </c>
      <c r="G2369" s="5" t="s">
        <v>33</v>
      </c>
      <c r="H2369" s="5">
        <v>24</v>
      </c>
      <c r="I2369" s="7">
        <v>1064.79</v>
      </c>
      <c r="J2369" s="6">
        <v>46020</v>
      </c>
      <c r="K2369">
        <f t="shared" si="36"/>
        <v>25554.959999999999</v>
      </c>
      <c r="L2369" t="str">
        <f>INDEX(Raw_Shipments!L2369:L4797,MATCH(A2369,Raw_Shipments!B2369:B4797))</f>
        <v>No</v>
      </c>
    </row>
    <row r="2370" spans="1:12" x14ac:dyDescent="0.3">
      <c r="A2370" s="2" t="s">
        <v>2519</v>
      </c>
      <c r="B2370" s="3">
        <v>46014</v>
      </c>
      <c r="C2370" s="2" t="s">
        <v>178</v>
      </c>
      <c r="D2370" s="2" t="s">
        <v>30</v>
      </c>
      <c r="E2370" s="2" t="s">
        <v>46</v>
      </c>
      <c r="F2370" s="2" t="s">
        <v>47</v>
      </c>
      <c r="G2370" s="2" t="s">
        <v>42</v>
      </c>
      <c r="H2370" s="2">
        <v>10</v>
      </c>
      <c r="I2370" s="4">
        <v>1833.14</v>
      </c>
      <c r="J2370" s="3">
        <v>46024</v>
      </c>
      <c r="K2370">
        <f t="shared" si="36"/>
        <v>18331.400000000001</v>
      </c>
      <c r="L2370" t="str">
        <f>INDEX(Raw_Shipments!L2370:L4798,MATCH(A2370,Raw_Shipments!B2370:B4798))</f>
        <v>No</v>
      </c>
    </row>
    <row r="2371" spans="1:12" x14ac:dyDescent="0.3">
      <c r="A2371" s="5" t="s">
        <v>2520</v>
      </c>
      <c r="B2371" s="6">
        <v>46014</v>
      </c>
      <c r="C2371" s="5" t="s">
        <v>595</v>
      </c>
      <c r="D2371" s="5" t="s">
        <v>45</v>
      </c>
      <c r="E2371" s="5" t="s">
        <v>50</v>
      </c>
      <c r="F2371" s="5" t="s">
        <v>51</v>
      </c>
      <c r="G2371" s="5" t="s">
        <v>42</v>
      </c>
      <c r="H2371" s="5">
        <v>11</v>
      </c>
      <c r="I2371" s="7">
        <v>1952.28</v>
      </c>
      <c r="J2371" s="6">
        <v>46022</v>
      </c>
      <c r="K2371">
        <f t="shared" ref="K2371:K2430" si="37">I2371*H2371</f>
        <v>21475.079999999998</v>
      </c>
      <c r="L2371" t="str">
        <f>INDEX(Raw_Shipments!L2371:L4799,MATCH(A2371,Raw_Shipments!B2371:B4799))</f>
        <v>No</v>
      </c>
    </row>
    <row r="2372" spans="1:12" x14ac:dyDescent="0.3">
      <c r="A2372" s="2" t="s">
        <v>2521</v>
      </c>
      <c r="B2372" s="3">
        <v>46015</v>
      </c>
      <c r="C2372" s="2" t="s">
        <v>109</v>
      </c>
      <c r="D2372" s="2" t="s">
        <v>25</v>
      </c>
      <c r="E2372" s="2" t="s">
        <v>53</v>
      </c>
      <c r="F2372" s="2" t="s">
        <v>54</v>
      </c>
      <c r="G2372" s="2" t="s">
        <v>55</v>
      </c>
      <c r="H2372" s="2">
        <v>49</v>
      </c>
      <c r="I2372" s="4">
        <v>2055.9</v>
      </c>
      <c r="J2372" s="3">
        <v>46018</v>
      </c>
      <c r="K2372">
        <f t="shared" si="37"/>
        <v>100739.1</v>
      </c>
      <c r="L2372" t="str">
        <f>INDEX(Raw_Shipments!L2372:L4800,MATCH(A2372,Raw_Shipments!B2372:B4800))</f>
        <v>No</v>
      </c>
    </row>
    <row r="2373" spans="1:12" x14ac:dyDescent="0.3">
      <c r="A2373" s="5" t="s">
        <v>2522</v>
      </c>
      <c r="B2373" s="6">
        <v>46015</v>
      </c>
      <c r="C2373" s="5" t="s">
        <v>185</v>
      </c>
      <c r="D2373" s="5" t="s">
        <v>30</v>
      </c>
      <c r="E2373" s="5" t="s">
        <v>62</v>
      </c>
      <c r="F2373" s="5" t="s">
        <v>63</v>
      </c>
      <c r="G2373" s="5" t="s">
        <v>55</v>
      </c>
      <c r="H2373" s="5">
        <v>63</v>
      </c>
      <c r="I2373" s="7">
        <v>2555.2199999999998</v>
      </c>
      <c r="J2373" s="6">
        <v>46018</v>
      </c>
      <c r="K2373">
        <f t="shared" si="37"/>
        <v>160978.85999999999</v>
      </c>
      <c r="L2373" t="str">
        <f>INDEX(Raw_Shipments!L2373:L4801,MATCH(A2373,Raw_Shipments!B2373:B4801))</f>
        <v>No</v>
      </c>
    </row>
    <row r="2374" spans="1:12" x14ac:dyDescent="0.3">
      <c r="A2374" s="2" t="s">
        <v>2523</v>
      </c>
      <c r="B2374" s="3">
        <v>46015</v>
      </c>
      <c r="C2374" s="2" t="s">
        <v>282</v>
      </c>
      <c r="D2374" s="2" t="s">
        <v>14</v>
      </c>
      <c r="E2374" s="2" t="s">
        <v>66</v>
      </c>
      <c r="F2374" s="2" t="s">
        <v>67</v>
      </c>
      <c r="G2374" s="2" t="s">
        <v>17</v>
      </c>
      <c r="H2374" s="2">
        <v>21</v>
      </c>
      <c r="I2374" s="4">
        <v>850.8</v>
      </c>
      <c r="J2374" s="3">
        <v>46019</v>
      </c>
      <c r="K2374">
        <f t="shared" si="37"/>
        <v>17866.8</v>
      </c>
      <c r="L2374" t="str">
        <f>INDEX(Raw_Shipments!L2374:L4802,MATCH(A2374,Raw_Shipments!B2374:B4802))</f>
        <v>No</v>
      </c>
    </row>
    <row r="2375" spans="1:12" x14ac:dyDescent="0.3">
      <c r="A2375" s="5" t="s">
        <v>2524</v>
      </c>
      <c r="B2375" s="6">
        <v>46015</v>
      </c>
      <c r="C2375" s="5" t="s">
        <v>144</v>
      </c>
      <c r="D2375" s="5" t="s">
        <v>25</v>
      </c>
      <c r="E2375" s="5" t="s">
        <v>26</v>
      </c>
      <c r="F2375" s="5" t="s">
        <v>27</v>
      </c>
      <c r="G2375" s="5" t="s">
        <v>22</v>
      </c>
      <c r="H2375" s="5">
        <v>15</v>
      </c>
      <c r="I2375" s="7">
        <v>1646.8</v>
      </c>
      <c r="J2375" s="6">
        <v>46018</v>
      </c>
      <c r="K2375">
        <f t="shared" si="37"/>
        <v>24702</v>
      </c>
      <c r="L2375" t="str">
        <f>INDEX(Raw_Shipments!L2375:L4803,MATCH(A2375,Raw_Shipments!B2375:B4803))</f>
        <v>No</v>
      </c>
    </row>
    <row r="2376" spans="1:12" x14ac:dyDescent="0.3">
      <c r="A2376" s="2" t="s">
        <v>2525</v>
      </c>
      <c r="B2376" s="3">
        <v>46015</v>
      </c>
      <c r="C2376" s="2" t="s">
        <v>49</v>
      </c>
      <c r="D2376" s="2" t="s">
        <v>45</v>
      </c>
      <c r="E2376" s="2" t="s">
        <v>31</v>
      </c>
      <c r="F2376" s="2" t="s">
        <v>32</v>
      </c>
      <c r="G2376" s="2" t="s">
        <v>33</v>
      </c>
      <c r="H2376" s="2">
        <v>30</v>
      </c>
      <c r="I2376" s="4">
        <v>689</v>
      </c>
      <c r="J2376" s="3">
        <v>46018</v>
      </c>
      <c r="K2376">
        <f t="shared" si="37"/>
        <v>20670</v>
      </c>
      <c r="L2376" t="str">
        <f>INDEX(Raw_Shipments!L2376:L4804,MATCH(A2376,Raw_Shipments!B2376:B4804))</f>
        <v>No</v>
      </c>
    </row>
    <row r="2377" spans="1:12" x14ac:dyDescent="0.3">
      <c r="A2377" s="5" t="s">
        <v>2526</v>
      </c>
      <c r="B2377" s="6">
        <v>46016</v>
      </c>
      <c r="C2377" s="5" t="s">
        <v>81</v>
      </c>
      <c r="D2377" s="5" t="s">
        <v>25</v>
      </c>
      <c r="E2377" s="5" t="s">
        <v>58</v>
      </c>
      <c r="F2377" s="5" t="s">
        <v>59</v>
      </c>
      <c r="G2377" s="5" t="s">
        <v>55</v>
      </c>
      <c r="H2377" s="5">
        <v>19</v>
      </c>
      <c r="I2377" s="7">
        <v>1695.1</v>
      </c>
      <c r="J2377" s="6">
        <v>46025</v>
      </c>
      <c r="K2377">
        <f t="shared" si="37"/>
        <v>32206.899999999998</v>
      </c>
      <c r="L2377" t="str">
        <f>INDEX(Raw_Shipments!L2377:L4805,MATCH(A2377,Raw_Shipments!B2377:B4805))</f>
        <v>Yes</v>
      </c>
    </row>
    <row r="2378" spans="1:12" x14ac:dyDescent="0.3">
      <c r="A2378" s="2" t="s">
        <v>2527</v>
      </c>
      <c r="B2378" s="3">
        <v>46016</v>
      </c>
      <c r="C2378" s="2" t="s">
        <v>154</v>
      </c>
      <c r="D2378" s="2" t="s">
        <v>25</v>
      </c>
      <c r="E2378" s="2" t="s">
        <v>62</v>
      </c>
      <c r="F2378" s="2" t="s">
        <v>63</v>
      </c>
      <c r="G2378" s="2" t="s">
        <v>55</v>
      </c>
      <c r="H2378" s="2">
        <v>39</v>
      </c>
      <c r="I2378" s="4">
        <v>2555.2199999999998</v>
      </c>
      <c r="J2378" s="3">
        <v>46019</v>
      </c>
      <c r="K2378">
        <f t="shared" si="37"/>
        <v>99653.579999999987</v>
      </c>
      <c r="L2378" t="str">
        <f>INDEX(Raw_Shipments!L2378:L4806,MATCH(A2378,Raw_Shipments!B2378:B4806))</f>
        <v>No</v>
      </c>
    </row>
    <row r="2379" spans="1:12" x14ac:dyDescent="0.3">
      <c r="A2379" s="5" t="s">
        <v>2528</v>
      </c>
      <c r="B2379" s="6">
        <v>46016</v>
      </c>
      <c r="C2379" s="5" t="s">
        <v>158</v>
      </c>
      <c r="D2379" s="5" t="s">
        <v>45</v>
      </c>
      <c r="E2379" s="5" t="s">
        <v>66</v>
      </c>
      <c r="F2379" s="5" t="s">
        <v>67</v>
      </c>
      <c r="G2379" s="5" t="s">
        <v>17</v>
      </c>
      <c r="H2379" s="5">
        <v>22</v>
      </c>
      <c r="I2379" s="7">
        <v>850.8</v>
      </c>
      <c r="J2379" s="6">
        <v>46020</v>
      </c>
      <c r="K2379">
        <f t="shared" si="37"/>
        <v>18717.599999999999</v>
      </c>
      <c r="L2379" t="str">
        <f>INDEX(Raw_Shipments!L2379:L4807,MATCH(A2379,Raw_Shipments!B2379:B4807))</f>
        <v>No</v>
      </c>
    </row>
    <row r="2380" spans="1:12" x14ac:dyDescent="0.3">
      <c r="A2380" s="2" t="s">
        <v>2529</v>
      </c>
      <c r="B2380" s="3">
        <v>46016</v>
      </c>
      <c r="C2380" s="2" t="s">
        <v>185</v>
      </c>
      <c r="D2380" s="2" t="s">
        <v>45</v>
      </c>
      <c r="E2380" s="2" t="s">
        <v>97</v>
      </c>
      <c r="F2380" s="2" t="s">
        <v>98</v>
      </c>
      <c r="G2380" s="2" t="s">
        <v>17</v>
      </c>
      <c r="H2380" s="2">
        <v>41</v>
      </c>
      <c r="I2380" s="4">
        <v>1110.6500000000001</v>
      </c>
      <c r="J2380" s="3">
        <v>46024</v>
      </c>
      <c r="K2380">
        <f t="shared" si="37"/>
        <v>45536.65</v>
      </c>
      <c r="L2380" t="str">
        <f>INDEX(Raw_Shipments!L2380:L4808,MATCH(A2380,Raw_Shipments!B2380:B4808))</f>
        <v>No</v>
      </c>
    </row>
    <row r="2381" spans="1:12" x14ac:dyDescent="0.3">
      <c r="A2381" s="5" t="s">
        <v>2530</v>
      </c>
      <c r="B2381" s="6">
        <v>46016</v>
      </c>
      <c r="C2381" s="5" t="s">
        <v>504</v>
      </c>
      <c r="D2381" s="5" t="s">
        <v>45</v>
      </c>
      <c r="E2381" s="5" t="s">
        <v>15</v>
      </c>
      <c r="F2381" s="5" t="s">
        <v>16</v>
      </c>
      <c r="G2381" s="5" t="s">
        <v>17</v>
      </c>
      <c r="H2381" s="5">
        <v>20</v>
      </c>
      <c r="I2381" s="7">
        <v>183.06</v>
      </c>
      <c r="J2381" s="6">
        <v>46022</v>
      </c>
      <c r="K2381">
        <f t="shared" si="37"/>
        <v>3661.2</v>
      </c>
      <c r="L2381" t="str">
        <f>INDEX(Raw_Shipments!L2381:L4809,MATCH(A2381,Raw_Shipments!B2381:B4809))</f>
        <v>No</v>
      </c>
    </row>
    <row r="2382" spans="1:12" x14ac:dyDescent="0.3">
      <c r="A2382" s="2" t="s">
        <v>2531</v>
      </c>
      <c r="B2382" s="3">
        <v>46016</v>
      </c>
      <c r="C2382" s="2" t="s">
        <v>91</v>
      </c>
      <c r="D2382" s="2" t="s">
        <v>25</v>
      </c>
      <c r="E2382" s="2" t="s">
        <v>20</v>
      </c>
      <c r="F2382" s="2" t="s">
        <v>21</v>
      </c>
      <c r="G2382" s="2" t="s">
        <v>22</v>
      </c>
      <c r="H2382" s="2">
        <v>15</v>
      </c>
      <c r="I2382" s="4">
        <v>2108.56</v>
      </c>
      <c r="J2382" s="3">
        <v>46020</v>
      </c>
      <c r="K2382">
        <f t="shared" si="37"/>
        <v>31628.399999999998</v>
      </c>
      <c r="L2382" t="str">
        <f>INDEX(Raw_Shipments!L2382:L4810,MATCH(A2382,Raw_Shipments!B2382:B4810))</f>
        <v>Yes</v>
      </c>
    </row>
    <row r="2383" spans="1:12" x14ac:dyDescent="0.3">
      <c r="A2383" s="5" t="s">
        <v>2532</v>
      </c>
      <c r="B2383" s="6">
        <v>46016</v>
      </c>
      <c r="C2383" s="5" t="s">
        <v>61</v>
      </c>
      <c r="D2383" s="5" t="s">
        <v>45</v>
      </c>
      <c r="E2383" s="5" t="s">
        <v>31</v>
      </c>
      <c r="F2383" s="5" t="s">
        <v>32</v>
      </c>
      <c r="G2383" s="5" t="s">
        <v>33</v>
      </c>
      <c r="H2383" s="5">
        <v>79</v>
      </c>
      <c r="I2383" s="7">
        <v>689</v>
      </c>
      <c r="J2383" s="6">
        <v>46025</v>
      </c>
      <c r="K2383">
        <f t="shared" si="37"/>
        <v>54431</v>
      </c>
      <c r="L2383" t="str">
        <f>INDEX(Raw_Shipments!L2383:L4811,MATCH(A2383,Raw_Shipments!B2383:B4811))</f>
        <v>Yes</v>
      </c>
    </row>
    <row r="2384" spans="1:12" x14ac:dyDescent="0.3">
      <c r="A2384" s="2" t="s">
        <v>2533</v>
      </c>
      <c r="B2384" s="3">
        <v>46016</v>
      </c>
      <c r="C2384" s="2" t="s">
        <v>203</v>
      </c>
      <c r="D2384" s="2" t="s">
        <v>45</v>
      </c>
      <c r="E2384" s="2" t="s">
        <v>36</v>
      </c>
      <c r="F2384" s="2" t="s">
        <v>37</v>
      </c>
      <c r="G2384" s="2" t="s">
        <v>33</v>
      </c>
      <c r="H2384" s="2">
        <v>53</v>
      </c>
      <c r="I2384" s="4">
        <v>1064.79</v>
      </c>
      <c r="J2384" s="3">
        <v>46024</v>
      </c>
      <c r="K2384">
        <f t="shared" si="37"/>
        <v>56433.869999999995</v>
      </c>
      <c r="L2384" t="str">
        <f>INDEX(Raw_Shipments!L2384:L4812,MATCH(A2384,Raw_Shipments!B2384:B4812))</f>
        <v>No</v>
      </c>
    </row>
    <row r="2385" spans="1:12" x14ac:dyDescent="0.3">
      <c r="A2385" s="5" t="s">
        <v>2534</v>
      </c>
      <c r="B2385" s="6">
        <v>46016</v>
      </c>
      <c r="C2385" s="5" t="s">
        <v>282</v>
      </c>
      <c r="D2385" s="5" t="s">
        <v>45</v>
      </c>
      <c r="E2385" s="5" t="s">
        <v>86</v>
      </c>
      <c r="F2385" s="5" t="s">
        <v>87</v>
      </c>
      <c r="G2385" s="5" t="s">
        <v>33</v>
      </c>
      <c r="H2385" s="5">
        <v>29</v>
      </c>
      <c r="I2385" s="7">
        <v>815.88</v>
      </c>
      <c r="J2385" s="6">
        <v>46020</v>
      </c>
      <c r="K2385">
        <f t="shared" si="37"/>
        <v>23660.52</v>
      </c>
      <c r="L2385" t="str">
        <f>INDEX(Raw_Shipments!L2385:L4813,MATCH(A2385,Raw_Shipments!B2385:B4813))</f>
        <v>No</v>
      </c>
    </row>
    <row r="2386" spans="1:12" x14ac:dyDescent="0.3">
      <c r="A2386" s="2" t="s">
        <v>2535</v>
      </c>
      <c r="B2386" s="3">
        <v>46016</v>
      </c>
      <c r="C2386" s="2" t="s">
        <v>115</v>
      </c>
      <c r="D2386" s="2" t="s">
        <v>45</v>
      </c>
      <c r="E2386" s="2" t="s">
        <v>40</v>
      </c>
      <c r="F2386" s="2" t="s">
        <v>41</v>
      </c>
      <c r="G2386" s="2" t="s">
        <v>42</v>
      </c>
      <c r="H2386" s="2">
        <v>20</v>
      </c>
      <c r="I2386" s="4">
        <v>2445.11</v>
      </c>
      <c r="J2386" s="3">
        <v>46024</v>
      </c>
      <c r="K2386">
        <f t="shared" si="37"/>
        <v>48902.200000000004</v>
      </c>
      <c r="L2386" t="str">
        <f>INDEX(Raw_Shipments!L2386:L4814,MATCH(A2386,Raw_Shipments!B2386:B4814))</f>
        <v>No</v>
      </c>
    </row>
    <row r="2387" spans="1:12" x14ac:dyDescent="0.3">
      <c r="A2387" s="5" t="s">
        <v>2536</v>
      </c>
      <c r="B2387" s="6">
        <v>46016</v>
      </c>
      <c r="C2387" s="5" t="s">
        <v>510</v>
      </c>
      <c r="D2387" s="5" t="s">
        <v>25</v>
      </c>
      <c r="E2387" s="5" t="s">
        <v>46</v>
      </c>
      <c r="F2387" s="5" t="s">
        <v>47</v>
      </c>
      <c r="G2387" s="5" t="s">
        <v>42</v>
      </c>
      <c r="H2387" s="5">
        <v>8</v>
      </c>
      <c r="I2387" s="7">
        <v>1833.14</v>
      </c>
      <c r="J2387" s="6">
        <v>46022</v>
      </c>
      <c r="K2387">
        <f t="shared" si="37"/>
        <v>14665.12</v>
      </c>
      <c r="L2387" t="str">
        <f>INDEX(Raw_Shipments!L2387:L4815,MATCH(A2387,Raw_Shipments!B2387:B4815))</f>
        <v>No</v>
      </c>
    </row>
    <row r="2388" spans="1:12" x14ac:dyDescent="0.3">
      <c r="A2388" s="2" t="s">
        <v>2537</v>
      </c>
      <c r="B2388" s="3">
        <v>46016</v>
      </c>
      <c r="C2388" s="2" t="s">
        <v>447</v>
      </c>
      <c r="D2388" s="2" t="s">
        <v>45</v>
      </c>
      <c r="E2388" s="2" t="s">
        <v>50</v>
      </c>
      <c r="F2388" s="2" t="s">
        <v>51</v>
      </c>
      <c r="G2388" s="2" t="s">
        <v>42</v>
      </c>
      <c r="H2388" s="2">
        <v>8</v>
      </c>
      <c r="I2388" s="4">
        <v>1952.28</v>
      </c>
      <c r="J2388" s="3">
        <v>46020</v>
      </c>
      <c r="K2388">
        <f t="shared" si="37"/>
        <v>15618.24</v>
      </c>
      <c r="L2388" t="str">
        <f>INDEX(Raw_Shipments!L2388:L4816,MATCH(A2388,Raw_Shipments!B2388:B4816))</f>
        <v>No</v>
      </c>
    </row>
    <row r="2389" spans="1:12" x14ac:dyDescent="0.3">
      <c r="A2389" s="5" t="s">
        <v>2538</v>
      </c>
      <c r="B2389" s="6">
        <v>46017</v>
      </c>
      <c r="C2389" s="5" t="s">
        <v>198</v>
      </c>
      <c r="D2389" s="5" t="s">
        <v>45</v>
      </c>
      <c r="E2389" s="5" t="s">
        <v>62</v>
      </c>
      <c r="F2389" s="5" t="s">
        <v>63</v>
      </c>
      <c r="G2389" s="5" t="s">
        <v>55</v>
      </c>
      <c r="H2389" s="5">
        <v>28</v>
      </c>
      <c r="I2389" s="7">
        <v>2555.2199999999998</v>
      </c>
      <c r="J2389" s="6">
        <v>46023</v>
      </c>
      <c r="K2389">
        <f t="shared" si="37"/>
        <v>71546.159999999989</v>
      </c>
      <c r="L2389" t="str">
        <f>INDEX(Raw_Shipments!L2389:L4817,MATCH(A2389,Raw_Shipments!B2389:B4817))</f>
        <v>No</v>
      </c>
    </row>
    <row r="2390" spans="1:12" x14ac:dyDescent="0.3">
      <c r="A2390" s="2" t="s">
        <v>2539</v>
      </c>
      <c r="B2390" s="3">
        <v>46017</v>
      </c>
      <c r="C2390" s="2" t="s">
        <v>213</v>
      </c>
      <c r="D2390" s="2" t="s">
        <v>25</v>
      </c>
      <c r="E2390" s="2" t="s">
        <v>31</v>
      </c>
      <c r="F2390" s="2" t="s">
        <v>32</v>
      </c>
      <c r="G2390" s="2" t="s">
        <v>33</v>
      </c>
      <c r="H2390" s="2">
        <v>27</v>
      </c>
      <c r="I2390" s="4">
        <v>689</v>
      </c>
      <c r="J2390" s="3">
        <v>46026</v>
      </c>
      <c r="K2390">
        <f t="shared" si="37"/>
        <v>18603</v>
      </c>
      <c r="L2390" t="str">
        <f>INDEX(Raw_Shipments!L2390:L4818,MATCH(A2390,Raw_Shipments!B2390:B4818))</f>
        <v>No</v>
      </c>
    </row>
    <row r="2391" spans="1:12" x14ac:dyDescent="0.3">
      <c r="A2391" s="5" t="s">
        <v>2540</v>
      </c>
      <c r="B2391" s="6">
        <v>46017</v>
      </c>
      <c r="C2391" s="5" t="s">
        <v>282</v>
      </c>
      <c r="D2391" s="5" t="s">
        <v>30</v>
      </c>
      <c r="E2391" s="5" t="s">
        <v>36</v>
      </c>
      <c r="F2391" s="5" t="s">
        <v>37</v>
      </c>
      <c r="G2391" s="5" t="s">
        <v>33</v>
      </c>
      <c r="H2391" s="5">
        <v>58</v>
      </c>
      <c r="I2391" s="7">
        <v>1064.79</v>
      </c>
      <c r="J2391" s="6">
        <v>46026</v>
      </c>
      <c r="K2391">
        <f t="shared" si="37"/>
        <v>61757.82</v>
      </c>
      <c r="L2391" t="str">
        <f>INDEX(Raw_Shipments!L2391:L4819,MATCH(A2391,Raw_Shipments!B2391:B4819))</f>
        <v>No</v>
      </c>
    </row>
    <row r="2392" spans="1:12" x14ac:dyDescent="0.3">
      <c r="A2392" s="2" t="s">
        <v>2541</v>
      </c>
      <c r="B2392" s="3">
        <v>46017</v>
      </c>
      <c r="C2392" s="2" t="s">
        <v>172</v>
      </c>
      <c r="D2392" s="2" t="s">
        <v>30</v>
      </c>
      <c r="E2392" s="2" t="s">
        <v>40</v>
      </c>
      <c r="F2392" s="2" t="s">
        <v>41</v>
      </c>
      <c r="G2392" s="2" t="s">
        <v>42</v>
      </c>
      <c r="H2392" s="2">
        <v>32</v>
      </c>
      <c r="I2392" s="4">
        <v>2445.11</v>
      </c>
      <c r="J2392" s="3">
        <v>46021</v>
      </c>
      <c r="K2392">
        <f t="shared" si="37"/>
        <v>78243.520000000004</v>
      </c>
      <c r="L2392" t="str">
        <f>INDEX(Raw_Shipments!L2392:L4820,MATCH(A2392,Raw_Shipments!B2392:B4820))</f>
        <v>No</v>
      </c>
    </row>
    <row r="2393" spans="1:12" x14ac:dyDescent="0.3">
      <c r="A2393" s="5" t="s">
        <v>2542</v>
      </c>
      <c r="B2393" s="6">
        <v>46017</v>
      </c>
      <c r="C2393" s="5" t="s">
        <v>125</v>
      </c>
      <c r="D2393" s="5" t="s">
        <v>45</v>
      </c>
      <c r="E2393" s="5" t="s">
        <v>46</v>
      </c>
      <c r="F2393" s="5" t="s">
        <v>47</v>
      </c>
      <c r="G2393" s="5" t="s">
        <v>42</v>
      </c>
      <c r="H2393" s="5">
        <v>13</v>
      </c>
      <c r="I2393" s="7">
        <v>1833.14</v>
      </c>
      <c r="J2393" s="6">
        <v>46027</v>
      </c>
      <c r="K2393">
        <f t="shared" si="37"/>
        <v>23830.82</v>
      </c>
      <c r="L2393" t="str">
        <f>INDEX(Raw_Shipments!L2393:L4821,MATCH(A2393,Raw_Shipments!B2393:B4821))</f>
        <v>No</v>
      </c>
    </row>
    <row r="2394" spans="1:12" x14ac:dyDescent="0.3">
      <c r="A2394" s="2" t="s">
        <v>2543</v>
      </c>
      <c r="B2394" s="3">
        <v>46017</v>
      </c>
      <c r="C2394" s="2" t="s">
        <v>191</v>
      </c>
      <c r="D2394" s="2" t="s">
        <v>14</v>
      </c>
      <c r="E2394" s="2" t="s">
        <v>50</v>
      </c>
      <c r="F2394" s="2" t="s">
        <v>51</v>
      </c>
      <c r="G2394" s="2" t="s">
        <v>42</v>
      </c>
      <c r="H2394" s="2">
        <v>12</v>
      </c>
      <c r="I2394" s="4">
        <v>1952.28</v>
      </c>
      <c r="J2394" s="3">
        <v>46022</v>
      </c>
      <c r="K2394">
        <f t="shared" si="37"/>
        <v>23427.360000000001</v>
      </c>
      <c r="L2394" t="str">
        <f>INDEX(Raw_Shipments!L2394:L4822,MATCH(A2394,Raw_Shipments!B2394:B4822))</f>
        <v>No</v>
      </c>
    </row>
    <row r="2395" spans="1:12" x14ac:dyDescent="0.3">
      <c r="A2395" s="5" t="s">
        <v>2544</v>
      </c>
      <c r="B2395" s="6">
        <v>46018</v>
      </c>
      <c r="C2395" s="5" t="s">
        <v>113</v>
      </c>
      <c r="D2395" s="5" t="s">
        <v>14</v>
      </c>
      <c r="E2395" s="5" t="s">
        <v>66</v>
      </c>
      <c r="F2395" s="5" t="s">
        <v>67</v>
      </c>
      <c r="G2395" s="5" t="s">
        <v>17</v>
      </c>
      <c r="H2395" s="5">
        <v>21</v>
      </c>
      <c r="I2395" s="7">
        <v>850.8</v>
      </c>
      <c r="J2395" s="6">
        <v>46021</v>
      </c>
      <c r="K2395">
        <f t="shared" si="37"/>
        <v>17866.8</v>
      </c>
      <c r="L2395" t="str">
        <f>INDEX(Raw_Shipments!L2395:L4823,MATCH(A2395,Raw_Shipments!B2395:B4823))</f>
        <v>No</v>
      </c>
    </row>
    <row r="2396" spans="1:12" x14ac:dyDescent="0.3">
      <c r="A2396" s="2" t="s">
        <v>2545</v>
      </c>
      <c r="B2396" s="3">
        <v>46018</v>
      </c>
      <c r="C2396" s="2" t="s">
        <v>473</v>
      </c>
      <c r="D2396" s="2" t="s">
        <v>14</v>
      </c>
      <c r="E2396" s="2" t="s">
        <v>119</v>
      </c>
      <c r="F2396" s="2" t="s">
        <v>120</v>
      </c>
      <c r="G2396" s="2" t="s">
        <v>22</v>
      </c>
      <c r="H2396" s="2">
        <v>59</v>
      </c>
      <c r="I2396" s="4">
        <v>912.26</v>
      </c>
      <c r="J2396" s="3">
        <v>46021</v>
      </c>
      <c r="K2396">
        <f t="shared" si="37"/>
        <v>53823.34</v>
      </c>
      <c r="L2396" t="str">
        <f>INDEX(Raw_Shipments!L2396:L4824,MATCH(A2396,Raw_Shipments!B2396:B4824))</f>
        <v>No</v>
      </c>
    </row>
    <row r="2397" spans="1:12" x14ac:dyDescent="0.3">
      <c r="A2397" s="5" t="s">
        <v>2546</v>
      </c>
      <c r="B2397" s="6">
        <v>46018</v>
      </c>
      <c r="C2397" s="5" t="s">
        <v>232</v>
      </c>
      <c r="D2397" s="5" t="s">
        <v>14</v>
      </c>
      <c r="E2397" s="5" t="s">
        <v>36</v>
      </c>
      <c r="F2397" s="5" t="s">
        <v>37</v>
      </c>
      <c r="G2397" s="5" t="s">
        <v>33</v>
      </c>
      <c r="H2397" s="5">
        <v>89</v>
      </c>
      <c r="I2397" s="7">
        <v>1064.79</v>
      </c>
      <c r="J2397" s="6">
        <v>46022</v>
      </c>
      <c r="K2397">
        <f t="shared" si="37"/>
        <v>94766.31</v>
      </c>
      <c r="L2397" t="str">
        <f>INDEX(Raw_Shipments!L2397:L4825,MATCH(A2397,Raw_Shipments!B2397:B4825))</f>
        <v>No</v>
      </c>
    </row>
    <row r="2398" spans="1:12" x14ac:dyDescent="0.3">
      <c r="A2398" s="2" t="s">
        <v>2547</v>
      </c>
      <c r="B2398" s="3">
        <v>46018</v>
      </c>
      <c r="C2398" s="2" t="s">
        <v>83</v>
      </c>
      <c r="D2398" s="2" t="s">
        <v>25</v>
      </c>
      <c r="E2398" s="2" t="s">
        <v>86</v>
      </c>
      <c r="F2398" s="2" t="s">
        <v>87</v>
      </c>
      <c r="G2398" s="2" t="s">
        <v>33</v>
      </c>
      <c r="H2398" s="2">
        <v>42</v>
      </c>
      <c r="I2398" s="4">
        <v>815.88</v>
      </c>
      <c r="J2398" s="3">
        <v>46022</v>
      </c>
      <c r="K2398">
        <f t="shared" si="37"/>
        <v>34266.959999999999</v>
      </c>
      <c r="L2398" t="str">
        <f>INDEX(Raw_Shipments!L2398:L4826,MATCH(A2398,Raw_Shipments!B2398:B4826))</f>
        <v>No</v>
      </c>
    </row>
    <row r="2399" spans="1:12" x14ac:dyDescent="0.3">
      <c r="A2399" s="5" t="s">
        <v>2548</v>
      </c>
      <c r="B2399" s="6">
        <v>46018</v>
      </c>
      <c r="C2399" s="5" t="s">
        <v>57</v>
      </c>
      <c r="D2399" s="5" t="s">
        <v>14</v>
      </c>
      <c r="E2399" s="5" t="s">
        <v>46</v>
      </c>
      <c r="F2399" s="5" t="s">
        <v>47</v>
      </c>
      <c r="G2399" s="5" t="s">
        <v>42</v>
      </c>
      <c r="H2399" s="5">
        <v>11</v>
      </c>
      <c r="I2399" s="7">
        <v>1833.14</v>
      </c>
      <c r="J2399" s="6">
        <v>46025</v>
      </c>
      <c r="K2399">
        <f t="shared" si="37"/>
        <v>20164.54</v>
      </c>
      <c r="L2399" t="str">
        <f>INDEX(Raw_Shipments!L2399:L4827,MATCH(A2399,Raw_Shipments!B2399:B4827))</f>
        <v>No</v>
      </c>
    </row>
    <row r="2400" spans="1:12" x14ac:dyDescent="0.3">
      <c r="A2400" s="2" t="s">
        <v>2549</v>
      </c>
      <c r="B2400" s="3">
        <v>46019</v>
      </c>
      <c r="C2400" s="2" t="s">
        <v>527</v>
      </c>
      <c r="D2400" s="2" t="s">
        <v>30</v>
      </c>
      <c r="E2400" s="2" t="s">
        <v>53</v>
      </c>
      <c r="F2400" s="2" t="s">
        <v>54</v>
      </c>
      <c r="G2400" s="2" t="s">
        <v>55</v>
      </c>
      <c r="H2400" s="2">
        <v>34</v>
      </c>
      <c r="I2400" s="4">
        <v>2055.9</v>
      </c>
      <c r="J2400" s="3">
        <v>46025</v>
      </c>
      <c r="K2400">
        <f t="shared" si="37"/>
        <v>69900.600000000006</v>
      </c>
      <c r="L2400" t="str">
        <f>INDEX(Raw_Shipments!L2400:L4828,MATCH(A2400,Raw_Shipments!B2400:B4828))</f>
        <v>No</v>
      </c>
    </row>
    <row r="2401" spans="1:12" x14ac:dyDescent="0.3">
      <c r="A2401" s="5" t="s">
        <v>2550</v>
      </c>
      <c r="B2401" s="6">
        <v>46019</v>
      </c>
      <c r="C2401" s="5" t="s">
        <v>125</v>
      </c>
      <c r="D2401" s="5" t="s">
        <v>30</v>
      </c>
      <c r="E2401" s="5" t="s">
        <v>62</v>
      </c>
      <c r="F2401" s="5" t="s">
        <v>63</v>
      </c>
      <c r="G2401" s="5" t="s">
        <v>55</v>
      </c>
      <c r="H2401" s="5">
        <v>50</v>
      </c>
      <c r="I2401" s="7">
        <v>2555.2199999999998</v>
      </c>
      <c r="J2401" s="6">
        <v>46026</v>
      </c>
      <c r="K2401">
        <f t="shared" si="37"/>
        <v>127760.99999999999</v>
      </c>
      <c r="L2401" t="str">
        <f>INDEX(Raw_Shipments!L2401:L4829,MATCH(A2401,Raw_Shipments!B2401:B4829))</f>
        <v>No</v>
      </c>
    </row>
    <row r="2402" spans="1:12" x14ac:dyDescent="0.3">
      <c r="A2402" s="2" t="s">
        <v>2551</v>
      </c>
      <c r="B2402" s="3">
        <v>46019</v>
      </c>
      <c r="C2402" s="2" t="s">
        <v>304</v>
      </c>
      <c r="D2402" s="2" t="s">
        <v>25</v>
      </c>
      <c r="E2402" s="2" t="s">
        <v>97</v>
      </c>
      <c r="F2402" s="2" t="s">
        <v>98</v>
      </c>
      <c r="G2402" s="2" t="s">
        <v>17</v>
      </c>
      <c r="H2402" s="2">
        <v>37</v>
      </c>
      <c r="I2402" s="4">
        <v>1110.6500000000001</v>
      </c>
      <c r="J2402" s="3">
        <v>46029</v>
      </c>
      <c r="K2402">
        <f t="shared" si="37"/>
        <v>41094.050000000003</v>
      </c>
      <c r="L2402" t="str">
        <f>INDEX(Raw_Shipments!L2402:L4830,MATCH(A2402,Raw_Shipments!B2402:B4830))</f>
        <v>No</v>
      </c>
    </row>
    <row r="2403" spans="1:12" x14ac:dyDescent="0.3">
      <c r="A2403" s="5" t="s">
        <v>2552</v>
      </c>
      <c r="B2403" s="6">
        <v>46019</v>
      </c>
      <c r="C2403" s="5" t="s">
        <v>69</v>
      </c>
      <c r="D2403" s="5" t="s">
        <v>14</v>
      </c>
      <c r="E2403" s="5" t="s">
        <v>15</v>
      </c>
      <c r="F2403" s="5" t="s">
        <v>16</v>
      </c>
      <c r="G2403" s="5" t="s">
        <v>17</v>
      </c>
      <c r="H2403" s="5">
        <v>16</v>
      </c>
      <c r="I2403" s="7">
        <v>183.06</v>
      </c>
      <c r="J2403" s="6">
        <v>46023</v>
      </c>
      <c r="K2403">
        <f t="shared" si="37"/>
        <v>2928.96</v>
      </c>
      <c r="L2403" t="str">
        <f>INDEX(Raw_Shipments!L2403:L4831,MATCH(A2403,Raw_Shipments!B2403:B4831))</f>
        <v>No</v>
      </c>
    </row>
    <row r="2404" spans="1:12" x14ac:dyDescent="0.3">
      <c r="A2404" s="2" t="s">
        <v>2553</v>
      </c>
      <c r="B2404" s="3">
        <v>46019</v>
      </c>
      <c r="C2404" s="2" t="s">
        <v>150</v>
      </c>
      <c r="D2404" s="2" t="s">
        <v>45</v>
      </c>
      <c r="E2404" s="2" t="s">
        <v>20</v>
      </c>
      <c r="F2404" s="2" t="s">
        <v>21</v>
      </c>
      <c r="G2404" s="2" t="s">
        <v>22</v>
      </c>
      <c r="H2404" s="2">
        <v>21</v>
      </c>
      <c r="I2404" s="4">
        <v>2108.56</v>
      </c>
      <c r="J2404" s="3">
        <v>46029</v>
      </c>
      <c r="K2404">
        <f t="shared" si="37"/>
        <v>44279.76</v>
      </c>
      <c r="L2404" t="str">
        <f>INDEX(Raw_Shipments!L2404:L4832,MATCH(A2404,Raw_Shipments!B2404:B4832))</f>
        <v>Yes</v>
      </c>
    </row>
    <row r="2405" spans="1:12" x14ac:dyDescent="0.3">
      <c r="A2405" s="5" t="s">
        <v>2554</v>
      </c>
      <c r="B2405" s="6">
        <v>46019</v>
      </c>
      <c r="C2405" s="5" t="s">
        <v>175</v>
      </c>
      <c r="D2405" s="5" t="s">
        <v>14</v>
      </c>
      <c r="E2405" s="5" t="s">
        <v>26</v>
      </c>
      <c r="F2405" s="5" t="s">
        <v>27</v>
      </c>
      <c r="G2405" s="5" t="s">
        <v>22</v>
      </c>
      <c r="H2405" s="5">
        <v>37</v>
      </c>
      <c r="I2405" s="7">
        <v>1646.8</v>
      </c>
      <c r="J2405" s="6">
        <v>46025</v>
      </c>
      <c r="K2405">
        <f t="shared" si="37"/>
        <v>60931.6</v>
      </c>
      <c r="L2405" t="str">
        <f>INDEX(Raw_Shipments!L2405:L4833,MATCH(A2405,Raw_Shipments!B2405:B4833))</f>
        <v>No</v>
      </c>
    </row>
    <row r="2406" spans="1:12" x14ac:dyDescent="0.3">
      <c r="A2406" s="2" t="s">
        <v>2555</v>
      </c>
      <c r="B2406" s="3">
        <v>46019</v>
      </c>
      <c r="C2406" s="2" t="s">
        <v>65</v>
      </c>
      <c r="D2406" s="2" t="s">
        <v>14</v>
      </c>
      <c r="E2406" s="2" t="s">
        <v>36</v>
      </c>
      <c r="F2406" s="2" t="s">
        <v>37</v>
      </c>
      <c r="G2406" s="2" t="s">
        <v>33</v>
      </c>
      <c r="H2406" s="2">
        <v>31</v>
      </c>
      <c r="I2406" s="4">
        <v>1064.79</v>
      </c>
      <c r="J2406" s="3">
        <v>46024</v>
      </c>
      <c r="K2406">
        <f t="shared" si="37"/>
        <v>33008.49</v>
      </c>
      <c r="L2406" t="str">
        <f>INDEX(Raw_Shipments!L2406:L4834,MATCH(A2406,Raw_Shipments!B2406:B4834))</f>
        <v>No</v>
      </c>
    </row>
    <row r="2407" spans="1:12" x14ac:dyDescent="0.3">
      <c r="A2407" s="5" t="s">
        <v>2556</v>
      </c>
      <c r="B2407" s="6">
        <v>46019</v>
      </c>
      <c r="C2407" s="5" t="s">
        <v>19</v>
      </c>
      <c r="D2407" s="5" t="s">
        <v>14</v>
      </c>
      <c r="E2407" s="5" t="s">
        <v>86</v>
      </c>
      <c r="F2407" s="5" t="s">
        <v>87</v>
      </c>
      <c r="G2407" s="5" t="s">
        <v>33</v>
      </c>
      <c r="H2407" s="5">
        <v>34</v>
      </c>
      <c r="I2407" s="7">
        <v>815.88</v>
      </c>
      <c r="J2407" s="6">
        <v>46024</v>
      </c>
      <c r="K2407">
        <f t="shared" si="37"/>
        <v>27739.919999999998</v>
      </c>
      <c r="L2407" t="str">
        <f>INDEX(Raw_Shipments!L2407:L4835,MATCH(A2407,Raw_Shipments!B2407:B4835))</f>
        <v>No</v>
      </c>
    </row>
    <row r="2408" spans="1:12" x14ac:dyDescent="0.3">
      <c r="A2408" s="2" t="s">
        <v>2557</v>
      </c>
      <c r="B2408" s="3">
        <v>46019</v>
      </c>
      <c r="C2408" s="2" t="s">
        <v>100</v>
      </c>
      <c r="D2408" s="2" t="s">
        <v>25</v>
      </c>
      <c r="E2408" s="2" t="s">
        <v>46</v>
      </c>
      <c r="F2408" s="2" t="s">
        <v>47</v>
      </c>
      <c r="G2408" s="2" t="s">
        <v>42</v>
      </c>
      <c r="H2408" s="2">
        <v>11</v>
      </c>
      <c r="I2408" s="4">
        <v>1833.14</v>
      </c>
      <c r="J2408" s="3">
        <v>46024</v>
      </c>
      <c r="K2408">
        <f t="shared" si="37"/>
        <v>20164.54</v>
      </c>
      <c r="L2408" t="str">
        <f>INDEX(Raw_Shipments!L2408:L4836,MATCH(A2408,Raw_Shipments!B2408:B4836))</f>
        <v>No</v>
      </c>
    </row>
    <row r="2409" spans="1:12" x14ac:dyDescent="0.3">
      <c r="A2409" s="5" t="s">
        <v>2558</v>
      </c>
      <c r="B2409" s="6">
        <v>46020</v>
      </c>
      <c r="C2409" s="5" t="s">
        <v>89</v>
      </c>
      <c r="D2409" s="5" t="s">
        <v>30</v>
      </c>
      <c r="E2409" s="5" t="s">
        <v>62</v>
      </c>
      <c r="F2409" s="5" t="s">
        <v>63</v>
      </c>
      <c r="G2409" s="5" t="s">
        <v>55</v>
      </c>
      <c r="H2409" s="5">
        <v>42</v>
      </c>
      <c r="I2409" s="7">
        <v>2555.2199999999998</v>
      </c>
      <c r="J2409" s="6">
        <v>46027</v>
      </c>
      <c r="K2409">
        <f t="shared" si="37"/>
        <v>107319.23999999999</v>
      </c>
      <c r="L2409" t="str">
        <f>INDEX(Raw_Shipments!L2409:L4837,MATCH(A2409,Raw_Shipments!B2409:B4837))</f>
        <v>No</v>
      </c>
    </row>
    <row r="2410" spans="1:12" x14ac:dyDescent="0.3">
      <c r="A2410" s="2" t="s">
        <v>2559</v>
      </c>
      <c r="B2410" s="3">
        <v>46020</v>
      </c>
      <c r="C2410" s="2" t="s">
        <v>69</v>
      </c>
      <c r="D2410" s="2" t="s">
        <v>25</v>
      </c>
      <c r="E2410" s="2" t="s">
        <v>66</v>
      </c>
      <c r="F2410" s="2" t="s">
        <v>67</v>
      </c>
      <c r="G2410" s="2" t="s">
        <v>17</v>
      </c>
      <c r="H2410" s="2">
        <v>6</v>
      </c>
      <c r="I2410" s="4">
        <v>850.8</v>
      </c>
      <c r="J2410" s="3">
        <v>46026</v>
      </c>
      <c r="K2410">
        <f t="shared" si="37"/>
        <v>5104.7999999999993</v>
      </c>
      <c r="L2410" t="str">
        <f>INDEX(Raw_Shipments!L2410:L4838,MATCH(A2410,Raw_Shipments!B2410:B4838))</f>
        <v>No</v>
      </c>
    </row>
    <row r="2411" spans="1:12" x14ac:dyDescent="0.3">
      <c r="A2411" s="5" t="s">
        <v>2560</v>
      </c>
      <c r="B2411" s="6">
        <v>46020</v>
      </c>
      <c r="C2411" s="5" t="s">
        <v>304</v>
      </c>
      <c r="D2411" s="5" t="s">
        <v>45</v>
      </c>
      <c r="E2411" s="5" t="s">
        <v>86</v>
      </c>
      <c r="F2411" s="5" t="s">
        <v>87</v>
      </c>
      <c r="G2411" s="5" t="s">
        <v>33</v>
      </c>
      <c r="H2411" s="5">
        <v>23</v>
      </c>
      <c r="I2411" s="7">
        <v>815.88</v>
      </c>
      <c r="J2411" s="6">
        <v>46030</v>
      </c>
      <c r="K2411">
        <f t="shared" si="37"/>
        <v>18765.240000000002</v>
      </c>
      <c r="L2411" t="str">
        <f>INDEX(Raw_Shipments!L2411:L4839,MATCH(A2411,Raw_Shipments!B2411:B4839))</f>
        <v>No</v>
      </c>
    </row>
    <row r="2412" spans="1:12" x14ac:dyDescent="0.3">
      <c r="A2412" s="2" t="s">
        <v>2561</v>
      </c>
      <c r="B2412" s="3">
        <v>46020</v>
      </c>
      <c r="C2412" s="2" t="s">
        <v>195</v>
      </c>
      <c r="D2412" s="2" t="s">
        <v>25</v>
      </c>
      <c r="E2412" s="2" t="s">
        <v>40</v>
      </c>
      <c r="F2412" s="2" t="s">
        <v>41</v>
      </c>
      <c r="G2412" s="2" t="s">
        <v>42</v>
      </c>
      <c r="H2412" s="2">
        <v>51</v>
      </c>
      <c r="I2412" s="4">
        <v>2445.11</v>
      </c>
      <c r="J2412" s="3">
        <v>46029</v>
      </c>
      <c r="K2412">
        <f t="shared" si="37"/>
        <v>124700.61</v>
      </c>
      <c r="L2412" t="str">
        <f>INDEX(Raw_Shipments!L2412:L4840,MATCH(A2412,Raw_Shipments!B2412:B4840))</f>
        <v>No</v>
      </c>
    </row>
    <row r="2413" spans="1:12" x14ac:dyDescent="0.3">
      <c r="A2413" s="5" t="s">
        <v>2562</v>
      </c>
      <c r="B2413" s="6">
        <v>46020</v>
      </c>
      <c r="C2413" s="5" t="s">
        <v>420</v>
      </c>
      <c r="D2413" s="5" t="s">
        <v>45</v>
      </c>
      <c r="E2413" s="5" t="s">
        <v>46</v>
      </c>
      <c r="F2413" s="5" t="s">
        <v>47</v>
      </c>
      <c r="G2413" s="5" t="s">
        <v>42</v>
      </c>
      <c r="H2413" s="5">
        <v>8</v>
      </c>
      <c r="I2413" s="7">
        <v>1833.14</v>
      </c>
      <c r="J2413" s="6">
        <v>46026</v>
      </c>
      <c r="K2413">
        <f t="shared" si="37"/>
        <v>14665.12</v>
      </c>
      <c r="L2413" t="str">
        <f>INDEX(Raw_Shipments!L2413:L4841,MATCH(A2413,Raw_Shipments!B2413:B4841))</f>
        <v>No</v>
      </c>
    </row>
    <row r="2414" spans="1:12" x14ac:dyDescent="0.3">
      <c r="A2414" s="2" t="s">
        <v>2563</v>
      </c>
      <c r="B2414" s="3">
        <v>46021</v>
      </c>
      <c r="C2414" s="2" t="s">
        <v>447</v>
      </c>
      <c r="D2414" s="2" t="s">
        <v>30</v>
      </c>
      <c r="E2414" s="2" t="s">
        <v>58</v>
      </c>
      <c r="F2414" s="2" t="s">
        <v>59</v>
      </c>
      <c r="G2414" s="2" t="s">
        <v>55</v>
      </c>
      <c r="H2414" s="2">
        <v>19</v>
      </c>
      <c r="I2414" s="4">
        <v>1695.1</v>
      </c>
      <c r="J2414" s="3">
        <v>46027</v>
      </c>
      <c r="K2414">
        <f t="shared" si="37"/>
        <v>32206.899999999998</v>
      </c>
      <c r="L2414" t="str">
        <f>INDEX(Raw_Shipments!L2414:L4842,MATCH(A2414,Raw_Shipments!B2414:B4842))</f>
        <v>No</v>
      </c>
    </row>
    <row r="2415" spans="1:12" x14ac:dyDescent="0.3">
      <c r="A2415" s="5" t="s">
        <v>2564</v>
      </c>
      <c r="B2415" s="6">
        <v>46021</v>
      </c>
      <c r="C2415" s="5" t="s">
        <v>220</v>
      </c>
      <c r="D2415" s="5" t="s">
        <v>14</v>
      </c>
      <c r="E2415" s="5" t="s">
        <v>15</v>
      </c>
      <c r="F2415" s="5" t="s">
        <v>16</v>
      </c>
      <c r="G2415" s="5" t="s">
        <v>17</v>
      </c>
      <c r="H2415" s="5">
        <v>13</v>
      </c>
      <c r="I2415" s="7">
        <v>183.06</v>
      </c>
      <c r="J2415" s="6">
        <v>46030</v>
      </c>
      <c r="K2415">
        <f t="shared" si="37"/>
        <v>2379.7800000000002</v>
      </c>
      <c r="L2415" t="str">
        <f>INDEX(Raw_Shipments!L2415:L4843,MATCH(A2415,Raw_Shipments!B2415:B4843))</f>
        <v>No</v>
      </c>
    </row>
    <row r="2416" spans="1:12" x14ac:dyDescent="0.3">
      <c r="A2416" s="2" t="s">
        <v>2565</v>
      </c>
      <c r="B2416" s="3">
        <v>46021</v>
      </c>
      <c r="C2416" s="2" t="s">
        <v>152</v>
      </c>
      <c r="D2416" s="2" t="s">
        <v>25</v>
      </c>
      <c r="E2416" s="2" t="s">
        <v>119</v>
      </c>
      <c r="F2416" s="2" t="s">
        <v>120</v>
      </c>
      <c r="G2416" s="2" t="s">
        <v>22</v>
      </c>
      <c r="H2416" s="2">
        <v>60</v>
      </c>
      <c r="I2416" s="4">
        <v>912.26</v>
      </c>
      <c r="J2416" s="3">
        <v>46027</v>
      </c>
      <c r="K2416">
        <f t="shared" si="37"/>
        <v>54735.6</v>
      </c>
      <c r="L2416" t="str">
        <f>INDEX(Raw_Shipments!L2416:L4844,MATCH(A2416,Raw_Shipments!B2416:B4844))</f>
        <v>Yes</v>
      </c>
    </row>
    <row r="2417" spans="1:12" x14ac:dyDescent="0.3">
      <c r="A2417" s="5" t="s">
        <v>2566</v>
      </c>
      <c r="B2417" s="6">
        <v>46021</v>
      </c>
      <c r="C2417" s="5" t="s">
        <v>363</v>
      </c>
      <c r="D2417" s="5" t="s">
        <v>45</v>
      </c>
      <c r="E2417" s="5" t="s">
        <v>31</v>
      </c>
      <c r="F2417" s="5" t="s">
        <v>32</v>
      </c>
      <c r="G2417" s="5" t="s">
        <v>33</v>
      </c>
      <c r="H2417" s="5">
        <v>35</v>
      </c>
      <c r="I2417" s="7">
        <v>689</v>
      </c>
      <c r="J2417" s="6">
        <v>46024</v>
      </c>
      <c r="K2417">
        <f t="shared" si="37"/>
        <v>24115</v>
      </c>
      <c r="L2417" t="str">
        <f>INDEX(Raw_Shipments!L2417:L4845,MATCH(A2417,Raw_Shipments!B2417:B4845))</f>
        <v>No</v>
      </c>
    </row>
    <row r="2418" spans="1:12" x14ac:dyDescent="0.3">
      <c r="A2418" s="2" t="s">
        <v>2567</v>
      </c>
      <c r="B2418" s="3">
        <v>46021</v>
      </c>
      <c r="C2418" s="2" t="s">
        <v>131</v>
      </c>
      <c r="D2418" s="2" t="s">
        <v>30</v>
      </c>
      <c r="E2418" s="2" t="s">
        <v>36</v>
      </c>
      <c r="F2418" s="2" t="s">
        <v>37</v>
      </c>
      <c r="G2418" s="2" t="s">
        <v>33</v>
      </c>
      <c r="H2418" s="2">
        <v>58</v>
      </c>
      <c r="I2418" s="4">
        <v>1064.79</v>
      </c>
      <c r="J2418" s="3">
        <v>46024</v>
      </c>
      <c r="K2418">
        <f t="shared" si="37"/>
        <v>61757.82</v>
      </c>
      <c r="L2418" t="str">
        <f>INDEX(Raw_Shipments!L2418:L4846,MATCH(A2418,Raw_Shipments!B2418:B4846))</f>
        <v>No</v>
      </c>
    </row>
    <row r="2419" spans="1:12" x14ac:dyDescent="0.3">
      <c r="A2419" s="5" t="s">
        <v>2568</v>
      </c>
      <c r="B2419" s="6">
        <v>46021</v>
      </c>
      <c r="C2419" s="5" t="s">
        <v>49</v>
      </c>
      <c r="D2419" s="5" t="s">
        <v>30</v>
      </c>
      <c r="E2419" s="5" t="s">
        <v>86</v>
      </c>
      <c r="F2419" s="5" t="s">
        <v>87</v>
      </c>
      <c r="G2419" s="5" t="s">
        <v>33</v>
      </c>
      <c r="H2419" s="5">
        <v>27</v>
      </c>
      <c r="I2419" s="7">
        <v>815.88</v>
      </c>
      <c r="J2419" s="6">
        <v>46025</v>
      </c>
      <c r="K2419">
        <f t="shared" si="37"/>
        <v>22028.76</v>
      </c>
      <c r="L2419" t="str">
        <f>INDEX(Raw_Shipments!L2419:L4847,MATCH(A2419,Raw_Shipments!B2419:B4847))</f>
        <v>No</v>
      </c>
    </row>
    <row r="2420" spans="1:12" x14ac:dyDescent="0.3">
      <c r="A2420" s="2" t="s">
        <v>2569</v>
      </c>
      <c r="B2420" s="3">
        <v>46021</v>
      </c>
      <c r="C2420" s="2" t="s">
        <v>93</v>
      </c>
      <c r="D2420" s="2" t="s">
        <v>45</v>
      </c>
      <c r="E2420" s="2" t="s">
        <v>46</v>
      </c>
      <c r="F2420" s="2" t="s">
        <v>47</v>
      </c>
      <c r="G2420" s="2" t="s">
        <v>42</v>
      </c>
      <c r="H2420" s="2">
        <v>8</v>
      </c>
      <c r="I2420" s="4">
        <v>1833.14</v>
      </c>
      <c r="J2420" s="3">
        <v>46024</v>
      </c>
      <c r="K2420">
        <f t="shared" si="37"/>
        <v>14665.12</v>
      </c>
      <c r="L2420" t="str">
        <f>INDEX(Raw_Shipments!L2420:L4848,MATCH(A2420,Raw_Shipments!B2420:B4848))</f>
        <v>No</v>
      </c>
    </row>
    <row r="2421" spans="1:12" x14ac:dyDescent="0.3">
      <c r="A2421" s="5" t="s">
        <v>2570</v>
      </c>
      <c r="B2421" s="6">
        <v>46022</v>
      </c>
      <c r="C2421" s="5" t="s">
        <v>117</v>
      </c>
      <c r="D2421" s="5" t="s">
        <v>30</v>
      </c>
      <c r="E2421" s="5" t="s">
        <v>53</v>
      </c>
      <c r="F2421" s="5" t="s">
        <v>54</v>
      </c>
      <c r="G2421" s="5" t="s">
        <v>55</v>
      </c>
      <c r="H2421" s="5">
        <v>55</v>
      </c>
      <c r="I2421" s="7">
        <v>2055.9</v>
      </c>
      <c r="J2421" s="6">
        <v>46029</v>
      </c>
      <c r="K2421">
        <f t="shared" si="37"/>
        <v>113074.5</v>
      </c>
      <c r="L2421" t="str">
        <f>INDEX(Raw_Shipments!L2421:L4849,MATCH(A2421,Raw_Shipments!B2421:B4849))</f>
        <v>No</v>
      </c>
    </row>
    <row r="2422" spans="1:12" x14ac:dyDescent="0.3">
      <c r="A2422" s="2" t="s">
        <v>2571</v>
      </c>
      <c r="B2422" s="3">
        <v>46022</v>
      </c>
      <c r="C2422" s="2" t="s">
        <v>93</v>
      </c>
      <c r="D2422" s="2" t="s">
        <v>14</v>
      </c>
      <c r="E2422" s="2" t="s">
        <v>62</v>
      </c>
      <c r="F2422" s="2" t="s">
        <v>63</v>
      </c>
      <c r="G2422" s="2" t="s">
        <v>55</v>
      </c>
      <c r="H2422" s="2">
        <v>63</v>
      </c>
      <c r="I2422" s="4">
        <v>2555.2199999999998</v>
      </c>
      <c r="J2422" s="3">
        <v>46026</v>
      </c>
      <c r="K2422">
        <f t="shared" si="37"/>
        <v>160978.85999999999</v>
      </c>
      <c r="L2422" t="str">
        <f>INDEX(Raw_Shipments!L2422:L4850,MATCH(A2422,Raw_Shipments!B2422:B4850))</f>
        <v>No</v>
      </c>
    </row>
    <row r="2423" spans="1:12" x14ac:dyDescent="0.3">
      <c r="A2423" s="5" t="s">
        <v>2572</v>
      </c>
      <c r="B2423" s="6">
        <v>46022</v>
      </c>
      <c r="C2423" s="5" t="s">
        <v>234</v>
      </c>
      <c r="D2423" s="5" t="s">
        <v>14</v>
      </c>
      <c r="E2423" s="5" t="s">
        <v>66</v>
      </c>
      <c r="F2423" s="5" t="s">
        <v>67</v>
      </c>
      <c r="G2423" s="5" t="s">
        <v>17</v>
      </c>
      <c r="H2423" s="5">
        <v>13</v>
      </c>
      <c r="I2423" s="7">
        <v>850.8</v>
      </c>
      <c r="J2423" s="6">
        <v>46029</v>
      </c>
      <c r="K2423">
        <f t="shared" si="37"/>
        <v>11060.4</v>
      </c>
      <c r="L2423" t="str">
        <f>INDEX(Raw_Shipments!L2423:L4851,MATCH(A2423,Raw_Shipments!B2423:B4851))</f>
        <v>No</v>
      </c>
    </row>
    <row r="2424" spans="1:12" x14ac:dyDescent="0.3">
      <c r="A2424" s="2" t="s">
        <v>2573</v>
      </c>
      <c r="B2424" s="3">
        <v>46022</v>
      </c>
      <c r="C2424" s="2" t="s">
        <v>198</v>
      </c>
      <c r="D2424" s="2" t="s">
        <v>25</v>
      </c>
      <c r="E2424" s="2" t="s">
        <v>20</v>
      </c>
      <c r="F2424" s="2" t="s">
        <v>21</v>
      </c>
      <c r="G2424" s="2" t="s">
        <v>22</v>
      </c>
      <c r="H2424" s="2">
        <v>23</v>
      </c>
      <c r="I2424" s="4">
        <v>2108.56</v>
      </c>
      <c r="J2424" s="3">
        <v>46028</v>
      </c>
      <c r="K2424">
        <f t="shared" si="37"/>
        <v>48496.88</v>
      </c>
      <c r="L2424" t="str">
        <f>INDEX(Raw_Shipments!L2424:L4852,MATCH(A2424,Raw_Shipments!B2424:B4852))</f>
        <v>No</v>
      </c>
    </row>
    <row r="2425" spans="1:12" x14ac:dyDescent="0.3">
      <c r="A2425" s="5" t="s">
        <v>2574</v>
      </c>
      <c r="B2425" s="6">
        <v>46022</v>
      </c>
      <c r="C2425" s="5" t="s">
        <v>191</v>
      </c>
      <c r="D2425" s="5" t="s">
        <v>25</v>
      </c>
      <c r="E2425" s="5" t="s">
        <v>119</v>
      </c>
      <c r="F2425" s="5" t="s">
        <v>120</v>
      </c>
      <c r="G2425" s="5" t="s">
        <v>22</v>
      </c>
      <c r="H2425" s="5">
        <v>23</v>
      </c>
      <c r="I2425" s="7">
        <v>912.26</v>
      </c>
      <c r="J2425" s="6">
        <v>46028</v>
      </c>
      <c r="K2425">
        <f t="shared" si="37"/>
        <v>20981.98</v>
      </c>
      <c r="L2425" t="str">
        <f>INDEX(Raw_Shipments!L2425:L4853,MATCH(A2425,Raw_Shipments!B2425:B4853))</f>
        <v>Yes</v>
      </c>
    </row>
    <row r="2426" spans="1:12" x14ac:dyDescent="0.3">
      <c r="A2426" s="2" t="s">
        <v>2575</v>
      </c>
      <c r="B2426" s="3">
        <v>46022</v>
      </c>
      <c r="C2426" s="2" t="s">
        <v>178</v>
      </c>
      <c r="D2426" s="2" t="s">
        <v>14</v>
      </c>
      <c r="E2426" s="2" t="s">
        <v>26</v>
      </c>
      <c r="F2426" s="2" t="s">
        <v>27</v>
      </c>
      <c r="G2426" s="2" t="s">
        <v>22</v>
      </c>
      <c r="H2426" s="2">
        <v>18</v>
      </c>
      <c r="I2426" s="4">
        <v>1646.8</v>
      </c>
      <c r="J2426" s="3">
        <v>46032</v>
      </c>
      <c r="K2426">
        <f t="shared" si="37"/>
        <v>29642.399999999998</v>
      </c>
      <c r="L2426" t="str">
        <f>INDEX(Raw_Shipments!L2426:L4854,MATCH(A2426,Raw_Shipments!B2426:B4854))</f>
        <v>Yes</v>
      </c>
    </row>
    <row r="2427" spans="1:12" x14ac:dyDescent="0.3">
      <c r="A2427" s="5" t="s">
        <v>2576</v>
      </c>
      <c r="B2427" s="6">
        <v>46022</v>
      </c>
      <c r="C2427" s="5" t="s">
        <v>447</v>
      </c>
      <c r="D2427" s="5" t="s">
        <v>45</v>
      </c>
      <c r="E2427" s="5" t="s">
        <v>31</v>
      </c>
      <c r="F2427" s="5" t="s">
        <v>32</v>
      </c>
      <c r="G2427" s="5" t="s">
        <v>33</v>
      </c>
      <c r="H2427" s="5">
        <v>11</v>
      </c>
      <c r="I2427" s="7">
        <v>689</v>
      </c>
      <c r="J2427" s="6">
        <v>46026</v>
      </c>
      <c r="K2427">
        <f t="shared" si="37"/>
        <v>7579</v>
      </c>
      <c r="L2427" t="str">
        <f>INDEX(Raw_Shipments!L2427:L4855,MATCH(A2427,Raw_Shipments!B2427:B4855))</f>
        <v>No</v>
      </c>
    </row>
    <row r="2428" spans="1:12" x14ac:dyDescent="0.3">
      <c r="A2428" s="2" t="s">
        <v>2577</v>
      </c>
      <c r="B2428" s="3">
        <v>46022</v>
      </c>
      <c r="C2428" s="2" t="s">
        <v>272</v>
      </c>
      <c r="D2428" s="2" t="s">
        <v>14</v>
      </c>
      <c r="E2428" s="2" t="s">
        <v>86</v>
      </c>
      <c r="F2428" s="2" t="s">
        <v>87</v>
      </c>
      <c r="G2428" s="2" t="s">
        <v>33</v>
      </c>
      <c r="H2428" s="2">
        <v>36</v>
      </c>
      <c r="I2428" s="4">
        <v>815.88</v>
      </c>
      <c r="J2428" s="3">
        <v>46025</v>
      </c>
      <c r="K2428">
        <f t="shared" si="37"/>
        <v>29371.68</v>
      </c>
      <c r="L2428" t="str">
        <f>INDEX(Raw_Shipments!L2428:L4856,MATCH(A2428,Raw_Shipments!B2428:B4856))</f>
        <v>No</v>
      </c>
    </row>
    <row r="2429" spans="1:12" x14ac:dyDescent="0.3">
      <c r="A2429" s="5" t="s">
        <v>2578</v>
      </c>
      <c r="B2429" s="6">
        <v>46022</v>
      </c>
      <c r="C2429" s="5" t="s">
        <v>595</v>
      </c>
      <c r="D2429" s="5" t="s">
        <v>14</v>
      </c>
      <c r="E2429" s="5" t="s">
        <v>40</v>
      </c>
      <c r="F2429" s="5" t="s">
        <v>41</v>
      </c>
      <c r="G2429" s="5" t="s">
        <v>42</v>
      </c>
      <c r="H2429" s="5">
        <v>25</v>
      </c>
      <c r="I2429" s="7">
        <v>2445.11</v>
      </c>
      <c r="J2429" s="6">
        <v>46028</v>
      </c>
      <c r="K2429">
        <f t="shared" si="37"/>
        <v>61127.75</v>
      </c>
      <c r="L2429" t="str">
        <f>INDEX(Raw_Shipments!L2429:L4857,MATCH(A2429,Raw_Shipments!B2429:B4857))</f>
        <v>No</v>
      </c>
    </row>
    <row r="2430" spans="1:12" x14ac:dyDescent="0.3">
      <c r="A2430" s="2" t="s">
        <v>2579</v>
      </c>
      <c r="B2430" s="3">
        <v>46022</v>
      </c>
      <c r="C2430" s="2" t="s">
        <v>24</v>
      </c>
      <c r="D2430" s="2" t="s">
        <v>45</v>
      </c>
      <c r="E2430" s="2" t="s">
        <v>46</v>
      </c>
      <c r="F2430" s="2" t="s">
        <v>47</v>
      </c>
      <c r="G2430" s="2" t="s">
        <v>42</v>
      </c>
      <c r="H2430" s="2">
        <v>10</v>
      </c>
      <c r="I2430" s="4">
        <v>1833.14</v>
      </c>
      <c r="J2430" s="3">
        <v>46027</v>
      </c>
      <c r="K2430">
        <f t="shared" si="37"/>
        <v>18331.400000000001</v>
      </c>
      <c r="L2430" t="str">
        <f>INDEX(Raw_Shipments!L2430:L4858,MATCH(A2430,Raw_Shipments!B2430:B4858))</f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Normal="100" workbookViewId="0">
      <pane ySplit="1" topLeftCell="A2" activePane="bottomLeft" state="frozen"/>
      <selection pane="bottomLeft" activeCell="H1" sqref="H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5" customWidth="1"/>
    <col min="4" max="4" width="12" customWidth="1"/>
    <col min="5" max="6" width="11" customWidth="1"/>
    <col min="7" max="8" width="12" customWidth="1"/>
    <col min="9" max="9" width="13" customWidth="1"/>
    <col min="10" max="10" width="14" customWidth="1"/>
  </cols>
  <sheetData>
    <row r="1" spans="1:12" ht="55.2" x14ac:dyDescent="0.3">
      <c r="A1" s="1" t="s">
        <v>5</v>
      </c>
      <c r="B1" s="1" t="s">
        <v>6</v>
      </c>
      <c r="C1" s="1" t="s">
        <v>7</v>
      </c>
      <c r="D1" s="1" t="s">
        <v>2580</v>
      </c>
      <c r="E1" s="1" t="s">
        <v>2581</v>
      </c>
      <c r="F1" s="1" t="s">
        <v>2582</v>
      </c>
      <c r="G1" s="1" t="s">
        <v>2583</v>
      </c>
      <c r="H1" s="1" t="s">
        <v>2584</v>
      </c>
      <c r="I1" s="1" t="s">
        <v>2585</v>
      </c>
      <c r="J1" s="1" t="s">
        <v>2586</v>
      </c>
      <c r="K1" s="13" t="s">
        <v>5090</v>
      </c>
      <c r="L1" s="13" t="s">
        <v>5091</v>
      </c>
    </row>
    <row r="2" spans="1:12" x14ac:dyDescent="0.3">
      <c r="A2" s="2" t="s">
        <v>53</v>
      </c>
      <c r="B2" s="53" t="s">
        <v>54</v>
      </c>
      <c r="C2" s="2" t="s">
        <v>55</v>
      </c>
      <c r="D2" s="2" t="s">
        <v>2587</v>
      </c>
      <c r="E2" s="4">
        <v>1283.44</v>
      </c>
      <c r="F2" s="4">
        <v>2055.9</v>
      </c>
      <c r="G2" s="2">
        <v>467</v>
      </c>
      <c r="H2" s="2">
        <v>7</v>
      </c>
      <c r="I2" s="8">
        <v>658</v>
      </c>
      <c r="J2" s="9">
        <v>0.19</v>
      </c>
      <c r="K2">
        <f>SUMIF(Raw_Orders!$E$2:$E$2430,A2,Raw_Orders!$H$2:$H$2430)</f>
        <v>5490</v>
      </c>
      <c r="L2" s="14">
        <f>K2/365</f>
        <v>15.04109589041096</v>
      </c>
    </row>
    <row r="3" spans="1:12" x14ac:dyDescent="0.3">
      <c r="A3" s="5" t="s">
        <v>58</v>
      </c>
      <c r="B3" s="5" t="s">
        <v>59</v>
      </c>
      <c r="C3" s="5" t="s">
        <v>55</v>
      </c>
      <c r="D3" s="5" t="s">
        <v>2587</v>
      </c>
      <c r="E3" s="7">
        <v>972.67</v>
      </c>
      <c r="F3" s="7">
        <v>1695.1</v>
      </c>
      <c r="G3" s="5">
        <v>126</v>
      </c>
      <c r="H3" s="5">
        <v>13</v>
      </c>
      <c r="I3" s="10">
        <v>1823</v>
      </c>
      <c r="J3" s="11">
        <v>0.27</v>
      </c>
      <c r="K3">
        <f>SUMIF(Raw_Orders!$E$2:$E$2430,A3,Raw_Orders!$H$2:$H$2430)</f>
        <v>3052</v>
      </c>
      <c r="L3" s="14">
        <f t="shared" ref="L3:L16" si="0">K3/365</f>
        <v>8.3616438356164391</v>
      </c>
    </row>
    <row r="4" spans="1:12" x14ac:dyDescent="0.3">
      <c r="A4" s="2" t="s">
        <v>62</v>
      </c>
      <c r="B4" s="2" t="s">
        <v>63</v>
      </c>
      <c r="C4" s="2" t="s">
        <v>55</v>
      </c>
      <c r="D4" s="2" t="s">
        <v>2588</v>
      </c>
      <c r="E4" s="4">
        <v>1479.01</v>
      </c>
      <c r="F4" s="4">
        <v>2555.2199999999998</v>
      </c>
      <c r="G4" s="2">
        <v>544</v>
      </c>
      <c r="H4" s="2">
        <v>7</v>
      </c>
      <c r="I4" s="8">
        <v>1771</v>
      </c>
      <c r="J4" s="9">
        <v>0.2</v>
      </c>
      <c r="K4">
        <f>SUMIF(Raw_Orders!$E$2:$E$2430,A4,Raw_Orders!$H$2:$H$2430)</f>
        <v>6135</v>
      </c>
      <c r="L4" s="14">
        <f t="shared" si="0"/>
        <v>16.80821917808219</v>
      </c>
    </row>
    <row r="5" spans="1:12" x14ac:dyDescent="0.3">
      <c r="A5" s="5" t="s">
        <v>66</v>
      </c>
      <c r="B5" s="5" t="s">
        <v>67</v>
      </c>
      <c r="C5" s="5" t="s">
        <v>17</v>
      </c>
      <c r="D5" s="5" t="s">
        <v>2589</v>
      </c>
      <c r="E5" s="7">
        <v>605.66</v>
      </c>
      <c r="F5" s="7">
        <v>850.8</v>
      </c>
      <c r="G5" s="5">
        <v>626</v>
      </c>
      <c r="H5" s="5">
        <v>5</v>
      </c>
      <c r="I5" s="10">
        <v>1958</v>
      </c>
      <c r="J5" s="11">
        <v>0.17</v>
      </c>
      <c r="K5">
        <f>SUMIF(Raw_Orders!$E$2:$E$2430,A5,Raw_Orders!$H$2:$H$2430)</f>
        <v>2195</v>
      </c>
      <c r="L5" s="14">
        <f t="shared" si="0"/>
        <v>6.0136986301369859</v>
      </c>
    </row>
    <row r="6" spans="1:12" x14ac:dyDescent="0.3">
      <c r="A6" s="2" t="s">
        <v>97</v>
      </c>
      <c r="B6" s="2" t="s">
        <v>98</v>
      </c>
      <c r="C6" s="2" t="s">
        <v>17</v>
      </c>
      <c r="D6" s="2" t="s">
        <v>2588</v>
      </c>
      <c r="E6" s="4">
        <v>618.83000000000004</v>
      </c>
      <c r="F6" s="4">
        <v>1110.6500000000001</v>
      </c>
      <c r="G6" s="2">
        <v>866</v>
      </c>
      <c r="H6" s="2">
        <v>5</v>
      </c>
      <c r="I6" s="8">
        <v>2052</v>
      </c>
      <c r="J6" s="9">
        <v>0.18</v>
      </c>
      <c r="K6">
        <f>SUMIF(Raw_Orders!$E$2:$E$2430,A6,Raw_Orders!$H$2:$H$2430)</f>
        <v>4713</v>
      </c>
      <c r="L6" s="14">
        <f t="shared" si="0"/>
        <v>12.912328767123288</v>
      </c>
    </row>
    <row r="7" spans="1:12" x14ac:dyDescent="0.3">
      <c r="A7" s="5" t="s">
        <v>15</v>
      </c>
      <c r="B7" s="5" t="s">
        <v>16</v>
      </c>
      <c r="C7" s="5" t="s">
        <v>17</v>
      </c>
      <c r="D7" s="5" t="s">
        <v>2588</v>
      </c>
      <c r="E7" s="7">
        <v>125.58</v>
      </c>
      <c r="F7" s="7">
        <v>183.06</v>
      </c>
      <c r="G7" s="5">
        <v>297</v>
      </c>
      <c r="H7" s="5">
        <v>5</v>
      </c>
      <c r="I7" s="10">
        <v>1811</v>
      </c>
      <c r="J7" s="11">
        <v>0.21</v>
      </c>
      <c r="K7">
        <f>SUMIF(Raw_Orders!$E$2:$E$2430,A7,Raw_Orders!$H$2:$H$2430)</f>
        <v>2298</v>
      </c>
      <c r="L7" s="14">
        <f t="shared" si="0"/>
        <v>6.2958904109589042</v>
      </c>
    </row>
    <row r="8" spans="1:12" x14ac:dyDescent="0.3">
      <c r="A8" s="2" t="s">
        <v>20</v>
      </c>
      <c r="B8" s="2" t="s">
        <v>21</v>
      </c>
      <c r="C8" s="2" t="s">
        <v>22</v>
      </c>
      <c r="D8" s="2" t="s">
        <v>2588</v>
      </c>
      <c r="E8" s="4">
        <v>1378.66</v>
      </c>
      <c r="F8" s="4">
        <v>2108.56</v>
      </c>
      <c r="G8" s="2">
        <v>844</v>
      </c>
      <c r="H8" s="2">
        <v>4</v>
      </c>
      <c r="I8" s="8">
        <v>1669</v>
      </c>
      <c r="J8" s="9">
        <v>0.28000000000000003</v>
      </c>
      <c r="K8">
        <f>SUMIF(Raw_Orders!$E$2:$E$2430,A8,Raw_Orders!$H$2:$H$2430)</f>
        <v>2349</v>
      </c>
      <c r="L8" s="14">
        <f t="shared" si="0"/>
        <v>6.4356164383561643</v>
      </c>
    </row>
    <row r="9" spans="1:12" x14ac:dyDescent="0.3">
      <c r="A9" s="5" t="s">
        <v>119</v>
      </c>
      <c r="B9" s="5" t="s">
        <v>120</v>
      </c>
      <c r="C9" s="5" t="s">
        <v>22</v>
      </c>
      <c r="D9" s="5" t="s">
        <v>2587</v>
      </c>
      <c r="E9" s="7">
        <v>647.15</v>
      </c>
      <c r="F9" s="7">
        <v>912.26</v>
      </c>
      <c r="G9" s="5">
        <v>853</v>
      </c>
      <c r="H9" s="5">
        <v>15</v>
      </c>
      <c r="I9" s="10">
        <v>594</v>
      </c>
      <c r="J9" s="11">
        <v>0.17</v>
      </c>
      <c r="K9">
        <f>SUMIF(Raw_Orders!$E$2:$E$2430,A9,Raw_Orders!$H$2:$H$2430)</f>
        <v>7188</v>
      </c>
      <c r="L9" s="14">
        <f t="shared" si="0"/>
        <v>19.693150684931506</v>
      </c>
    </row>
    <row r="10" spans="1:12" x14ac:dyDescent="0.3">
      <c r="A10" s="2" t="s">
        <v>26</v>
      </c>
      <c r="B10" s="2" t="s">
        <v>27</v>
      </c>
      <c r="C10" s="2" t="s">
        <v>22</v>
      </c>
      <c r="D10" s="2" t="s">
        <v>2590</v>
      </c>
      <c r="E10" s="4">
        <v>970.97</v>
      </c>
      <c r="F10" s="4">
        <v>1646.8</v>
      </c>
      <c r="G10" s="2">
        <v>470</v>
      </c>
      <c r="H10" s="2">
        <v>4</v>
      </c>
      <c r="I10" s="8">
        <v>1692</v>
      </c>
      <c r="J10" s="9">
        <v>0.22</v>
      </c>
      <c r="K10">
        <f>SUMIF(Raw_Orders!$E$2:$E$2430,A10,Raw_Orders!$H$2:$H$2430)</f>
        <v>3312</v>
      </c>
      <c r="L10" s="14">
        <f t="shared" si="0"/>
        <v>9.0739726027397261</v>
      </c>
    </row>
    <row r="11" spans="1:12" x14ac:dyDescent="0.3">
      <c r="A11" s="5" t="s">
        <v>31</v>
      </c>
      <c r="B11" s="5" t="s">
        <v>32</v>
      </c>
      <c r="C11" s="5" t="s">
        <v>33</v>
      </c>
      <c r="D11" s="5" t="s">
        <v>2588</v>
      </c>
      <c r="E11" s="7">
        <v>437.01</v>
      </c>
      <c r="F11" s="7">
        <v>689</v>
      </c>
      <c r="G11" s="5">
        <v>867</v>
      </c>
      <c r="H11" s="5">
        <v>6</v>
      </c>
      <c r="I11" s="10">
        <v>1782</v>
      </c>
      <c r="J11" s="11">
        <v>0.17</v>
      </c>
      <c r="K11">
        <f>SUMIF(Raw_Orders!$E$2:$E$2430,A11,Raw_Orders!$H$2:$H$2430)</f>
        <v>6537</v>
      </c>
      <c r="L11" s="14">
        <f t="shared" si="0"/>
        <v>17.909589041095892</v>
      </c>
    </row>
    <row r="12" spans="1:12" x14ac:dyDescent="0.3">
      <c r="A12" s="2" t="s">
        <v>36</v>
      </c>
      <c r="B12" s="2" t="s">
        <v>37</v>
      </c>
      <c r="C12" s="2" t="s">
        <v>33</v>
      </c>
      <c r="D12" s="2" t="s">
        <v>2589</v>
      </c>
      <c r="E12" s="4">
        <v>697.37</v>
      </c>
      <c r="F12" s="4">
        <v>1064.79</v>
      </c>
      <c r="G12" s="2">
        <v>599</v>
      </c>
      <c r="H12" s="2">
        <v>6</v>
      </c>
      <c r="I12" s="8">
        <v>2325</v>
      </c>
      <c r="J12" s="9">
        <v>0.28000000000000003</v>
      </c>
      <c r="K12">
        <f>SUMIF(Raw_Orders!$E$2:$E$2430,A12,Raw_Orders!$H$2:$H$2430)</f>
        <v>7087</v>
      </c>
      <c r="L12" s="14">
        <f t="shared" si="0"/>
        <v>19.416438356164385</v>
      </c>
    </row>
    <row r="13" spans="1:12" x14ac:dyDescent="0.3">
      <c r="A13" s="5" t="s">
        <v>86</v>
      </c>
      <c r="B13" s="5" t="s">
        <v>87</v>
      </c>
      <c r="C13" s="5" t="s">
        <v>33</v>
      </c>
      <c r="D13" s="5" t="s">
        <v>2588</v>
      </c>
      <c r="E13" s="7">
        <v>503.79</v>
      </c>
      <c r="F13" s="7">
        <v>815.88</v>
      </c>
      <c r="G13" s="5">
        <v>860</v>
      </c>
      <c r="H13" s="5">
        <v>6</v>
      </c>
      <c r="I13" s="10">
        <v>823</v>
      </c>
      <c r="J13" s="11">
        <v>0.28999999999999998</v>
      </c>
      <c r="K13">
        <f>SUMIF(Raw_Orders!$E$2:$E$2430,A13,Raw_Orders!$H$2:$H$2430)</f>
        <v>4365</v>
      </c>
      <c r="L13" s="14">
        <f t="shared" si="0"/>
        <v>11.95890410958904</v>
      </c>
    </row>
    <row r="14" spans="1:12" x14ac:dyDescent="0.3">
      <c r="A14" s="2" t="s">
        <v>40</v>
      </c>
      <c r="B14" s="2" t="s">
        <v>41</v>
      </c>
      <c r="C14" s="2" t="s">
        <v>42</v>
      </c>
      <c r="D14" s="2" t="s">
        <v>2587</v>
      </c>
      <c r="E14" s="4">
        <v>1389.86</v>
      </c>
      <c r="F14" s="4">
        <v>2445.11</v>
      </c>
      <c r="G14" s="2">
        <v>194</v>
      </c>
      <c r="H14" s="2">
        <v>13</v>
      </c>
      <c r="I14" s="8">
        <v>2358</v>
      </c>
      <c r="J14" s="9">
        <v>0.28000000000000003</v>
      </c>
      <c r="K14">
        <f>SUMIF(Raw_Orders!$E$2:$E$2430,A14,Raw_Orders!$H$2:$H$2430)</f>
        <v>4409</v>
      </c>
      <c r="L14" s="14">
        <f t="shared" si="0"/>
        <v>12.079452054794521</v>
      </c>
    </row>
    <row r="15" spans="1:12" x14ac:dyDescent="0.3">
      <c r="A15" s="5" t="s">
        <v>46</v>
      </c>
      <c r="B15" s="5" t="s">
        <v>47</v>
      </c>
      <c r="C15" s="5" t="s">
        <v>42</v>
      </c>
      <c r="D15" s="5" t="s">
        <v>2587</v>
      </c>
      <c r="E15" s="7">
        <v>1260.97</v>
      </c>
      <c r="F15" s="7">
        <v>1833.14</v>
      </c>
      <c r="G15" s="5">
        <v>829</v>
      </c>
      <c r="H15" s="5">
        <v>13</v>
      </c>
      <c r="I15" s="10">
        <v>1472</v>
      </c>
      <c r="J15" s="11">
        <v>0.16</v>
      </c>
      <c r="K15">
        <f>SUMIF(Raw_Orders!$E$2:$E$2430,A15,Raw_Orders!$H$2:$H$2430)</f>
        <v>1211</v>
      </c>
      <c r="L15" s="14">
        <f t="shared" si="0"/>
        <v>3.3178082191780822</v>
      </c>
    </row>
    <row r="16" spans="1:12" x14ac:dyDescent="0.3">
      <c r="A16" s="2" t="s">
        <v>50</v>
      </c>
      <c r="B16" s="2" t="s">
        <v>51</v>
      </c>
      <c r="C16" s="2" t="s">
        <v>42</v>
      </c>
      <c r="D16" s="2" t="s">
        <v>2589</v>
      </c>
      <c r="E16" s="4">
        <v>1160.06</v>
      </c>
      <c r="F16" s="4">
        <v>1952.28</v>
      </c>
      <c r="G16" s="2">
        <v>351</v>
      </c>
      <c r="H16" s="2">
        <v>13</v>
      </c>
      <c r="I16" s="8">
        <v>1555</v>
      </c>
      <c r="J16" s="9">
        <v>0.24</v>
      </c>
      <c r="K16">
        <f>SUMIF(Raw_Orders!$E$2:$E$2430,A16,Raw_Orders!$H$2:$H$2430)</f>
        <v>1459</v>
      </c>
      <c r="L16" s="14">
        <f t="shared" si="0"/>
        <v>3.9972602739726026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Normal="100" workbookViewId="0">
      <pane ySplit="1" topLeftCell="A2" activePane="bottomLeft" state="frozen"/>
      <selection pane="bottomLeft" activeCell="H16" sqref="H16"/>
    </sheetView>
  </sheetViews>
  <sheetFormatPr defaultColWidth="8.6640625" defaultRowHeight="14.4" x14ac:dyDescent="0.3"/>
  <cols>
    <col min="1" max="1" width="12" customWidth="1"/>
    <col min="2" max="2" width="26" customWidth="1"/>
    <col min="3" max="3" width="15" customWidth="1"/>
    <col min="4" max="4" width="12" customWidth="1"/>
    <col min="5" max="5" width="15" customWidth="1"/>
    <col min="6" max="6" width="12" customWidth="1"/>
    <col min="7" max="7" width="13" customWidth="1"/>
    <col min="8" max="8" width="11" customWidth="1"/>
    <col min="9" max="9" width="12" customWidth="1"/>
  </cols>
  <sheetData>
    <row r="1" spans="1:9" ht="27.6" x14ac:dyDescent="0.3">
      <c r="A1" s="1" t="s">
        <v>2591</v>
      </c>
      <c r="B1" s="1" t="s">
        <v>2592</v>
      </c>
      <c r="C1" s="1" t="s">
        <v>7</v>
      </c>
      <c r="D1" s="1" t="s">
        <v>2593</v>
      </c>
      <c r="E1" s="1" t="s">
        <v>2594</v>
      </c>
      <c r="F1" s="1" t="s">
        <v>2595</v>
      </c>
      <c r="G1" s="1" t="s">
        <v>2596</v>
      </c>
      <c r="H1" s="1" t="s">
        <v>2597</v>
      </c>
      <c r="I1" s="1" t="s">
        <v>5092</v>
      </c>
    </row>
    <row r="2" spans="1:9" x14ac:dyDescent="0.3">
      <c r="A2" s="2" t="s">
        <v>2598</v>
      </c>
      <c r="B2" s="2" t="s">
        <v>2599</v>
      </c>
      <c r="C2" s="2" t="s">
        <v>55</v>
      </c>
      <c r="D2" s="2" t="s">
        <v>2600</v>
      </c>
      <c r="E2" s="2">
        <v>13</v>
      </c>
      <c r="F2" s="9">
        <v>0.86</v>
      </c>
      <c r="G2" s="2">
        <v>4.5999999999999996</v>
      </c>
      <c r="H2" s="2">
        <v>0.95</v>
      </c>
      <c r="I2" s="9">
        <f>AVERAGEIFS(Raw_Shipments!M2:M2430,Raw_Shipments!C2:C2430,A2)</f>
        <v>0</v>
      </c>
    </row>
    <row r="3" spans="1:9" x14ac:dyDescent="0.3">
      <c r="A3" s="5" t="s">
        <v>2601</v>
      </c>
      <c r="B3" s="5" t="s">
        <v>2602</v>
      </c>
      <c r="C3" s="5" t="s">
        <v>17</v>
      </c>
      <c r="D3" s="5" t="s">
        <v>2603</v>
      </c>
      <c r="E3" s="5">
        <v>5</v>
      </c>
      <c r="F3" s="11">
        <v>0.94</v>
      </c>
      <c r="G3" s="5">
        <v>4.5</v>
      </c>
      <c r="H3" s="5">
        <v>1.21</v>
      </c>
      <c r="I3" s="11">
        <f>AVERAGEIFS(Raw_Shipments!M3:M2431,Raw_Shipments!C3:C2431,A3)</f>
        <v>0.45882352941176469</v>
      </c>
    </row>
    <row r="4" spans="1:9" x14ac:dyDescent="0.3">
      <c r="A4" s="2" t="s">
        <v>2604</v>
      </c>
      <c r="B4" s="2" t="s">
        <v>2605</v>
      </c>
      <c r="C4" s="2" t="s">
        <v>22</v>
      </c>
      <c r="D4" s="2" t="s">
        <v>2600</v>
      </c>
      <c r="E4" s="2">
        <v>4</v>
      </c>
      <c r="F4" s="9">
        <v>0.92</v>
      </c>
      <c r="G4" s="2">
        <v>3.5</v>
      </c>
      <c r="H4" s="2">
        <v>0.89</v>
      </c>
      <c r="I4" s="9">
        <f>AVERAGEIFS(Raw_Shipments!M4:M2432,Raw_Shipments!C4:C2432,A4)</f>
        <v>0.54545454545454541</v>
      </c>
    </row>
    <row r="5" spans="1:9" x14ac:dyDescent="0.3">
      <c r="A5" s="5" t="s">
        <v>2606</v>
      </c>
      <c r="B5" s="5" t="s">
        <v>2607</v>
      </c>
      <c r="C5" s="5" t="s">
        <v>33</v>
      </c>
      <c r="D5" s="5" t="s">
        <v>2600</v>
      </c>
      <c r="E5" s="5">
        <v>6</v>
      </c>
      <c r="F5" s="11">
        <v>0.91</v>
      </c>
      <c r="G5" s="5">
        <v>3.5</v>
      </c>
      <c r="H5" s="5">
        <v>0.93</v>
      </c>
      <c r="I5" s="11">
        <f>AVERAGEIFS(Raw_Shipments!M5:M2433,Raw_Shipments!C5:C2433,A5)</f>
        <v>0.34631147540983609</v>
      </c>
    </row>
    <row r="6" spans="1:9" x14ac:dyDescent="0.3">
      <c r="A6" s="2" t="s">
        <v>2608</v>
      </c>
      <c r="B6" s="2" t="s">
        <v>2609</v>
      </c>
      <c r="C6" s="2" t="s">
        <v>42</v>
      </c>
      <c r="D6" s="2" t="s">
        <v>2610</v>
      </c>
      <c r="E6" s="2">
        <v>13</v>
      </c>
      <c r="F6" s="9">
        <v>0.93</v>
      </c>
      <c r="G6" s="2">
        <v>4.0999999999999996</v>
      </c>
      <c r="H6" s="2">
        <v>1.03</v>
      </c>
      <c r="I6" s="9">
        <f>AVERAGEIFS(Raw_Shipments!M6:M2434,Raw_Shipments!C6:C2434,A6)</f>
        <v>0</v>
      </c>
    </row>
    <row r="7" spans="1:9" x14ac:dyDescent="0.3">
      <c r="A7" s="5" t="s">
        <v>2611</v>
      </c>
      <c r="B7" s="5" t="s">
        <v>2612</v>
      </c>
      <c r="C7" s="5" t="s">
        <v>55</v>
      </c>
      <c r="D7" s="5" t="s">
        <v>2613</v>
      </c>
      <c r="E7" s="5">
        <v>7</v>
      </c>
      <c r="F7" s="11">
        <v>0.95</v>
      </c>
      <c r="G7" s="5">
        <v>3.5</v>
      </c>
      <c r="H7" s="5">
        <v>1.17</v>
      </c>
      <c r="I7" s="11">
        <f>AVERAGEIFS(Raw_Shipments!M7:M2435,Raw_Shipments!C7:C2435,A7)</f>
        <v>0.24603174603174602</v>
      </c>
    </row>
    <row r="8" spans="1:9" x14ac:dyDescent="0.3">
      <c r="A8" s="2" t="s">
        <v>2614</v>
      </c>
      <c r="B8" s="2" t="s">
        <v>2615</v>
      </c>
      <c r="C8" s="2" t="s">
        <v>17</v>
      </c>
      <c r="D8" s="2" t="s">
        <v>2600</v>
      </c>
      <c r="E8" s="2">
        <v>14</v>
      </c>
      <c r="F8" s="9">
        <v>0.9</v>
      </c>
      <c r="G8" s="2">
        <v>3.9</v>
      </c>
      <c r="H8" s="2">
        <v>0.94</v>
      </c>
      <c r="I8" s="9">
        <f>AVERAGEIFS(Raw_Shipments!M8:M2436,Raw_Shipments!C8:C2436,A8)</f>
        <v>0</v>
      </c>
    </row>
    <row r="9" spans="1:9" x14ac:dyDescent="0.3">
      <c r="A9" s="5" t="s">
        <v>2616</v>
      </c>
      <c r="B9" s="5" t="s">
        <v>2617</v>
      </c>
      <c r="C9" s="5" t="s">
        <v>22</v>
      </c>
      <c r="D9" s="5" t="s">
        <v>2613</v>
      </c>
      <c r="E9" s="5">
        <v>15</v>
      </c>
      <c r="F9" s="11">
        <v>0.89</v>
      </c>
      <c r="G9" s="5">
        <v>3.6</v>
      </c>
      <c r="H9" s="5">
        <v>0.89</v>
      </c>
      <c r="I9" s="11">
        <f>AVERAGEIFS(Raw_Shipments!M9:M2437,Raw_Shipments!C9:C2437,A9)</f>
        <v>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5"/>
  <sheetViews>
    <sheetView showGridLines="0" zoomScaleNormal="100" workbookViewId="0">
      <selection activeCell="A7" sqref="A7"/>
    </sheetView>
  </sheetViews>
  <sheetFormatPr defaultRowHeight="14.4" x14ac:dyDescent="0.3"/>
  <cols>
    <col min="1" max="1" width="9.77734375" customWidth="1"/>
    <col min="2" max="2" width="11.88671875" bestFit="1" customWidth="1"/>
    <col min="3" max="4" width="9.44140625" customWidth="1"/>
    <col min="6" max="6" width="14.33203125" bestFit="1" customWidth="1"/>
    <col min="7" max="7" width="11.77734375" bestFit="1" customWidth="1"/>
    <col min="8" max="8" width="11.6640625" customWidth="1"/>
    <col min="9" max="9" width="18.33203125" bestFit="1" customWidth="1"/>
    <col min="10" max="10" width="16.77734375" bestFit="1" customWidth="1"/>
  </cols>
  <sheetData>
    <row r="1" spans="1:12" ht="28.2" x14ac:dyDescent="0.5">
      <c r="A1" s="33" t="s">
        <v>5060</v>
      </c>
      <c r="B1" s="33"/>
      <c r="C1" s="33"/>
      <c r="D1" s="33"/>
      <c r="E1" s="33"/>
      <c r="F1" s="33"/>
      <c r="G1" s="33"/>
      <c r="H1" s="37"/>
      <c r="I1" s="17"/>
    </row>
    <row r="2" spans="1:12" x14ac:dyDescent="0.3">
      <c r="A2" s="34" t="s">
        <v>5093</v>
      </c>
      <c r="B2" s="35"/>
      <c r="C2" s="35"/>
      <c r="D2" s="35"/>
      <c r="E2" s="35"/>
      <c r="F2" s="35"/>
      <c r="G2" s="35"/>
      <c r="H2" s="36"/>
      <c r="I2" s="17"/>
    </row>
    <row r="3" spans="1:12" x14ac:dyDescent="0.3">
      <c r="I3" s="17"/>
      <c r="J3" s="17"/>
      <c r="K3" s="17"/>
      <c r="L3" s="17"/>
    </row>
    <row r="4" spans="1:12" ht="25.8" x14ac:dyDescent="0.5">
      <c r="A4" s="90" t="s">
        <v>5094</v>
      </c>
      <c r="B4" s="90"/>
      <c r="C4" s="90"/>
      <c r="D4" s="90"/>
      <c r="E4" s="90"/>
      <c r="F4" s="90"/>
      <c r="G4" s="90"/>
      <c r="H4" s="90"/>
      <c r="I4" s="17"/>
      <c r="J4" s="17"/>
      <c r="K4" s="17"/>
      <c r="L4" s="17"/>
    </row>
    <row r="5" spans="1:12" x14ac:dyDescent="0.3">
      <c r="A5" s="38">
        <f>COUNTA(Raw_Orders!A2:A2430)</f>
        <v>2429</v>
      </c>
      <c r="B5" s="39"/>
      <c r="C5" s="38">
        <f>SUM(Raw_Orders!K2:K2430)</f>
        <v>88084091.1300001</v>
      </c>
      <c r="D5" s="39"/>
      <c r="E5" s="38">
        <f>AVERAGE(Raw_Orders!K2:K2430)</f>
        <v>36263.520432276695</v>
      </c>
      <c r="F5" s="39"/>
      <c r="G5" s="40">
        <f>COUNTIF(Raw_Shipments!J2:J2430,"Yes")/COUNTA(Raw_Shipments!J2:J2430)</f>
        <v>0.23260601070399342</v>
      </c>
      <c r="H5" s="41"/>
      <c r="I5" s="17"/>
      <c r="J5" s="17"/>
      <c r="K5" s="17"/>
      <c r="L5" s="17"/>
    </row>
    <row r="6" spans="1:12" x14ac:dyDescent="0.3">
      <c r="A6" s="42" t="s">
        <v>5061</v>
      </c>
      <c r="B6" s="43"/>
      <c r="C6" s="42" t="s">
        <v>5095</v>
      </c>
      <c r="D6" s="44"/>
      <c r="E6" s="42" t="s">
        <v>5096</v>
      </c>
      <c r="F6" s="43"/>
      <c r="G6" s="42" t="s">
        <v>5097</v>
      </c>
      <c r="H6" s="43"/>
      <c r="I6" s="17"/>
      <c r="J6" s="17"/>
      <c r="K6" s="17"/>
      <c r="L6" s="17"/>
    </row>
    <row r="7" spans="1:12" x14ac:dyDescent="0.3">
      <c r="I7" s="17"/>
      <c r="J7" s="17"/>
      <c r="K7" s="17"/>
      <c r="L7" s="17"/>
    </row>
    <row r="8" spans="1:12" x14ac:dyDescent="0.3">
      <c r="A8" s="47">
        <f>COUNTIF(Raw_Shipments!K2:K2430,"Yes")/COUNTA(Raw_Shipments!K2:K2430)</f>
        <v>0.81556195965417866</v>
      </c>
      <c r="B8" s="47"/>
      <c r="C8" s="47">
        <f>COUNTIF(Raw_Shipments!L2:L2430,"Yes")/COUNTA(Raw_Shipments!L2:L2430)</f>
        <v>0.1955537258130918</v>
      </c>
      <c r="D8" s="47"/>
      <c r="E8" s="47">
        <f>COUNTIF(Raw_Shipments!M2:M2430,1)/COUNTA(Raw_Shipments!M2:M2430)</f>
        <v>0.1955537258130918</v>
      </c>
      <c r="F8" s="47"/>
      <c r="G8" s="48">
        <f>AVERAGE(Raw_Shipments!F2:F2430-Raw_Shipments!D2:D2430)</f>
        <v>13</v>
      </c>
      <c r="H8" s="48"/>
      <c r="I8" s="17"/>
      <c r="J8" s="17"/>
      <c r="K8" s="17"/>
      <c r="L8" s="17"/>
    </row>
    <row r="9" spans="1:12" x14ac:dyDescent="0.3">
      <c r="A9" s="45" t="s">
        <v>5062</v>
      </c>
      <c r="B9" s="46"/>
      <c r="C9" s="45" t="s">
        <v>5098</v>
      </c>
      <c r="D9" s="45"/>
      <c r="E9" s="45" t="s">
        <v>5063</v>
      </c>
      <c r="F9" s="45"/>
      <c r="G9" s="45" t="s">
        <v>5099</v>
      </c>
      <c r="H9" s="45"/>
      <c r="I9" s="17"/>
      <c r="J9" s="17"/>
      <c r="K9" s="17"/>
      <c r="L9" s="17"/>
    </row>
    <row r="10" spans="1:12" x14ac:dyDescent="0.3">
      <c r="A10" s="87"/>
      <c r="B10" s="88"/>
      <c r="C10" s="87"/>
      <c r="D10" s="87"/>
      <c r="E10" s="87"/>
      <c r="F10" s="87"/>
      <c r="G10" s="87"/>
      <c r="H10" s="87"/>
      <c r="I10" s="17"/>
      <c r="J10" s="17"/>
      <c r="K10" s="17"/>
      <c r="L10" s="17"/>
    </row>
    <row r="11" spans="1:12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25.8" x14ac:dyDescent="0.5">
      <c r="A12" s="91" t="s">
        <v>5065</v>
      </c>
      <c r="B12" s="91"/>
      <c r="C12" s="91"/>
      <c r="D12" s="91"/>
      <c r="E12" s="91"/>
      <c r="F12" s="91"/>
      <c r="G12" s="91"/>
      <c r="H12" s="91"/>
      <c r="I12" s="17"/>
      <c r="J12" s="17"/>
      <c r="K12" s="17"/>
      <c r="L12" s="17"/>
    </row>
    <row r="13" spans="1:12" x14ac:dyDescent="0.3">
      <c r="A13" s="92" t="s">
        <v>5066</v>
      </c>
      <c r="B13" s="92"/>
      <c r="C13" s="92"/>
      <c r="D13" s="92"/>
      <c r="E13" s="92"/>
      <c r="F13" s="92" t="s">
        <v>5067</v>
      </c>
      <c r="G13" s="92"/>
      <c r="H13" s="92"/>
      <c r="I13" s="17"/>
      <c r="J13" s="17"/>
      <c r="K13" s="17"/>
      <c r="L13" s="17"/>
    </row>
    <row r="14" spans="1:12" x14ac:dyDescent="0.3">
      <c r="A14" s="95" t="s">
        <v>5105</v>
      </c>
      <c r="B14" s="95"/>
      <c r="C14" s="95"/>
      <c r="D14" s="95"/>
      <c r="E14" s="95"/>
      <c r="F14" s="96">
        <f>SUMPRODUCT(Raw_Inventory!E2:E16,Raw_Inventory!G2:G16)</f>
        <v>7602845.1599999992</v>
      </c>
      <c r="G14" s="96"/>
      <c r="H14" s="96"/>
      <c r="I14" s="89"/>
      <c r="J14" s="89"/>
    </row>
    <row r="15" spans="1:12" x14ac:dyDescent="0.3">
      <c r="A15" s="93" t="s">
        <v>5106</v>
      </c>
      <c r="B15" s="93"/>
      <c r="C15" s="93"/>
      <c r="D15" s="93"/>
      <c r="E15" s="93"/>
      <c r="F15" s="94">
        <f>SUMPRODUCT(Raw_Inventory!K2:K16,Raw_Inventory!E2:E16)</f>
        <v>54074486.159999996</v>
      </c>
      <c r="G15" s="94"/>
      <c r="H15" s="94"/>
      <c r="I15" s="89"/>
      <c r="J15" s="89"/>
    </row>
    <row r="16" spans="1:12" x14ac:dyDescent="0.3">
      <c r="A16" s="93" t="s">
        <v>5107</v>
      </c>
      <c r="B16" s="93"/>
      <c r="C16" s="93"/>
      <c r="D16" s="93"/>
      <c r="E16" s="93"/>
      <c r="F16" s="94">
        <f>F15/F14</f>
        <v>7.1124013473924279</v>
      </c>
      <c r="G16" s="94"/>
      <c r="H16" s="94"/>
      <c r="I16" s="89"/>
      <c r="J16" s="89"/>
    </row>
    <row r="17" spans="1:10" x14ac:dyDescent="0.3">
      <c r="A17" s="97" t="s">
        <v>5145</v>
      </c>
      <c r="B17" s="97"/>
      <c r="C17" s="97"/>
      <c r="D17" s="97"/>
      <c r="E17" s="97"/>
      <c r="F17" s="98">
        <f>365/F16</f>
        <v>51.318813741271434</v>
      </c>
      <c r="G17" s="98"/>
      <c r="H17" s="98"/>
      <c r="I17" s="89"/>
      <c r="J17" s="89"/>
    </row>
    <row r="19" spans="1:10" x14ac:dyDescent="0.3">
      <c r="A19" s="32" t="s">
        <v>5100</v>
      </c>
      <c r="B19" s="32"/>
      <c r="C19" s="32"/>
      <c r="D19" s="32"/>
      <c r="E19" s="31"/>
      <c r="F19" s="32" t="s">
        <v>5104</v>
      </c>
      <c r="G19" s="32"/>
      <c r="H19" s="32"/>
    </row>
    <row r="20" spans="1:10" ht="28.8" x14ac:dyDescent="0.3">
      <c r="A20" s="22" t="s">
        <v>4</v>
      </c>
      <c r="B20" s="23" t="s">
        <v>5101</v>
      </c>
      <c r="C20" s="24" t="s">
        <v>5102</v>
      </c>
      <c r="D20" s="25" t="s">
        <v>5103</v>
      </c>
      <c r="F20" s="29" t="s">
        <v>7</v>
      </c>
      <c r="G20" s="30" t="s">
        <v>5101</v>
      </c>
      <c r="H20" s="30" t="s">
        <v>5064</v>
      </c>
    </row>
    <row r="21" spans="1:10" x14ac:dyDescent="0.3">
      <c r="A21" s="19" t="s">
        <v>45</v>
      </c>
      <c r="B21" s="26">
        <f>SUMIF(Raw_Orders!$D$2:$D$2430,Table5[[#This Row],[Column1]],Raw_Orders!$K$2:$K$2430)</f>
        <v>20973830.069999993</v>
      </c>
      <c r="C21" s="18">
        <f>COUNTIF(Raw_Orders!$D$2:$D$2430,Table5[[#This Row],[Column1]])</f>
        <v>576</v>
      </c>
      <c r="D21" s="20">
        <f>AVERAGEIF(Raw_Orders!$D$2:$D$2430,Table5[[#This Row],[Column1]],Raw_Orders!$K$2:$K$2430)</f>
        <v>36412.899427083321</v>
      </c>
      <c r="F21" s="51" t="s">
        <v>17</v>
      </c>
      <c r="G21" s="27">
        <f>SUMIF(Raw_Orders!$G$2:$G$2430,'KPI Dashboard '!F21,Raw_Orders!$K$2:$K$2430)</f>
        <v>7522671.3299999945</v>
      </c>
      <c r="H21" s="51">
        <f>COUNTIF(Raw_Orders!G2:G2430,'KPI Dashboard '!F21)</f>
        <v>473</v>
      </c>
    </row>
    <row r="22" spans="1:10" x14ac:dyDescent="0.3">
      <c r="A22" s="19" t="s">
        <v>14</v>
      </c>
      <c r="B22" s="26">
        <f>SUMIF(Raw_Orders!$D$2:$D$2430,Table5[[#This Row],[Column1]],Raw_Orders!$K$2:$K$2430)</f>
        <v>23181775.050000023</v>
      </c>
      <c r="C22" s="18">
        <f>COUNTIF(Raw_Orders!$D$2:$D$2430,Table5[[#This Row],[Column1]])</f>
        <v>643</v>
      </c>
      <c r="D22" s="20">
        <f>AVERAGEIF(Raw_Orders!$D$2:$D$2430,Table5[[#This Row],[Column1]],Raw_Orders!$K$2:$K$2430)</f>
        <v>36052.52729393472</v>
      </c>
      <c r="F22" s="52" t="s">
        <v>55</v>
      </c>
      <c r="G22" s="27">
        <f>SUMIF(Raw_Orders!$G$2:$G$2430,'KPI Dashboard '!F22,Raw_Orders!$K$2:$K$2430)</f>
        <v>32136610.899999987</v>
      </c>
      <c r="H22" s="51">
        <f>COUNTIF(Raw_Orders!G3:G2431,'KPI Dashboard '!F22)</f>
        <v>478</v>
      </c>
    </row>
    <row r="23" spans="1:10" x14ac:dyDescent="0.3">
      <c r="A23" s="19" t="s">
        <v>25</v>
      </c>
      <c r="B23" s="26">
        <f>SUMIF(Raw_Orders!$D$2:$D$2430,Table5[[#This Row],[Column1]],Raw_Orders!$K$2:$K$2430)</f>
        <v>20960331.63000001</v>
      </c>
      <c r="C23" s="18">
        <f>COUNTIF(Raw_Orders!$D$2:$D$2430,Table5[[#This Row],[Column1]])</f>
        <v>595</v>
      </c>
      <c r="D23" s="20">
        <f>AVERAGEIF(Raw_Orders!$D$2:$D$2430,Table5[[#This Row],[Column1]],Raw_Orders!$K$2:$K$2430)</f>
        <v>35227.448117647073</v>
      </c>
      <c r="F23" s="51" t="s">
        <v>33</v>
      </c>
      <c r="G23" s="27">
        <f>SUMIF(Raw_Orders!$G$2:$G$2430,'KPI Dashboard '!F23,Raw_Orders!$K$2:$K$2430)</f>
        <v>15611475.930000011</v>
      </c>
      <c r="H23" s="51">
        <f>COUNTIF(Raw_Orders!G4:G2432,'KPI Dashboard '!F23)</f>
        <v>488</v>
      </c>
    </row>
    <row r="24" spans="1:10" x14ac:dyDescent="0.3">
      <c r="A24" s="21" t="s">
        <v>30</v>
      </c>
      <c r="B24" s="26">
        <f>SUMIF(Raw_Orders!$D$2:$D$2430,Table5[[#This Row],[Column1]],Raw_Orders!$K$2:$K$2430)</f>
        <v>22968154.379999999</v>
      </c>
      <c r="C24" s="18">
        <f>COUNTIF(Raw_Orders!$D$2:$D$2430,Table5[[#This Row],[Column1]])</f>
        <v>615</v>
      </c>
      <c r="D24" s="20">
        <f>AVERAGEIF(Raw_Orders!$D$2:$D$2430,Table5[[#This Row],[Column1]],Raw_Orders!$K$2:$K$2430)</f>
        <v>37346.592487804875</v>
      </c>
      <c r="F24" s="52" t="s">
        <v>22</v>
      </c>
      <c r="G24" s="27">
        <f>SUMIF(Raw_Orders!$G$2:$G$2430,'KPI Dashboard '!F24,Raw_Orders!$K$2:$K$2430)</f>
        <v>16964533.92000002</v>
      </c>
      <c r="H24" s="51">
        <f>COUNTIF(Raw_Orders!G5:G2433,'KPI Dashboard '!F24)</f>
        <v>487</v>
      </c>
    </row>
    <row r="25" spans="1:10" x14ac:dyDescent="0.3">
      <c r="F25" s="51" t="s">
        <v>42</v>
      </c>
      <c r="G25" s="27">
        <f>SUMIF(Raw_Orders!$G$2:$G$2430,'KPI Dashboard '!F25,Raw_Orders!$K$2:$K$2430)</f>
        <v>15848799.049999986</v>
      </c>
      <c r="H25" s="51">
        <f>COUNTIF(Raw_Orders!G6:G2434,'KPI Dashboard '!F25)</f>
        <v>501</v>
      </c>
    </row>
  </sheetData>
  <mergeCells count="30">
    <mergeCell ref="F14:H14"/>
    <mergeCell ref="F15:H15"/>
    <mergeCell ref="F16:H16"/>
    <mergeCell ref="F17:H17"/>
    <mergeCell ref="F13:H13"/>
    <mergeCell ref="A17:E17"/>
    <mergeCell ref="A16:E16"/>
    <mergeCell ref="A15:E15"/>
    <mergeCell ref="A14:E14"/>
    <mergeCell ref="A13:E13"/>
    <mergeCell ref="A12:H12"/>
    <mergeCell ref="A19:D19"/>
    <mergeCell ref="F19:H19"/>
    <mergeCell ref="G6:H6"/>
    <mergeCell ref="A4:H4"/>
    <mergeCell ref="A8:B8"/>
    <mergeCell ref="A9:B9"/>
    <mergeCell ref="C8:D8"/>
    <mergeCell ref="C9:D9"/>
    <mergeCell ref="E8:F8"/>
    <mergeCell ref="E9:F9"/>
    <mergeCell ref="G9:H9"/>
    <mergeCell ref="G8:H8"/>
    <mergeCell ref="A5:B5"/>
    <mergeCell ref="A6:B6"/>
    <mergeCell ref="C5:D5"/>
    <mergeCell ref="C6:D6"/>
    <mergeCell ref="E5:F5"/>
    <mergeCell ref="E6:F6"/>
    <mergeCell ref="G5:H5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GridLines="0" zoomScaleNormal="100" workbookViewId="0">
      <selection activeCell="A13" sqref="A13"/>
    </sheetView>
  </sheetViews>
  <sheetFormatPr defaultRowHeight="14.4" x14ac:dyDescent="0.3"/>
  <cols>
    <col min="1" max="1" width="6.88671875" customWidth="1"/>
    <col min="2" max="2" width="16.109375" bestFit="1" customWidth="1"/>
    <col min="3" max="3" width="15.6640625" customWidth="1"/>
    <col min="4" max="4" width="11.21875" style="54" customWidth="1"/>
    <col min="5" max="5" width="15.88671875" customWidth="1"/>
    <col min="6" max="6" width="19.88671875" customWidth="1"/>
    <col min="7" max="7" width="13.88671875" customWidth="1"/>
    <col min="8" max="8" width="10.77734375" style="28" customWidth="1"/>
  </cols>
  <sheetData>
    <row r="1" spans="1:8" ht="25.8" x14ac:dyDescent="0.5">
      <c r="A1" s="67" t="s">
        <v>5068</v>
      </c>
      <c r="B1" s="67"/>
      <c r="C1" s="67"/>
      <c r="D1" s="67"/>
      <c r="E1" s="67"/>
    </row>
    <row r="2" spans="1:8" x14ac:dyDescent="0.3">
      <c r="A2" s="84" t="s">
        <v>5115</v>
      </c>
      <c r="B2" s="84"/>
      <c r="C2" s="84"/>
      <c r="D2" s="84"/>
      <c r="E2" s="84"/>
      <c r="F2" s="84"/>
      <c r="G2" s="84"/>
      <c r="H2" s="66"/>
    </row>
    <row r="3" spans="1:8" x14ac:dyDescent="0.3">
      <c r="A3" s="64"/>
      <c r="B3" s="64"/>
      <c r="C3" s="64"/>
      <c r="D3" s="64"/>
      <c r="E3" s="64"/>
      <c r="F3" s="65"/>
      <c r="G3" s="65"/>
      <c r="H3" s="66"/>
    </row>
    <row r="4" spans="1:8" x14ac:dyDescent="0.3">
      <c r="A4" s="60" t="s">
        <v>5069</v>
      </c>
      <c r="B4" s="60" t="s">
        <v>5108</v>
      </c>
      <c r="C4" s="60" t="s">
        <v>5109</v>
      </c>
      <c r="D4" s="61" t="s">
        <v>5110</v>
      </c>
      <c r="E4" s="61" t="s">
        <v>5111</v>
      </c>
      <c r="F4" s="61" t="s">
        <v>5112</v>
      </c>
      <c r="G4" s="61" t="s">
        <v>5113</v>
      </c>
      <c r="H4" s="62" t="s">
        <v>5114</v>
      </c>
    </row>
    <row r="5" spans="1:8" x14ac:dyDescent="0.3">
      <c r="A5">
        <v>1</v>
      </c>
      <c r="B5" t="str">
        <f>Raw_Inventory!B4</f>
        <v>USB-C Charger</v>
      </c>
      <c r="C5" s="50">
        <f>Raw_Inventory!K4</f>
        <v>6135</v>
      </c>
      <c r="D5" s="55">
        <f>Raw_Inventory!F4</f>
        <v>2555.2199999999998</v>
      </c>
      <c r="E5" s="50">
        <f>C5*D5</f>
        <v>15676274.699999999</v>
      </c>
      <c r="F5" s="50">
        <f>SUM($E$5:E5)</f>
        <v>15676274.699999999</v>
      </c>
      <c r="G5" s="56">
        <f>F5/SUM($E$5:$E$19)</f>
        <v>0.17796942102591459</v>
      </c>
      <c r="H5" s="57" t="str">
        <f>IF(G5&lt;=0.8,"A",IF(G5&lt;=0.95,"B","C"))</f>
        <v>A</v>
      </c>
    </row>
    <row r="6" spans="1:8" x14ac:dyDescent="0.3">
      <c r="A6">
        <v>2</v>
      </c>
      <c r="B6" t="str">
        <f>Raw_Inventory!B2</f>
        <v>Wireless Mouse</v>
      </c>
      <c r="C6" s="50">
        <f>Raw_Inventory!K2</f>
        <v>5490</v>
      </c>
      <c r="D6" s="55">
        <f>Raw_Inventory!F2</f>
        <v>2055.9</v>
      </c>
      <c r="E6" s="50">
        <f>C6*D6</f>
        <v>11286891</v>
      </c>
      <c r="F6" s="50">
        <f>SUM($E$5:E6)</f>
        <v>26963165.699999999</v>
      </c>
      <c r="G6" s="56">
        <f t="shared" ref="G6:G19" si="0">F6/SUM($E$5:$E$19)</f>
        <v>0.30610710009150321</v>
      </c>
      <c r="H6" s="57" t="str">
        <f t="shared" ref="H6:H19" si="1">IF(G6&lt;=0.8,"A",IF(G6&lt;=0.95,"B","C"))</f>
        <v>A</v>
      </c>
    </row>
    <row r="7" spans="1:8" x14ac:dyDescent="0.3">
      <c r="A7">
        <v>3</v>
      </c>
      <c r="B7" t="str">
        <f>Raw_Inventory!B14</f>
        <v>Yoga Mat</v>
      </c>
      <c r="C7" s="50">
        <f>Raw_Inventory!K14</f>
        <v>4409</v>
      </c>
      <c r="D7" s="55">
        <f>Raw_Inventory!F14</f>
        <v>2445.11</v>
      </c>
      <c r="E7" s="50">
        <f>C7*D7</f>
        <v>10780489.99</v>
      </c>
      <c r="F7" s="50">
        <f>SUM($E$5:E7)</f>
        <v>37743655.689999998</v>
      </c>
      <c r="G7" s="56">
        <f t="shared" si="0"/>
        <v>0.4284957159210005</v>
      </c>
      <c r="H7" s="57" t="str">
        <f t="shared" si="1"/>
        <v>A</v>
      </c>
    </row>
    <row r="8" spans="1:8" x14ac:dyDescent="0.3">
      <c r="A8">
        <v>4</v>
      </c>
      <c r="B8" t="str">
        <f>Raw_Inventory!B12</f>
        <v>Cooking Oil 1L</v>
      </c>
      <c r="C8" s="50">
        <f>Raw_Inventory!K12</f>
        <v>7087</v>
      </c>
      <c r="D8" s="55">
        <f>Raw_Inventory!F12</f>
        <v>1064.79</v>
      </c>
      <c r="E8" s="50">
        <f>C8*D8</f>
        <v>7546166.7299999995</v>
      </c>
      <c r="F8" s="50">
        <f>SUM($E$5:E8)</f>
        <v>45289822.419999994</v>
      </c>
      <c r="G8" s="56">
        <f t="shared" si="0"/>
        <v>0.51416574592520292</v>
      </c>
      <c r="H8" s="57" t="str">
        <f t="shared" si="1"/>
        <v>A</v>
      </c>
    </row>
    <row r="9" spans="1:8" x14ac:dyDescent="0.3">
      <c r="A9">
        <v>5</v>
      </c>
      <c r="B9" t="str">
        <f>Raw_Inventory!B9</f>
        <v>Air Fryer</v>
      </c>
      <c r="C9" s="50">
        <f>Raw_Inventory!K9</f>
        <v>7188</v>
      </c>
      <c r="D9" s="55">
        <f>Raw_Inventory!F9</f>
        <v>912.26</v>
      </c>
      <c r="E9" s="50">
        <f>C9*D9</f>
        <v>6557324.8799999999</v>
      </c>
      <c r="F9" s="50">
        <f>SUM($E$5:E9)</f>
        <v>51847147.299999997</v>
      </c>
      <c r="G9" s="56">
        <f t="shared" si="0"/>
        <v>0.58860966418420257</v>
      </c>
      <c r="H9" s="57" t="str">
        <f t="shared" si="1"/>
        <v>A</v>
      </c>
    </row>
    <row r="10" spans="1:8" x14ac:dyDescent="0.3">
      <c r="A10">
        <v>6</v>
      </c>
      <c r="B10" t="str">
        <f>Raw_Inventory!B10</f>
        <v>LED Lamp</v>
      </c>
      <c r="C10" s="50">
        <f>Raw_Inventory!K10</f>
        <v>3312</v>
      </c>
      <c r="D10" s="55">
        <f>Raw_Inventory!F10</f>
        <v>1646.8</v>
      </c>
      <c r="E10" s="50">
        <f>C10*D10</f>
        <v>5454201.5999999996</v>
      </c>
      <c r="F10" s="50">
        <f>SUM($E$5:E10)</f>
        <v>57301348.899999999</v>
      </c>
      <c r="G10" s="56">
        <f t="shared" si="0"/>
        <v>0.65053005786744278</v>
      </c>
      <c r="H10" s="57" t="str">
        <f t="shared" si="1"/>
        <v>A</v>
      </c>
    </row>
    <row r="11" spans="1:8" x14ac:dyDescent="0.3">
      <c r="A11">
        <v>7</v>
      </c>
      <c r="B11" t="str">
        <f>Raw_Inventory!B6</f>
        <v>Denim Jacket</v>
      </c>
      <c r="C11" s="50">
        <f>Raw_Inventory!K6</f>
        <v>4713</v>
      </c>
      <c r="D11" s="55">
        <f>Raw_Inventory!F6</f>
        <v>1110.6500000000001</v>
      </c>
      <c r="E11" s="50">
        <f>C11*D11</f>
        <v>5234493.45</v>
      </c>
      <c r="F11" s="50">
        <f>SUM($E$5:E11)</f>
        <v>62535842.350000001</v>
      </c>
      <c r="G11" s="56">
        <f t="shared" si="0"/>
        <v>0.70995615153371683</v>
      </c>
      <c r="H11" s="57" t="str">
        <f t="shared" si="1"/>
        <v>A</v>
      </c>
    </row>
    <row r="12" spans="1:8" x14ac:dyDescent="0.3">
      <c r="A12">
        <v>8</v>
      </c>
      <c r="B12" t="str">
        <f>Raw_Inventory!B3</f>
        <v>Bluetooth Speaker</v>
      </c>
      <c r="C12" s="50">
        <f>Raw_Inventory!K3</f>
        <v>3052</v>
      </c>
      <c r="D12" s="55">
        <f>Raw_Inventory!F3</f>
        <v>1695.1</v>
      </c>
      <c r="E12" s="50">
        <f>C12*D12</f>
        <v>5173445.2</v>
      </c>
      <c r="F12" s="50">
        <f>SUM($E$5:E12)</f>
        <v>67709287.549999997</v>
      </c>
      <c r="G12" s="56">
        <f t="shared" si="0"/>
        <v>0.76868917736882147</v>
      </c>
      <c r="H12" s="57" t="str">
        <f t="shared" si="1"/>
        <v>A</v>
      </c>
    </row>
    <row r="13" spans="1:8" x14ac:dyDescent="0.3">
      <c r="A13">
        <v>9</v>
      </c>
      <c r="B13" t="str">
        <f>Raw_Inventory!B8</f>
        <v>Non-stick Pan</v>
      </c>
      <c r="C13" s="50">
        <f>Raw_Inventory!K8</f>
        <v>2349</v>
      </c>
      <c r="D13" s="55">
        <f>Raw_Inventory!F8</f>
        <v>2108.56</v>
      </c>
      <c r="E13" s="50">
        <f>C13*D13</f>
        <v>4953007.4399999995</v>
      </c>
      <c r="F13" s="50">
        <f>SUM($E$5:E13)</f>
        <v>72662294.989999995</v>
      </c>
      <c r="G13" s="56">
        <f t="shared" si="0"/>
        <v>0.82491962007941311</v>
      </c>
      <c r="H13" s="58" t="str">
        <f t="shared" si="1"/>
        <v>B</v>
      </c>
    </row>
    <row r="14" spans="1:8" x14ac:dyDescent="0.3">
      <c r="A14">
        <v>10</v>
      </c>
      <c r="B14" t="str">
        <f>Raw_Inventory!B11</f>
        <v>Basmati Rice 5kg</v>
      </c>
      <c r="C14" s="50">
        <f>Raw_Inventory!K11</f>
        <v>6537</v>
      </c>
      <c r="D14" s="55">
        <f>Raw_Inventory!F11</f>
        <v>689</v>
      </c>
      <c r="E14" s="50">
        <f>C14*D14</f>
        <v>4503993</v>
      </c>
      <c r="F14" s="50">
        <f>SUM($E$5:E14)</f>
        <v>77166287.989999995</v>
      </c>
      <c r="G14" s="56">
        <f t="shared" si="0"/>
        <v>0.87605249710884991</v>
      </c>
      <c r="H14" s="58" t="str">
        <f t="shared" si="1"/>
        <v>B</v>
      </c>
    </row>
    <row r="15" spans="1:8" x14ac:dyDescent="0.3">
      <c r="A15">
        <v>11</v>
      </c>
      <c r="B15" t="str">
        <f>Raw_Inventory!B13</f>
        <v>Green Tea Pack</v>
      </c>
      <c r="C15" s="50">
        <f>Raw_Inventory!K13</f>
        <v>4365</v>
      </c>
      <c r="D15" s="55">
        <f>Raw_Inventory!F13</f>
        <v>815.88</v>
      </c>
      <c r="E15" s="50">
        <f>C15*D15</f>
        <v>3561316.2</v>
      </c>
      <c r="F15" s="50">
        <f>SUM($E$5:E15)</f>
        <v>80727604.189999998</v>
      </c>
      <c r="G15" s="56">
        <f t="shared" si="0"/>
        <v>0.91648336441204992</v>
      </c>
      <c r="H15" s="58" t="str">
        <f t="shared" si="1"/>
        <v>B</v>
      </c>
    </row>
    <row r="16" spans="1:8" x14ac:dyDescent="0.3">
      <c r="A16">
        <v>12</v>
      </c>
      <c r="B16" t="str">
        <f>Raw_Inventory!B16</f>
        <v>Football</v>
      </c>
      <c r="C16" s="50">
        <f>Raw_Inventory!K16</f>
        <v>1459</v>
      </c>
      <c r="D16" s="55">
        <f>Raw_Inventory!F16</f>
        <v>1952.28</v>
      </c>
      <c r="E16" s="50">
        <f>C16*D16</f>
        <v>2848376.52</v>
      </c>
      <c r="F16" s="50">
        <f>SUM($E$5:E16)</f>
        <v>83575980.709999993</v>
      </c>
      <c r="G16" s="56">
        <f t="shared" si="0"/>
        <v>0.94882037877479319</v>
      </c>
      <c r="H16" s="58" t="str">
        <f t="shared" si="1"/>
        <v>B</v>
      </c>
    </row>
    <row r="17" spans="1:8" x14ac:dyDescent="0.3">
      <c r="A17">
        <v>13</v>
      </c>
      <c r="B17" t="str">
        <f>Raw_Inventory!B15</f>
        <v>Cricket Bat</v>
      </c>
      <c r="C17" s="50">
        <f>Raw_Inventory!K15</f>
        <v>1211</v>
      </c>
      <c r="D17" s="55">
        <f>Raw_Inventory!F15</f>
        <v>1833.14</v>
      </c>
      <c r="E17" s="50">
        <f>C17*D17</f>
        <v>2219932.54</v>
      </c>
      <c r="F17" s="50">
        <f>SUM($E$5:E17)</f>
        <v>85795913.25</v>
      </c>
      <c r="G17" s="56">
        <f t="shared" si="0"/>
        <v>0.97402280195384028</v>
      </c>
      <c r="H17" s="59" t="str">
        <f t="shared" si="1"/>
        <v>C</v>
      </c>
    </row>
    <row r="18" spans="1:8" x14ac:dyDescent="0.3">
      <c r="A18">
        <v>14</v>
      </c>
      <c r="B18" t="str">
        <f>Raw_Inventory!B5</f>
        <v>Cotton T-Shirt</v>
      </c>
      <c r="C18" s="50">
        <f>Raw_Inventory!K5</f>
        <v>2195</v>
      </c>
      <c r="D18" s="55">
        <f>Raw_Inventory!F5</f>
        <v>850.8</v>
      </c>
      <c r="E18" s="50">
        <f>C18*D18</f>
        <v>1867506</v>
      </c>
      <c r="F18" s="50">
        <f>SUM($E$5:E18)</f>
        <v>87663419.25</v>
      </c>
      <c r="G18" s="56">
        <f t="shared" si="0"/>
        <v>0.99522420138979306</v>
      </c>
      <c r="H18" s="59" t="str">
        <f t="shared" si="1"/>
        <v>C</v>
      </c>
    </row>
    <row r="19" spans="1:8" x14ac:dyDescent="0.3">
      <c r="A19">
        <v>15</v>
      </c>
      <c r="B19" t="str">
        <f>Raw_Inventory!B7</f>
        <v>Running Shoes</v>
      </c>
      <c r="C19" s="50">
        <f>Raw_Inventory!K7</f>
        <v>2298</v>
      </c>
      <c r="D19" s="55">
        <f>Raw_Inventory!F7</f>
        <v>183.06</v>
      </c>
      <c r="E19" s="50">
        <f>C19*D19</f>
        <v>420671.88</v>
      </c>
      <c r="F19" s="50">
        <f>SUM($E$5:E19)</f>
        <v>88084091.129999995</v>
      </c>
      <c r="G19" s="56">
        <f t="shared" si="0"/>
        <v>1</v>
      </c>
      <c r="H19" s="59" t="str">
        <f t="shared" si="1"/>
        <v>C</v>
      </c>
    </row>
    <row r="21" spans="1:8" x14ac:dyDescent="0.3">
      <c r="A21" s="83" t="s">
        <v>5143</v>
      </c>
      <c r="B21" s="83"/>
      <c r="C21" s="83"/>
      <c r="D21" s="83"/>
      <c r="E21" s="83"/>
      <c r="F21" s="83"/>
      <c r="G21" s="83"/>
      <c r="H21" s="83"/>
    </row>
    <row r="23" spans="1:8" x14ac:dyDescent="0.3">
      <c r="A23" s="85" t="s">
        <v>5144</v>
      </c>
      <c r="B23" s="86"/>
      <c r="C23" s="86"/>
      <c r="D23" s="86"/>
      <c r="E23" s="86"/>
      <c r="F23" s="86"/>
      <c r="G23" s="86"/>
      <c r="H23" s="86"/>
    </row>
    <row r="24" spans="1:8" x14ac:dyDescent="0.3">
      <c r="A24" s="86"/>
      <c r="B24" s="86"/>
      <c r="C24" s="86"/>
      <c r="D24" s="86"/>
      <c r="E24" s="86"/>
      <c r="F24" s="86"/>
      <c r="G24" s="86"/>
      <c r="H24" s="86"/>
    </row>
  </sheetData>
  <sortState ref="A4:F18">
    <sortCondition descending="1" ref="E4"/>
  </sortState>
  <mergeCells count="3">
    <mergeCell ref="A21:H21"/>
    <mergeCell ref="A2:G2"/>
    <mergeCell ref="A23:H24"/>
  </mergeCells>
  <conditionalFormatting sqref="H5:H19">
    <cfRule type="containsText" dxfId="2" priority="1" operator="containsText" text="c">
      <formula>NOT(ISERROR(SEARCH("c",H5)))</formula>
    </cfRule>
    <cfRule type="containsText" dxfId="1" priority="2" operator="containsText" text="B">
      <formula>NOT(ISERROR(SEARCH("B",H5)))</formula>
    </cfRule>
    <cfRule type="containsText" dxfId="0" priority="3" operator="containsText" text="A">
      <formula>NOT(ISERROR(SEARCH("A",H5)))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workbookViewId="0">
      <selection activeCell="G8" sqref="G8"/>
    </sheetView>
  </sheetViews>
  <sheetFormatPr defaultRowHeight="14.4" x14ac:dyDescent="0.3"/>
  <cols>
    <col min="2" max="2" width="16.109375" bestFit="1" customWidth="1"/>
    <col min="3" max="3" width="21.88671875" bestFit="1" customWidth="1"/>
    <col min="4" max="4" width="16.21875" customWidth="1"/>
    <col min="5" max="5" width="14.6640625" customWidth="1"/>
    <col min="6" max="6" width="14.109375" customWidth="1"/>
    <col min="7" max="7" width="14.5546875" customWidth="1"/>
    <col min="8" max="8" width="16.109375" customWidth="1"/>
    <col min="9" max="9" width="13.5546875" customWidth="1"/>
    <col min="10" max="10" width="10" customWidth="1"/>
    <col min="11" max="11" width="15.21875" customWidth="1"/>
    <col min="12" max="12" width="10.77734375" customWidth="1"/>
    <col min="13" max="13" width="13.88671875" customWidth="1"/>
    <col min="14" max="14" width="16.109375" customWidth="1"/>
    <col min="15" max="15" width="13.44140625" customWidth="1"/>
  </cols>
  <sheetData>
    <row r="1" spans="1:14" ht="25.8" x14ac:dyDescent="0.5">
      <c r="A1" s="70" t="s">
        <v>5070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x14ac:dyDescent="0.3">
      <c r="A2" s="69" t="s">
        <v>5116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3">
      <c r="A3" s="68" t="s">
        <v>5117</v>
      </c>
      <c r="B3" s="68"/>
      <c r="C3" s="68"/>
      <c r="D3" s="68"/>
      <c r="E3" s="68"/>
      <c r="F3" s="68"/>
      <c r="G3" s="71"/>
      <c r="H3" s="72">
        <v>1.65</v>
      </c>
      <c r="I3" s="71"/>
      <c r="J3" s="71"/>
      <c r="K3" s="71"/>
      <c r="L3" s="71"/>
      <c r="M3" s="71"/>
      <c r="N3" s="71"/>
    </row>
    <row r="5" spans="1:14" x14ac:dyDescent="0.3">
      <c r="A5" t="s">
        <v>5</v>
      </c>
      <c r="B5" t="s">
        <v>5118</v>
      </c>
      <c r="C5" t="s">
        <v>5091</v>
      </c>
      <c r="D5" t="s">
        <v>5128</v>
      </c>
      <c r="E5" t="s">
        <v>2584</v>
      </c>
      <c r="F5" t="s">
        <v>5129</v>
      </c>
      <c r="G5" t="s">
        <v>5130</v>
      </c>
      <c r="H5" t="s">
        <v>5131</v>
      </c>
      <c r="I5" t="s">
        <v>2585</v>
      </c>
      <c r="J5" t="s">
        <v>2581</v>
      </c>
      <c r="K5" t="s">
        <v>2586</v>
      </c>
      <c r="L5" t="s">
        <v>5132</v>
      </c>
      <c r="M5" t="s">
        <v>2583</v>
      </c>
      <c r="N5" t="s">
        <v>0</v>
      </c>
    </row>
    <row r="6" spans="1:14" x14ac:dyDescent="0.3">
      <c r="A6" t="str">
        <f>Raw_Inventory!A2</f>
        <v>SKU-001</v>
      </c>
      <c r="B6" t="str">
        <f>Raw_Inventory!B2</f>
        <v>Wireless Mouse</v>
      </c>
      <c r="C6" s="14">
        <f>Raw_Inventory!L2</f>
        <v>15.04109589041096</v>
      </c>
      <c r="D6" s="50">
        <f>O31</f>
        <v>21.589152534942947</v>
      </c>
      <c r="E6">
        <f>Raw_Inventory!H2</f>
        <v>7</v>
      </c>
      <c r="F6">
        <f>ROUND($H$3*D6*SQRT(E6),0)</f>
        <v>94</v>
      </c>
      <c r="G6">
        <f>ROUND(C6*E6+F6,0)</f>
        <v>199</v>
      </c>
      <c r="H6">
        <f>Raw_Inventory!K2</f>
        <v>5490</v>
      </c>
      <c r="I6">
        <f>Raw_Inventory!I2</f>
        <v>658</v>
      </c>
      <c r="J6">
        <f>Raw_Inventory!E2</f>
        <v>1283.44</v>
      </c>
      <c r="K6" s="15">
        <f>Raw_Inventory!J2</f>
        <v>0.19</v>
      </c>
      <c r="L6">
        <f>ROUNDUP(SQRT(2*H6*I6/(J6*K6)),0)</f>
        <v>173</v>
      </c>
      <c r="M6">
        <f>Raw_Inventory!G2</f>
        <v>467</v>
      </c>
      <c r="N6" t="str">
        <f>IF(M6&lt;G6,"Reorder Now","Ok")</f>
        <v>Ok</v>
      </c>
    </row>
    <row r="7" spans="1:14" x14ac:dyDescent="0.3">
      <c r="A7" t="str">
        <f>Raw_Inventory!A3</f>
        <v>SKU-002</v>
      </c>
      <c r="B7" t="str">
        <f>Raw_Inventory!B3</f>
        <v>Bluetooth Speaker</v>
      </c>
      <c r="C7" s="14">
        <f>Raw_Inventory!L3</f>
        <v>8.3616438356164391</v>
      </c>
      <c r="D7" s="50">
        <f t="shared" ref="D7:D20" si="0">O32</f>
        <v>13.743927178585858</v>
      </c>
      <c r="E7">
        <f>Raw_Inventory!H3</f>
        <v>13</v>
      </c>
      <c r="F7">
        <f t="shared" ref="F7:F20" si="1">ROUND($H$3*D7*SQRT(E7),0)</f>
        <v>82</v>
      </c>
      <c r="G7">
        <f t="shared" ref="G7:G20" si="2">ROUND(C7*E7+F7,0)</f>
        <v>191</v>
      </c>
      <c r="H7">
        <f>Raw_Inventory!K3</f>
        <v>3052</v>
      </c>
      <c r="I7">
        <f>Raw_Inventory!I3</f>
        <v>1823</v>
      </c>
      <c r="J7">
        <f>Raw_Inventory!E3</f>
        <v>972.67</v>
      </c>
      <c r="K7" s="15">
        <f>Raw_Inventory!J3</f>
        <v>0.27</v>
      </c>
      <c r="L7">
        <f t="shared" ref="L7:L20" si="3">ROUNDUP(SQRT(2*H7*I7/(J7*K7)),0)</f>
        <v>206</v>
      </c>
      <c r="M7">
        <f>Raw_Inventory!G3</f>
        <v>126</v>
      </c>
      <c r="N7" s="12" t="str">
        <f t="shared" ref="N7:N20" si="4">IF(M7&lt;G7,"Reorder Now","Ok")</f>
        <v>Reorder Now</v>
      </c>
    </row>
    <row r="8" spans="1:14" x14ac:dyDescent="0.3">
      <c r="A8" t="str">
        <f>Raw_Inventory!A4</f>
        <v>SKU-003</v>
      </c>
      <c r="B8" t="str">
        <f>Raw_Inventory!B4</f>
        <v>USB-C Charger</v>
      </c>
      <c r="C8" s="14">
        <f>Raw_Inventory!L4</f>
        <v>16.80821917808219</v>
      </c>
      <c r="D8" s="50">
        <f t="shared" si="0"/>
        <v>22.186967191526982</v>
      </c>
      <c r="E8">
        <f>Raw_Inventory!H4</f>
        <v>7</v>
      </c>
      <c r="F8">
        <f t="shared" si="1"/>
        <v>97</v>
      </c>
      <c r="G8">
        <f t="shared" si="2"/>
        <v>215</v>
      </c>
      <c r="H8">
        <f>Raw_Inventory!K4</f>
        <v>6135</v>
      </c>
      <c r="I8">
        <f>Raw_Inventory!I4</f>
        <v>1771</v>
      </c>
      <c r="J8">
        <f>Raw_Inventory!E4</f>
        <v>1479.01</v>
      </c>
      <c r="K8" s="15">
        <f>Raw_Inventory!J4</f>
        <v>0.2</v>
      </c>
      <c r="L8">
        <f t="shared" si="3"/>
        <v>272</v>
      </c>
      <c r="M8">
        <f>Raw_Inventory!G4</f>
        <v>544</v>
      </c>
      <c r="N8" t="str">
        <f t="shared" si="4"/>
        <v>Ok</v>
      </c>
    </row>
    <row r="9" spans="1:14" x14ac:dyDescent="0.3">
      <c r="A9" t="str">
        <f>Raw_Inventory!A5</f>
        <v>SKU-004</v>
      </c>
      <c r="B9" t="str">
        <f>Raw_Inventory!B5</f>
        <v>Cotton T-Shirt</v>
      </c>
      <c r="C9" s="14">
        <f>Raw_Inventory!L5</f>
        <v>6.0136986301369859</v>
      </c>
      <c r="D9" s="50">
        <f t="shared" si="0"/>
        <v>7.0326725257802591</v>
      </c>
      <c r="E9">
        <f>Raw_Inventory!H5</f>
        <v>5</v>
      </c>
      <c r="F9">
        <f t="shared" si="1"/>
        <v>26</v>
      </c>
      <c r="G9">
        <f t="shared" si="2"/>
        <v>56</v>
      </c>
      <c r="H9">
        <f>Raw_Inventory!K5</f>
        <v>2195</v>
      </c>
      <c r="I9">
        <f>Raw_Inventory!I5</f>
        <v>1958</v>
      </c>
      <c r="J9">
        <f>Raw_Inventory!E5</f>
        <v>605.66</v>
      </c>
      <c r="K9" s="15">
        <f>Raw_Inventory!J5</f>
        <v>0.17</v>
      </c>
      <c r="L9">
        <f t="shared" si="3"/>
        <v>289</v>
      </c>
      <c r="M9">
        <f>Raw_Inventory!G5</f>
        <v>626</v>
      </c>
      <c r="N9" t="str">
        <f t="shared" si="4"/>
        <v>Ok</v>
      </c>
    </row>
    <row r="10" spans="1:14" x14ac:dyDescent="0.3">
      <c r="A10" t="str">
        <f>Raw_Inventory!A6</f>
        <v>SKU-005</v>
      </c>
      <c r="B10" t="str">
        <f>Raw_Inventory!B6</f>
        <v>Denim Jacket</v>
      </c>
      <c r="C10" s="14">
        <f>Raw_Inventory!L6</f>
        <v>12.912328767123288</v>
      </c>
      <c r="D10" s="50">
        <f t="shared" si="0"/>
        <v>19.215804929560175</v>
      </c>
      <c r="E10">
        <f>Raw_Inventory!H6</f>
        <v>5</v>
      </c>
      <c r="F10">
        <f t="shared" si="1"/>
        <v>71</v>
      </c>
      <c r="G10">
        <f t="shared" si="2"/>
        <v>136</v>
      </c>
      <c r="H10">
        <f>Raw_Inventory!K6</f>
        <v>4713</v>
      </c>
      <c r="I10">
        <f>Raw_Inventory!I6</f>
        <v>2052</v>
      </c>
      <c r="J10">
        <f>Raw_Inventory!E6</f>
        <v>618.83000000000004</v>
      </c>
      <c r="K10" s="15">
        <f>Raw_Inventory!J6</f>
        <v>0.18</v>
      </c>
      <c r="L10">
        <f t="shared" si="3"/>
        <v>417</v>
      </c>
      <c r="M10">
        <f>Raw_Inventory!G6</f>
        <v>866</v>
      </c>
      <c r="N10" t="str">
        <f t="shared" si="4"/>
        <v>Ok</v>
      </c>
    </row>
    <row r="11" spans="1:14" x14ac:dyDescent="0.3">
      <c r="A11" t="str">
        <f>Raw_Inventory!A7</f>
        <v>SKU-006</v>
      </c>
      <c r="B11" t="str">
        <f>Raw_Inventory!B7</f>
        <v>Running Shoes</v>
      </c>
      <c r="C11" s="14">
        <f>Raw_Inventory!L7</f>
        <v>6.2958904109589042</v>
      </c>
      <c r="D11" s="50">
        <f t="shared" si="0"/>
        <v>10.51698899002314</v>
      </c>
      <c r="E11">
        <f>Raw_Inventory!H7</f>
        <v>5</v>
      </c>
      <c r="F11">
        <f t="shared" si="1"/>
        <v>39</v>
      </c>
      <c r="G11">
        <f t="shared" si="2"/>
        <v>70</v>
      </c>
      <c r="H11">
        <f>Raw_Inventory!K7</f>
        <v>2298</v>
      </c>
      <c r="I11">
        <f>Raw_Inventory!I7</f>
        <v>1811</v>
      </c>
      <c r="J11">
        <f>Raw_Inventory!E7</f>
        <v>125.58</v>
      </c>
      <c r="K11" s="15">
        <f>Raw_Inventory!J7</f>
        <v>0.21</v>
      </c>
      <c r="L11">
        <f t="shared" si="3"/>
        <v>562</v>
      </c>
      <c r="M11">
        <f>Raw_Inventory!G7</f>
        <v>297</v>
      </c>
      <c r="N11" t="str">
        <f t="shared" si="4"/>
        <v>Ok</v>
      </c>
    </row>
    <row r="12" spans="1:14" x14ac:dyDescent="0.3">
      <c r="A12" t="str">
        <f>Raw_Inventory!A8</f>
        <v>SKU-007</v>
      </c>
      <c r="B12" t="str">
        <f>Raw_Inventory!B8</f>
        <v>Non-stick Pan</v>
      </c>
      <c r="C12" s="14">
        <f>Raw_Inventory!L8</f>
        <v>6.4356164383561643</v>
      </c>
      <c r="D12" s="50">
        <f t="shared" si="0"/>
        <v>8.5630664168468389</v>
      </c>
      <c r="E12">
        <f>Raw_Inventory!H8</f>
        <v>4</v>
      </c>
      <c r="F12">
        <f t="shared" si="1"/>
        <v>28</v>
      </c>
      <c r="G12">
        <f t="shared" si="2"/>
        <v>54</v>
      </c>
      <c r="H12">
        <f>Raw_Inventory!K8</f>
        <v>2349</v>
      </c>
      <c r="I12">
        <f>Raw_Inventory!I8</f>
        <v>1669</v>
      </c>
      <c r="J12">
        <f>Raw_Inventory!E8</f>
        <v>1378.66</v>
      </c>
      <c r="K12" s="15">
        <f>Raw_Inventory!J8</f>
        <v>0.28000000000000003</v>
      </c>
      <c r="L12">
        <f t="shared" si="3"/>
        <v>143</v>
      </c>
      <c r="M12">
        <f>Raw_Inventory!G8</f>
        <v>844</v>
      </c>
      <c r="N12" t="str">
        <f t="shared" si="4"/>
        <v>Ok</v>
      </c>
    </row>
    <row r="13" spans="1:14" x14ac:dyDescent="0.3">
      <c r="A13" t="str">
        <f>Raw_Inventory!A9</f>
        <v>SKU-008</v>
      </c>
      <c r="B13" t="str">
        <f>Raw_Inventory!B9</f>
        <v>Air Fryer</v>
      </c>
      <c r="C13" s="14">
        <f>Raw_Inventory!L9</f>
        <v>19.693150684931506</v>
      </c>
      <c r="D13" s="50">
        <f t="shared" si="0"/>
        <v>26.173647216474059</v>
      </c>
      <c r="E13">
        <f>Raw_Inventory!H9</f>
        <v>15</v>
      </c>
      <c r="F13">
        <f t="shared" si="1"/>
        <v>167</v>
      </c>
      <c r="G13">
        <f t="shared" si="2"/>
        <v>462</v>
      </c>
      <c r="H13">
        <f>Raw_Inventory!K9</f>
        <v>7188</v>
      </c>
      <c r="I13">
        <f>Raw_Inventory!I9</f>
        <v>594</v>
      </c>
      <c r="J13">
        <f>Raw_Inventory!E9</f>
        <v>647.15</v>
      </c>
      <c r="K13" s="15">
        <f>Raw_Inventory!J9</f>
        <v>0.17</v>
      </c>
      <c r="L13">
        <f t="shared" si="3"/>
        <v>279</v>
      </c>
      <c r="M13">
        <f>Raw_Inventory!G9</f>
        <v>853</v>
      </c>
      <c r="N13" t="str">
        <f t="shared" si="4"/>
        <v>Ok</v>
      </c>
    </row>
    <row r="14" spans="1:14" x14ac:dyDescent="0.3">
      <c r="A14" t="str">
        <f>Raw_Inventory!A10</f>
        <v>SKU-009</v>
      </c>
      <c r="B14" t="str">
        <f>Raw_Inventory!B10</f>
        <v>LED Lamp</v>
      </c>
      <c r="C14" s="14">
        <f>Raw_Inventory!L10</f>
        <v>9.0739726027397261</v>
      </c>
      <c r="D14" s="50">
        <f t="shared" si="0"/>
        <v>14.450459836063496</v>
      </c>
      <c r="E14">
        <f>Raw_Inventory!H10</f>
        <v>4</v>
      </c>
      <c r="F14">
        <f t="shared" si="1"/>
        <v>48</v>
      </c>
      <c r="G14">
        <f t="shared" si="2"/>
        <v>84</v>
      </c>
      <c r="H14">
        <f>Raw_Inventory!K10</f>
        <v>3312</v>
      </c>
      <c r="I14">
        <f>Raw_Inventory!I10</f>
        <v>1692</v>
      </c>
      <c r="J14">
        <f>Raw_Inventory!E10</f>
        <v>970.97</v>
      </c>
      <c r="K14" s="15">
        <f>Raw_Inventory!J10</f>
        <v>0.22</v>
      </c>
      <c r="L14">
        <f t="shared" si="3"/>
        <v>230</v>
      </c>
      <c r="M14">
        <f>Raw_Inventory!G10</f>
        <v>470</v>
      </c>
      <c r="N14" t="str">
        <f t="shared" si="4"/>
        <v>Ok</v>
      </c>
    </row>
    <row r="15" spans="1:14" x14ac:dyDescent="0.3">
      <c r="A15" t="str">
        <f>Raw_Inventory!A11</f>
        <v>SKU-010</v>
      </c>
      <c r="B15" t="str">
        <f>Raw_Inventory!B11</f>
        <v>Basmati Rice 5kg</v>
      </c>
      <c r="C15" s="14">
        <f>Raw_Inventory!L11</f>
        <v>17.909589041095892</v>
      </c>
      <c r="D15" s="50">
        <f t="shared" si="0"/>
        <v>27.627707492513128</v>
      </c>
      <c r="E15">
        <f>Raw_Inventory!H11</f>
        <v>6</v>
      </c>
      <c r="F15">
        <f t="shared" si="1"/>
        <v>112</v>
      </c>
      <c r="G15">
        <f t="shared" si="2"/>
        <v>219</v>
      </c>
      <c r="H15">
        <f>Raw_Inventory!K11</f>
        <v>6537</v>
      </c>
      <c r="I15">
        <f>Raw_Inventory!I11</f>
        <v>1782</v>
      </c>
      <c r="J15">
        <f>Raw_Inventory!E11</f>
        <v>437.01</v>
      </c>
      <c r="K15" s="15">
        <f>Raw_Inventory!J11</f>
        <v>0.17</v>
      </c>
      <c r="L15">
        <f t="shared" si="3"/>
        <v>560</v>
      </c>
      <c r="M15">
        <f>Raw_Inventory!G11</f>
        <v>867</v>
      </c>
      <c r="N15" t="str">
        <f t="shared" si="4"/>
        <v>Ok</v>
      </c>
    </row>
    <row r="16" spans="1:14" x14ac:dyDescent="0.3">
      <c r="A16" t="str">
        <f>Raw_Inventory!A12</f>
        <v>SKU-011</v>
      </c>
      <c r="B16" t="str">
        <f>Raw_Inventory!B12</f>
        <v>Cooking Oil 1L</v>
      </c>
      <c r="C16" s="14">
        <f>Raw_Inventory!L12</f>
        <v>19.416438356164385</v>
      </c>
      <c r="D16" s="50">
        <f t="shared" si="0"/>
        <v>23.857062681576352</v>
      </c>
      <c r="E16">
        <f>Raw_Inventory!H12</f>
        <v>6</v>
      </c>
      <c r="F16">
        <f t="shared" si="1"/>
        <v>96</v>
      </c>
      <c r="G16">
        <f t="shared" si="2"/>
        <v>212</v>
      </c>
      <c r="H16">
        <f>Raw_Inventory!K12</f>
        <v>7087</v>
      </c>
      <c r="I16">
        <f>Raw_Inventory!I12</f>
        <v>2325</v>
      </c>
      <c r="J16">
        <f>Raw_Inventory!E12</f>
        <v>697.37</v>
      </c>
      <c r="K16" s="15">
        <f>Raw_Inventory!J12</f>
        <v>0.28000000000000003</v>
      </c>
      <c r="L16">
        <f t="shared" si="3"/>
        <v>411</v>
      </c>
      <c r="M16">
        <f>Raw_Inventory!G12</f>
        <v>599</v>
      </c>
      <c r="N16" t="str">
        <f t="shared" si="4"/>
        <v>Ok</v>
      </c>
    </row>
    <row r="17" spans="1:16" x14ac:dyDescent="0.3">
      <c r="A17" t="str">
        <f>Raw_Inventory!A13</f>
        <v>SKU-012</v>
      </c>
      <c r="B17" t="str">
        <f>Raw_Inventory!B13</f>
        <v>Green Tea Pack</v>
      </c>
      <c r="C17" s="14">
        <f>Raw_Inventory!L13</f>
        <v>11.95890410958904</v>
      </c>
      <c r="D17" s="50">
        <f t="shared" si="0"/>
        <v>18.247881996780368</v>
      </c>
      <c r="E17">
        <f>Raw_Inventory!H13</f>
        <v>6</v>
      </c>
      <c r="F17">
        <f t="shared" si="1"/>
        <v>74</v>
      </c>
      <c r="G17">
        <f t="shared" si="2"/>
        <v>146</v>
      </c>
      <c r="H17">
        <f>Raw_Inventory!K13</f>
        <v>4365</v>
      </c>
      <c r="I17">
        <f>Raw_Inventory!I13</f>
        <v>823</v>
      </c>
      <c r="J17">
        <f>Raw_Inventory!E13</f>
        <v>503.79</v>
      </c>
      <c r="K17" s="15">
        <f>Raw_Inventory!J13</f>
        <v>0.28999999999999998</v>
      </c>
      <c r="L17">
        <f t="shared" si="3"/>
        <v>222</v>
      </c>
      <c r="M17">
        <f>Raw_Inventory!G13</f>
        <v>860</v>
      </c>
      <c r="N17" t="str">
        <f t="shared" si="4"/>
        <v>Ok</v>
      </c>
    </row>
    <row r="18" spans="1:16" x14ac:dyDescent="0.3">
      <c r="A18" t="str">
        <f>Raw_Inventory!A14</f>
        <v>SKU-013</v>
      </c>
      <c r="B18" t="str">
        <f>Raw_Inventory!B14</f>
        <v>Yoga Mat</v>
      </c>
      <c r="C18" s="14">
        <f>Raw_Inventory!L14</f>
        <v>12.079452054794521</v>
      </c>
      <c r="D18" s="50">
        <f t="shared" si="0"/>
        <v>14.619467082732337</v>
      </c>
      <c r="E18">
        <f>Raw_Inventory!H14</f>
        <v>13</v>
      </c>
      <c r="F18">
        <f t="shared" si="1"/>
        <v>87</v>
      </c>
      <c r="G18">
        <f t="shared" si="2"/>
        <v>244</v>
      </c>
      <c r="H18">
        <f>Raw_Inventory!K14</f>
        <v>4409</v>
      </c>
      <c r="I18">
        <f>Raw_Inventory!I14</f>
        <v>2358</v>
      </c>
      <c r="J18">
        <f>Raw_Inventory!E14</f>
        <v>1389.86</v>
      </c>
      <c r="K18" s="15">
        <f>Raw_Inventory!J14</f>
        <v>0.28000000000000003</v>
      </c>
      <c r="L18">
        <f t="shared" si="3"/>
        <v>232</v>
      </c>
      <c r="M18">
        <f>Raw_Inventory!G14</f>
        <v>194</v>
      </c>
      <c r="N18" s="12" t="str">
        <f t="shared" si="4"/>
        <v>Reorder Now</v>
      </c>
    </row>
    <row r="19" spans="1:16" x14ac:dyDescent="0.3">
      <c r="A19" t="str">
        <f>Raw_Inventory!A15</f>
        <v>SKU-014</v>
      </c>
      <c r="B19" t="str">
        <f>Raw_Inventory!B15</f>
        <v>Cricket Bat</v>
      </c>
      <c r="C19" s="14">
        <f>Raw_Inventory!L15</f>
        <v>3.3178082191780822</v>
      </c>
      <c r="D19" s="50">
        <f t="shared" si="0"/>
        <v>5.1464545870518412</v>
      </c>
      <c r="E19">
        <f>Raw_Inventory!H15</f>
        <v>13</v>
      </c>
      <c r="F19">
        <f t="shared" si="1"/>
        <v>31</v>
      </c>
      <c r="G19">
        <f t="shared" si="2"/>
        <v>74</v>
      </c>
      <c r="H19">
        <f>Raw_Inventory!K15</f>
        <v>1211</v>
      </c>
      <c r="I19">
        <f>Raw_Inventory!I15</f>
        <v>1472</v>
      </c>
      <c r="J19">
        <f>Raw_Inventory!E15</f>
        <v>1260.97</v>
      </c>
      <c r="K19" s="15">
        <f>Raw_Inventory!J15</f>
        <v>0.16</v>
      </c>
      <c r="L19">
        <f t="shared" si="3"/>
        <v>133</v>
      </c>
      <c r="M19">
        <f>Raw_Inventory!G15</f>
        <v>829</v>
      </c>
      <c r="N19" t="str">
        <f t="shared" si="4"/>
        <v>Ok</v>
      </c>
    </row>
    <row r="20" spans="1:16" x14ac:dyDescent="0.3">
      <c r="A20" t="str">
        <f>Raw_Inventory!A16</f>
        <v>SKU-015</v>
      </c>
      <c r="B20" t="str">
        <f>Raw_Inventory!B16</f>
        <v>Football</v>
      </c>
      <c r="C20" s="14">
        <f>Raw_Inventory!L16</f>
        <v>3.9972602739726026</v>
      </c>
      <c r="D20" s="50">
        <f t="shared" si="0"/>
        <v>5.5925543960739645</v>
      </c>
      <c r="E20">
        <f>Raw_Inventory!H16</f>
        <v>13</v>
      </c>
      <c r="F20">
        <f t="shared" si="1"/>
        <v>33</v>
      </c>
      <c r="G20">
        <f t="shared" si="2"/>
        <v>85</v>
      </c>
      <c r="H20">
        <f>Raw_Inventory!K16</f>
        <v>1459</v>
      </c>
      <c r="I20">
        <f>Raw_Inventory!I16</f>
        <v>1555</v>
      </c>
      <c r="J20">
        <f>Raw_Inventory!E16</f>
        <v>1160.06</v>
      </c>
      <c r="K20" s="15">
        <f>Raw_Inventory!J16</f>
        <v>0.24</v>
      </c>
      <c r="L20">
        <f t="shared" si="3"/>
        <v>128</v>
      </c>
      <c r="M20">
        <f>Raw_Inventory!G16</f>
        <v>351</v>
      </c>
      <c r="N20" t="str">
        <f t="shared" si="4"/>
        <v>Ok</v>
      </c>
    </row>
    <row r="22" spans="1:16" x14ac:dyDescent="0.3">
      <c r="A22" s="73" t="s">
        <v>5119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</row>
    <row r="23" spans="1:16" x14ac:dyDescent="0.3">
      <c r="A23" s="73" t="s">
        <v>5120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4"/>
      <c r="M23" s="74"/>
      <c r="N23" s="74"/>
    </row>
    <row r="24" spans="1:16" x14ac:dyDescent="0.3">
      <c r="A24" s="73" t="s">
        <v>5121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5" spans="1:16" x14ac:dyDescent="0.3">
      <c r="A25" s="73" t="s">
        <v>5122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</row>
    <row r="28" spans="1:16" ht="25.8" x14ac:dyDescent="0.5">
      <c r="A28" s="75" t="s">
        <v>5123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  <row r="29" spans="1:16" x14ac:dyDescent="0.3">
      <c r="A29" s="73" t="s">
        <v>5124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</row>
    <row r="30" spans="1:16" x14ac:dyDescent="0.3">
      <c r="A30" s="16" t="s">
        <v>5</v>
      </c>
      <c r="B30" s="16" t="s">
        <v>5125</v>
      </c>
      <c r="C30" s="16" t="s">
        <v>5071</v>
      </c>
      <c r="D30" s="16" t="s">
        <v>5072</v>
      </c>
      <c r="E30" s="16" t="s">
        <v>5073</v>
      </c>
      <c r="F30" s="16" t="s">
        <v>5074</v>
      </c>
      <c r="G30" s="16" t="s">
        <v>5075</v>
      </c>
      <c r="H30" s="16" t="s">
        <v>5076</v>
      </c>
      <c r="I30" s="16" t="s">
        <v>5077</v>
      </c>
      <c r="J30" s="16" t="s">
        <v>5078</v>
      </c>
      <c r="K30" s="16" t="s">
        <v>5079</v>
      </c>
      <c r="L30" s="16" t="s">
        <v>5080</v>
      </c>
      <c r="M30" s="16" t="s">
        <v>5081</v>
      </c>
      <c r="N30" s="16" t="s">
        <v>5126</v>
      </c>
      <c r="O30" s="16" t="s">
        <v>5127</v>
      </c>
    </row>
    <row r="31" spans="1:16" x14ac:dyDescent="0.3">
      <c r="A31" t="str">
        <f>Raw_Inventory!A2</f>
        <v>SKU-001</v>
      </c>
      <c r="B31">
        <f>SUMIFS(Raw_Orders!$H:$H,Raw_Orders!$E:$E,'Reorder EOQ Planner '!A31,Raw_Orders!$B:$B,"&gt;="&amp;DATE(2025,1,1),Raw_Orders!$B:$B,"&lt;="&amp;EOMONTH(DATE(2025,1,1),0))</f>
        <v>556</v>
      </c>
      <c r="C31">
        <f>SUMIFS(Raw_Orders!$H:$H,Raw_Orders!$E:$E,'Reorder EOQ Planner '!A31,Raw_Orders!$B:$B,"&gt;="&amp;DATE(2025,2,1),Raw_Orders!$B:$B,"&lt;="&amp;EOMONTH(DATE(2025,2,1),0))</f>
        <v>449</v>
      </c>
      <c r="D31">
        <f>SUMIFS(Raw_Orders!$H:$H,Raw_Orders!$E:$E,'Reorder EOQ Planner '!A31,Raw_Orders!$B:$B,"&gt;="&amp;DATE(2025,3,1),Raw_Orders!$B:$B,"&lt;="&amp;EOMONTH(DATE(2025,3,1),0))</f>
        <v>516</v>
      </c>
      <c r="E31">
        <f>SUMIFS(Raw_Orders!$H:$H,Raw_Orders!$E:$E,'Reorder EOQ Planner '!$A31,Raw_Orders!$B:$B,"&gt;="&amp;DATE(2025,4,1),Raw_Orders!$B:$B,"&lt;="&amp;EOMONTH(DATE(2025,4,1),0))</f>
        <v>311</v>
      </c>
      <c r="F31">
        <f>SUMIFS(Raw_Orders!$H:$H,Raw_Orders!$E:$E,'Reorder EOQ Planner '!$A31,Raw_Orders!$B:$B,"&gt;="&amp;DATE(2025,5,1),Raw_Orders!$B:$B,"&lt;="&amp;EOMONTH(DATE(2025,5,1),0))</f>
        <v>509</v>
      </c>
      <c r="G31">
        <f>SUMIFS(Raw_Orders!$H:$H,Raw_Orders!$E:$E,'Reorder EOQ Planner '!$A31,Raw_Orders!$B:$B,"&gt;="&amp;DATE(2025,6,1),Raw_Orders!$B:$B,"&lt;="&amp;EOMONTH(DATE(2025,6,1),0))</f>
        <v>312</v>
      </c>
      <c r="H31">
        <f>SUMIFS(Raw_Orders!$H:$H,Raw_Orders!$E:$E,'Reorder EOQ Planner '!$A31,Raw_Orders!$B:$B,"&gt;="&amp;DATE(2025,7,1),Raw_Orders!$B:$B,"&lt;="&amp;EOMONTH(DATE(2025,7,1),0))</f>
        <v>396</v>
      </c>
      <c r="I31">
        <f>SUMIFS(Raw_Orders!$H:$H,Raw_Orders!$E:$E,'Reorder EOQ Planner '!$A31,Raw_Orders!$B:$B,"&gt;="&amp;DATE(2025,8,1),Raw_Orders!$B:$B,"&lt;="&amp;EOMONTH(DATE(2025,8,1),0))</f>
        <v>557</v>
      </c>
      <c r="J31">
        <f>SUMIFS(Raw_Orders!$H:$H,Raw_Orders!$E:$E,'Reorder EOQ Planner '!$A31,Raw_Orders!$B:$B,"&gt;="&amp;DATE(2025,9,1),Raw_Orders!$B:$B,"&lt;="&amp;EOMONTH(DATE(2025,9,1),0))</f>
        <v>401</v>
      </c>
      <c r="K31">
        <f>SUMIFS(Raw_Orders!$H:$H,Raw_Orders!$E:$E,'Reorder EOQ Planner '!$A31,Raw_Orders!$B:$B,"&gt;="&amp;DATE(2025,10,1),Raw_Orders!$B:$B,"&lt;="&amp;EOMONTH(DATE(2025,10,1),0))</f>
        <v>363</v>
      </c>
      <c r="L31">
        <f>SUMIFS(Raw_Orders!$H:$H,Raw_Orders!$E:$E,'Reorder EOQ Planner '!$A31,Raw_Orders!$B:$B,"&gt;="&amp;DATE(2025,11,1),Raw_Orders!$B:$B,"&lt;="&amp;EOMONTH(DATE(2025,11,1),0))</f>
        <v>401</v>
      </c>
      <c r="M31">
        <f>SUMIFS(Raw_Orders!$H:$H,Raw_Orders!$E:$E,'Reorder EOQ Planner '!$A31,Raw_Orders!$B:$B,"&gt;="&amp;DATE(2025,12,1),Raw_Orders!$B:$B,"&lt;="&amp;EOMONTH(DATE(2025,12,1),0))</f>
        <v>719</v>
      </c>
      <c r="N31" s="50">
        <f>STDEV(B31:M31)</f>
        <v>119.03437242318631</v>
      </c>
      <c r="O31" s="50">
        <f>N31/SQRT(30.4)</f>
        <v>21.589152534942947</v>
      </c>
    </row>
    <row r="32" spans="1:16" x14ac:dyDescent="0.3">
      <c r="A32" t="str">
        <f>Raw_Inventory!A3</f>
        <v>SKU-002</v>
      </c>
      <c r="B32">
        <f>SUMIFS(Raw_Orders!$H:$H,Raw_Orders!$E:$E,'Reorder EOQ Planner '!A32,Raw_Orders!$B:$B,"&gt;="&amp;DATE(2025,1,1),Raw_Orders!$B:$B,"&lt;="&amp;EOMONTH(DATE(2025,1,1),0))</f>
        <v>139</v>
      </c>
      <c r="C32">
        <f>SUMIFS(Raw_Orders!$H:$H,Raw_Orders!$E:$E,'Reorder EOQ Planner '!A32,Raw_Orders!$B:$B,"&gt;="&amp;DATE(2025,2,1),Raw_Orders!$B:$B,"&lt;="&amp;EOMONTH(DATE(2025,2,1),0))</f>
        <v>187</v>
      </c>
      <c r="D32">
        <f>SUMIFS(Raw_Orders!$H:$H,Raw_Orders!$E:$E,'Reorder EOQ Planner '!A32,Raw_Orders!$B:$B,"&gt;="&amp;DATE(2025,3,1),Raw_Orders!$B:$B,"&lt;="&amp;EOMONTH(DATE(2025,3,1),0))</f>
        <v>193</v>
      </c>
      <c r="E32">
        <f>SUMIFS(Raw_Orders!$H:$H,Raw_Orders!$E:$E,'Reorder EOQ Planner '!$A32,Raw_Orders!$B:$B,"&gt;="&amp;DATE(2025,4,1),Raw_Orders!$B:$B,"&lt;="&amp;EOMONTH(DATE(2025,4,1),0))</f>
        <v>212</v>
      </c>
      <c r="F32">
        <f>SUMIFS(Raw_Orders!$H:$H,Raw_Orders!$E:$E,'Reorder EOQ Planner '!$A32,Raw_Orders!$B:$B,"&gt;="&amp;DATE(2025,5,1),Raw_Orders!$B:$B,"&lt;="&amp;EOMONTH(DATE(2025,5,1),0))</f>
        <v>237</v>
      </c>
      <c r="G32">
        <f>SUMIFS(Raw_Orders!$H:$H,Raw_Orders!$E:$E,'Reorder EOQ Planner '!$A32,Raw_Orders!$B:$B,"&gt;="&amp;DATE(2025,6,1),Raw_Orders!$B:$B,"&lt;="&amp;EOMONTH(DATE(2025,6,1),0))</f>
        <v>194</v>
      </c>
      <c r="H32">
        <f>SUMIFS(Raw_Orders!$H:$H,Raw_Orders!$E:$E,'Reorder EOQ Planner '!$A32,Raw_Orders!$B:$B,"&gt;="&amp;DATE(2025,7,1),Raw_Orders!$B:$B,"&lt;="&amp;EOMONTH(DATE(2025,7,1),0))</f>
        <v>307</v>
      </c>
      <c r="I32">
        <f>SUMIFS(Raw_Orders!$H:$H,Raw_Orders!$E:$E,'Reorder EOQ Planner '!$A32,Raw_Orders!$B:$B,"&gt;="&amp;DATE(2025,8,1),Raw_Orders!$B:$B,"&lt;="&amp;EOMONTH(DATE(2025,8,1),0))</f>
        <v>290</v>
      </c>
      <c r="J32">
        <f>SUMIFS(Raw_Orders!$H:$H,Raw_Orders!$E:$E,'Reorder EOQ Planner '!$A32,Raw_Orders!$B:$B,"&gt;="&amp;DATE(2025,9,1),Raw_Orders!$B:$B,"&lt;="&amp;EOMONTH(DATE(2025,9,1),0))</f>
        <v>271</v>
      </c>
      <c r="K32">
        <f>SUMIFS(Raw_Orders!$H:$H,Raw_Orders!$E:$E,'Reorder EOQ Planner '!$A32,Raw_Orders!$B:$B,"&gt;="&amp;DATE(2025,10,1),Raw_Orders!$B:$B,"&lt;="&amp;EOMONTH(DATE(2025,10,1),0))</f>
        <v>400</v>
      </c>
      <c r="L32">
        <f>SUMIFS(Raw_Orders!$H:$H,Raw_Orders!$E:$E,'Reorder EOQ Planner '!$A32,Raw_Orders!$B:$B,"&gt;="&amp;DATE(2025,11,1),Raw_Orders!$B:$B,"&lt;="&amp;EOMONTH(DATE(2025,11,1),0))</f>
        <v>355</v>
      </c>
      <c r="M32">
        <f>SUMIFS(Raw_Orders!$H:$H,Raw_Orders!$E:$E,'Reorder EOQ Planner '!$A32,Raw_Orders!$B:$B,"&gt;="&amp;DATE(2025,12,1),Raw_Orders!$B:$B,"&lt;="&amp;EOMONTH(DATE(2025,12,1),0))</f>
        <v>267</v>
      </c>
      <c r="N32" s="50">
        <f t="shared" ref="N32:N45" si="5">STDEV(B32:M32)</f>
        <v>75.778784909922109</v>
      </c>
      <c r="O32" s="50">
        <f t="shared" ref="O32:O45" si="6">N32/SQRT(30.4)</f>
        <v>13.743927178585858</v>
      </c>
    </row>
    <row r="33" spans="1:15" x14ac:dyDescent="0.3">
      <c r="A33" t="str">
        <f>Raw_Inventory!A4</f>
        <v>SKU-003</v>
      </c>
      <c r="B33">
        <f>SUMIFS(Raw_Orders!$H:$H,Raw_Orders!$E:$E,'Reorder EOQ Planner '!A33,Raw_Orders!$B:$B,"&gt;="&amp;DATE(2025,1,1),Raw_Orders!$B:$B,"&lt;="&amp;EOMONTH(DATE(2025,1,1),0))</f>
        <v>486</v>
      </c>
      <c r="C33">
        <f>SUMIFS(Raw_Orders!$H:$H,Raw_Orders!$E:$E,'Reorder EOQ Planner '!A33,Raw_Orders!$B:$B,"&gt;="&amp;DATE(2025,2,1),Raw_Orders!$B:$B,"&lt;="&amp;EOMONTH(DATE(2025,2,1),0))</f>
        <v>421</v>
      </c>
      <c r="D33">
        <f>SUMIFS(Raw_Orders!$H:$H,Raw_Orders!$E:$E,'Reorder EOQ Planner '!A33,Raw_Orders!$B:$B,"&gt;="&amp;DATE(2025,3,1),Raw_Orders!$B:$B,"&lt;="&amp;EOMONTH(DATE(2025,3,1),0))</f>
        <v>623</v>
      </c>
      <c r="E33">
        <f>SUMIFS(Raw_Orders!$H:$H,Raw_Orders!$E:$E,'Reorder EOQ Planner '!$A33,Raw_Orders!$B:$B,"&gt;="&amp;DATE(2025,4,1),Raw_Orders!$B:$B,"&lt;="&amp;EOMONTH(DATE(2025,4,1),0))</f>
        <v>414</v>
      </c>
      <c r="F33">
        <f>SUMIFS(Raw_Orders!$H:$H,Raw_Orders!$E:$E,'Reorder EOQ Planner '!$A33,Raw_Orders!$B:$B,"&gt;="&amp;DATE(2025,5,1),Raw_Orders!$B:$B,"&lt;="&amp;EOMONTH(DATE(2025,5,1),0))</f>
        <v>564</v>
      </c>
      <c r="G33">
        <f>SUMIFS(Raw_Orders!$H:$H,Raw_Orders!$E:$E,'Reorder EOQ Planner '!$A33,Raw_Orders!$B:$B,"&gt;="&amp;DATE(2025,6,1),Raw_Orders!$B:$B,"&lt;="&amp;EOMONTH(DATE(2025,6,1),0))</f>
        <v>364</v>
      </c>
      <c r="H33">
        <f>SUMIFS(Raw_Orders!$H:$H,Raw_Orders!$E:$E,'Reorder EOQ Planner '!$A33,Raw_Orders!$B:$B,"&gt;="&amp;DATE(2025,7,1),Raw_Orders!$B:$B,"&lt;="&amp;EOMONTH(DATE(2025,7,1),0))</f>
        <v>554</v>
      </c>
      <c r="I33">
        <f>SUMIFS(Raw_Orders!$H:$H,Raw_Orders!$E:$E,'Reorder EOQ Planner '!$A33,Raw_Orders!$B:$B,"&gt;="&amp;DATE(2025,8,1),Raw_Orders!$B:$B,"&lt;="&amp;EOMONTH(DATE(2025,8,1),0))</f>
        <v>379</v>
      </c>
      <c r="J33">
        <f>SUMIFS(Raw_Orders!$H:$H,Raw_Orders!$E:$E,'Reorder EOQ Planner '!$A33,Raw_Orders!$B:$B,"&gt;="&amp;DATE(2025,9,1),Raw_Orders!$B:$B,"&lt;="&amp;EOMONTH(DATE(2025,9,1),0))</f>
        <v>584</v>
      </c>
      <c r="K33">
        <f>SUMIFS(Raw_Orders!$H:$H,Raw_Orders!$E:$E,'Reorder EOQ Planner '!$A33,Raw_Orders!$B:$B,"&gt;="&amp;DATE(2025,10,1),Raw_Orders!$B:$B,"&lt;="&amp;EOMONTH(DATE(2025,10,1),0))</f>
        <v>406</v>
      </c>
      <c r="L33">
        <f>SUMIFS(Raw_Orders!$H:$H,Raw_Orders!$E:$E,'Reorder EOQ Planner '!$A33,Raw_Orders!$B:$B,"&gt;="&amp;DATE(2025,11,1),Raw_Orders!$B:$B,"&lt;="&amp;EOMONTH(DATE(2025,11,1),0))</f>
        <v>562</v>
      </c>
      <c r="M33">
        <f>SUMIFS(Raw_Orders!$H:$H,Raw_Orders!$E:$E,'Reorder EOQ Planner '!$A33,Raw_Orders!$B:$B,"&gt;="&amp;DATE(2025,12,1),Raw_Orders!$B:$B,"&lt;="&amp;EOMONTH(DATE(2025,12,1),0))</f>
        <v>778</v>
      </c>
      <c r="N33" s="50">
        <f t="shared" si="5"/>
        <v>122.33049497161367</v>
      </c>
      <c r="O33" s="50">
        <f t="shared" si="6"/>
        <v>22.186967191526982</v>
      </c>
    </row>
    <row r="34" spans="1:15" x14ac:dyDescent="0.3">
      <c r="A34" t="str">
        <f>Raw_Inventory!A5</f>
        <v>SKU-004</v>
      </c>
      <c r="B34">
        <f>SUMIFS(Raw_Orders!$H:$H,Raw_Orders!$E:$E,'Reorder EOQ Planner '!A34,Raw_Orders!$B:$B,"&gt;="&amp;DATE(2025,1,1),Raw_Orders!$B:$B,"&lt;="&amp;EOMONTH(DATE(2025,1,1),0))</f>
        <v>190</v>
      </c>
      <c r="C34">
        <f>SUMIFS(Raw_Orders!$H:$H,Raw_Orders!$E:$E,'Reorder EOQ Planner '!A34,Raw_Orders!$B:$B,"&gt;="&amp;DATE(2025,2,1),Raw_Orders!$B:$B,"&lt;="&amp;EOMONTH(DATE(2025,2,1),0))</f>
        <v>194</v>
      </c>
      <c r="D34">
        <f>SUMIFS(Raw_Orders!$H:$H,Raw_Orders!$E:$E,'Reorder EOQ Planner '!A34,Raw_Orders!$B:$B,"&gt;="&amp;DATE(2025,3,1),Raw_Orders!$B:$B,"&lt;="&amp;EOMONTH(DATE(2025,3,1),0))</f>
        <v>240</v>
      </c>
      <c r="E34">
        <f>SUMIFS(Raw_Orders!$H:$H,Raw_Orders!$E:$E,'Reorder EOQ Planner '!$A34,Raw_Orders!$B:$B,"&gt;="&amp;DATE(2025,4,1),Raw_Orders!$B:$B,"&lt;="&amp;EOMONTH(DATE(2025,4,1),0))</f>
        <v>121</v>
      </c>
      <c r="F34">
        <f>SUMIFS(Raw_Orders!$H:$H,Raw_Orders!$E:$E,'Reorder EOQ Planner '!$A34,Raw_Orders!$B:$B,"&gt;="&amp;DATE(2025,5,1),Raw_Orders!$B:$B,"&lt;="&amp;EOMONTH(DATE(2025,5,1),0))</f>
        <v>208</v>
      </c>
      <c r="G34">
        <f>SUMIFS(Raw_Orders!$H:$H,Raw_Orders!$E:$E,'Reorder EOQ Planner '!$A34,Raw_Orders!$B:$B,"&gt;="&amp;DATE(2025,6,1),Raw_Orders!$B:$B,"&lt;="&amp;EOMONTH(DATE(2025,6,1),0))</f>
        <v>169</v>
      </c>
      <c r="H34">
        <f>SUMIFS(Raw_Orders!$H:$H,Raw_Orders!$E:$E,'Reorder EOQ Planner '!$A34,Raw_Orders!$B:$B,"&gt;="&amp;DATE(2025,7,1),Raw_Orders!$B:$B,"&lt;="&amp;EOMONTH(DATE(2025,7,1),0))</f>
        <v>185</v>
      </c>
      <c r="I34">
        <f>SUMIFS(Raw_Orders!$H:$H,Raw_Orders!$E:$E,'Reorder EOQ Planner '!$A34,Raw_Orders!$B:$B,"&gt;="&amp;DATE(2025,8,1),Raw_Orders!$B:$B,"&lt;="&amp;EOMONTH(DATE(2025,8,1),0))</f>
        <v>158</v>
      </c>
      <c r="J34">
        <f>SUMIFS(Raw_Orders!$H:$H,Raw_Orders!$E:$E,'Reorder EOQ Planner '!$A34,Raw_Orders!$B:$B,"&gt;="&amp;DATE(2025,9,1),Raw_Orders!$B:$B,"&lt;="&amp;EOMONTH(DATE(2025,9,1),0))</f>
        <v>147</v>
      </c>
      <c r="K34">
        <f>SUMIFS(Raw_Orders!$H:$H,Raw_Orders!$E:$E,'Reorder EOQ Planner '!$A34,Raw_Orders!$B:$B,"&gt;="&amp;DATE(2025,10,1),Raw_Orders!$B:$B,"&lt;="&amp;EOMONTH(DATE(2025,10,1),0))</f>
        <v>206</v>
      </c>
      <c r="L34">
        <f>SUMIFS(Raw_Orders!$H:$H,Raw_Orders!$E:$E,'Reorder EOQ Planner '!$A34,Raw_Orders!$B:$B,"&gt;="&amp;DATE(2025,11,1),Raw_Orders!$B:$B,"&lt;="&amp;EOMONTH(DATE(2025,11,1),0))</f>
        <v>134</v>
      </c>
      <c r="M34">
        <f>SUMIFS(Raw_Orders!$H:$H,Raw_Orders!$E:$E,'Reorder EOQ Planner '!$A34,Raw_Orders!$B:$B,"&gt;="&amp;DATE(2025,12,1),Raw_Orders!$B:$B,"&lt;="&amp;EOMONTH(DATE(2025,12,1),0))</f>
        <v>243</v>
      </c>
      <c r="N34" s="50">
        <f t="shared" si="5"/>
        <v>38.775480381136227</v>
      </c>
      <c r="O34" s="50">
        <f t="shared" si="6"/>
        <v>7.0326725257802591</v>
      </c>
    </row>
    <row r="35" spans="1:15" x14ac:dyDescent="0.3">
      <c r="A35" t="str">
        <f>Raw_Inventory!A6</f>
        <v>SKU-005</v>
      </c>
      <c r="B35">
        <f>SUMIFS(Raw_Orders!$H:$H,Raw_Orders!$E:$E,'Reorder EOQ Planner '!A35,Raw_Orders!$B:$B,"&gt;="&amp;DATE(2025,1,1),Raw_Orders!$B:$B,"&lt;="&amp;EOMONTH(DATE(2025,1,1),0))</f>
        <v>362</v>
      </c>
      <c r="C35">
        <f>SUMIFS(Raw_Orders!$H:$H,Raw_Orders!$E:$E,'Reorder EOQ Planner '!A35,Raw_Orders!$B:$B,"&gt;="&amp;DATE(2025,2,1),Raw_Orders!$B:$B,"&lt;="&amp;EOMONTH(DATE(2025,2,1),0))</f>
        <v>272</v>
      </c>
      <c r="D35">
        <f>SUMIFS(Raw_Orders!$H:$H,Raw_Orders!$E:$E,'Reorder EOQ Planner '!A35,Raw_Orders!$B:$B,"&gt;="&amp;DATE(2025,3,1),Raw_Orders!$B:$B,"&lt;="&amp;EOMONTH(DATE(2025,3,1),0))</f>
        <v>285</v>
      </c>
      <c r="E35">
        <f>SUMIFS(Raw_Orders!$H:$H,Raw_Orders!$E:$E,'Reorder EOQ Planner '!$A35,Raw_Orders!$B:$B,"&gt;="&amp;DATE(2025,4,1),Raw_Orders!$B:$B,"&lt;="&amp;EOMONTH(DATE(2025,4,1),0))</f>
        <v>300</v>
      </c>
      <c r="F35">
        <f>SUMIFS(Raw_Orders!$H:$H,Raw_Orders!$E:$E,'Reorder EOQ Planner '!$A35,Raw_Orders!$B:$B,"&gt;="&amp;DATE(2025,5,1),Raw_Orders!$B:$B,"&lt;="&amp;EOMONTH(DATE(2025,5,1),0))</f>
        <v>434</v>
      </c>
      <c r="G35">
        <f>SUMIFS(Raw_Orders!$H:$H,Raw_Orders!$E:$E,'Reorder EOQ Planner '!$A35,Raw_Orders!$B:$B,"&gt;="&amp;DATE(2025,6,1),Raw_Orders!$B:$B,"&lt;="&amp;EOMONTH(DATE(2025,6,1),0))</f>
        <v>278</v>
      </c>
      <c r="H35">
        <f>SUMIFS(Raw_Orders!$H:$H,Raw_Orders!$E:$E,'Reorder EOQ Planner '!$A35,Raw_Orders!$B:$B,"&gt;="&amp;DATE(2025,7,1),Raw_Orders!$B:$B,"&lt;="&amp;EOMONTH(DATE(2025,7,1),0))</f>
        <v>416</v>
      </c>
      <c r="I35">
        <f>SUMIFS(Raw_Orders!$H:$H,Raw_Orders!$E:$E,'Reorder EOQ Planner '!$A35,Raw_Orders!$B:$B,"&gt;="&amp;DATE(2025,8,1),Raw_Orders!$B:$B,"&lt;="&amp;EOMONTH(DATE(2025,8,1),0))</f>
        <v>587</v>
      </c>
      <c r="J35">
        <f>SUMIFS(Raw_Orders!$H:$H,Raw_Orders!$E:$E,'Reorder EOQ Planner '!$A35,Raw_Orders!$B:$B,"&gt;="&amp;DATE(2025,9,1),Raw_Orders!$B:$B,"&lt;="&amp;EOMONTH(DATE(2025,9,1),0))</f>
        <v>378</v>
      </c>
      <c r="K35">
        <f>SUMIFS(Raw_Orders!$H:$H,Raw_Orders!$E:$E,'Reorder EOQ Planner '!$A35,Raw_Orders!$B:$B,"&gt;="&amp;DATE(2025,10,1),Raw_Orders!$B:$B,"&lt;="&amp;EOMONTH(DATE(2025,10,1),0))</f>
        <v>572</v>
      </c>
      <c r="L35">
        <f>SUMIFS(Raw_Orders!$H:$H,Raw_Orders!$E:$E,'Reorder EOQ Planner '!$A35,Raw_Orders!$B:$B,"&gt;="&amp;DATE(2025,11,1),Raw_Orders!$B:$B,"&lt;="&amp;EOMONTH(DATE(2025,11,1),0))</f>
        <v>440</v>
      </c>
      <c r="M35">
        <f>SUMIFS(Raw_Orders!$H:$H,Raw_Orders!$E:$E,'Reorder EOQ Planner '!$A35,Raw_Orders!$B:$B,"&gt;="&amp;DATE(2025,12,1),Raw_Orders!$B:$B,"&lt;="&amp;EOMONTH(DATE(2025,12,1),0))</f>
        <v>389</v>
      </c>
      <c r="N35" s="50">
        <f t="shared" si="5"/>
        <v>105.94863678388522</v>
      </c>
      <c r="O35" s="50">
        <f t="shared" si="6"/>
        <v>19.215804929560175</v>
      </c>
    </row>
    <row r="36" spans="1:15" x14ac:dyDescent="0.3">
      <c r="A36" t="str">
        <f>Raw_Inventory!A7</f>
        <v>SKU-006</v>
      </c>
      <c r="B36">
        <f>SUMIFS(Raw_Orders!$H:$H,Raw_Orders!$E:$E,'Reorder EOQ Planner '!A36,Raw_Orders!$B:$B,"&gt;="&amp;DATE(2025,1,1),Raw_Orders!$B:$B,"&lt;="&amp;EOMONTH(DATE(2025,1,1),0))</f>
        <v>161</v>
      </c>
      <c r="C36">
        <f>SUMIFS(Raw_Orders!$H:$H,Raw_Orders!$E:$E,'Reorder EOQ Planner '!A36,Raw_Orders!$B:$B,"&gt;="&amp;DATE(2025,2,1),Raw_Orders!$B:$B,"&lt;="&amp;EOMONTH(DATE(2025,2,1),0))</f>
        <v>184</v>
      </c>
      <c r="D36">
        <f>SUMIFS(Raw_Orders!$H:$H,Raw_Orders!$E:$E,'Reorder EOQ Planner '!A36,Raw_Orders!$B:$B,"&gt;="&amp;DATE(2025,3,1),Raw_Orders!$B:$B,"&lt;="&amp;EOMONTH(DATE(2025,3,1),0))</f>
        <v>145</v>
      </c>
      <c r="E36">
        <f>SUMIFS(Raw_Orders!$H:$H,Raw_Orders!$E:$E,'Reorder EOQ Planner '!$A36,Raw_Orders!$B:$B,"&gt;="&amp;DATE(2025,4,1),Raw_Orders!$B:$B,"&lt;="&amp;EOMONTH(DATE(2025,4,1),0))</f>
        <v>134</v>
      </c>
      <c r="F36">
        <f>SUMIFS(Raw_Orders!$H:$H,Raw_Orders!$E:$E,'Reorder EOQ Planner '!$A36,Raw_Orders!$B:$B,"&gt;="&amp;DATE(2025,5,1),Raw_Orders!$B:$B,"&lt;="&amp;EOMONTH(DATE(2025,5,1),0))</f>
        <v>257</v>
      </c>
      <c r="G36">
        <f>SUMIFS(Raw_Orders!$H:$H,Raw_Orders!$E:$E,'Reorder EOQ Planner '!$A36,Raw_Orders!$B:$B,"&gt;="&amp;DATE(2025,6,1),Raw_Orders!$B:$B,"&lt;="&amp;EOMONTH(DATE(2025,6,1),0))</f>
        <v>205</v>
      </c>
      <c r="H36">
        <f>SUMIFS(Raw_Orders!$H:$H,Raw_Orders!$E:$E,'Reorder EOQ Planner '!$A36,Raw_Orders!$B:$B,"&gt;="&amp;DATE(2025,7,1),Raw_Orders!$B:$B,"&lt;="&amp;EOMONTH(DATE(2025,7,1),0))</f>
        <v>224</v>
      </c>
      <c r="I36">
        <f>SUMIFS(Raw_Orders!$H:$H,Raw_Orders!$E:$E,'Reorder EOQ Planner '!$A36,Raw_Orders!$B:$B,"&gt;="&amp;DATE(2025,8,1),Raw_Orders!$B:$B,"&lt;="&amp;EOMONTH(DATE(2025,8,1),0))</f>
        <v>185</v>
      </c>
      <c r="J36">
        <f>SUMIFS(Raw_Orders!$H:$H,Raw_Orders!$E:$E,'Reorder EOQ Planner '!$A36,Raw_Orders!$B:$B,"&gt;="&amp;DATE(2025,9,1),Raw_Orders!$B:$B,"&lt;="&amp;EOMONTH(DATE(2025,9,1),0))</f>
        <v>76</v>
      </c>
      <c r="K36">
        <f>SUMIFS(Raw_Orders!$H:$H,Raw_Orders!$E:$E,'Reorder EOQ Planner '!$A36,Raw_Orders!$B:$B,"&gt;="&amp;DATE(2025,10,1),Raw_Orders!$B:$B,"&lt;="&amp;EOMONTH(DATE(2025,10,1),0))</f>
        <v>280</v>
      </c>
      <c r="L36">
        <f>SUMIFS(Raw_Orders!$H:$H,Raw_Orders!$E:$E,'Reorder EOQ Planner '!$A36,Raw_Orders!$B:$B,"&gt;="&amp;DATE(2025,11,1),Raw_Orders!$B:$B,"&lt;="&amp;EOMONTH(DATE(2025,11,1),0))</f>
        <v>253</v>
      </c>
      <c r="M36">
        <f>SUMIFS(Raw_Orders!$H:$H,Raw_Orders!$E:$E,'Reorder EOQ Planner '!$A36,Raw_Orders!$B:$B,"&gt;="&amp;DATE(2025,12,1),Raw_Orders!$B:$B,"&lt;="&amp;EOMONTH(DATE(2025,12,1),0))</f>
        <v>194</v>
      </c>
      <c r="N36" s="50">
        <f t="shared" si="5"/>
        <v>57.986675585470024</v>
      </c>
      <c r="O36" s="50">
        <f t="shared" si="6"/>
        <v>10.51698899002314</v>
      </c>
    </row>
    <row r="37" spans="1:15" x14ac:dyDescent="0.3">
      <c r="A37" t="str">
        <f>Raw_Inventory!A8</f>
        <v>SKU-007</v>
      </c>
      <c r="B37">
        <f>SUMIFS(Raw_Orders!$H:$H,Raw_Orders!$E:$E,'Reorder EOQ Planner '!A37,Raw_Orders!$B:$B,"&gt;="&amp;DATE(2025,1,1),Raw_Orders!$B:$B,"&lt;="&amp;EOMONTH(DATE(2025,1,1),0))</f>
        <v>157</v>
      </c>
      <c r="C37">
        <f>SUMIFS(Raw_Orders!$H:$H,Raw_Orders!$E:$E,'Reorder EOQ Planner '!A37,Raw_Orders!$B:$B,"&gt;="&amp;DATE(2025,2,1),Raw_Orders!$B:$B,"&lt;="&amp;EOMONTH(DATE(2025,2,1),0))</f>
        <v>169</v>
      </c>
      <c r="D37">
        <f>SUMIFS(Raw_Orders!$H:$H,Raw_Orders!$E:$E,'Reorder EOQ Planner '!A37,Raw_Orders!$B:$B,"&gt;="&amp;DATE(2025,3,1),Raw_Orders!$B:$B,"&lt;="&amp;EOMONTH(DATE(2025,3,1),0))</f>
        <v>156</v>
      </c>
      <c r="E37">
        <f>SUMIFS(Raw_Orders!$H:$H,Raw_Orders!$E:$E,'Reorder EOQ Planner '!$A37,Raw_Orders!$B:$B,"&gt;="&amp;DATE(2025,4,1),Raw_Orders!$B:$B,"&lt;="&amp;EOMONTH(DATE(2025,4,1),0))</f>
        <v>182</v>
      </c>
      <c r="F37">
        <f>SUMIFS(Raw_Orders!$H:$H,Raw_Orders!$E:$E,'Reorder EOQ Planner '!$A37,Raw_Orders!$B:$B,"&gt;="&amp;DATE(2025,5,1),Raw_Orders!$B:$B,"&lt;="&amp;EOMONTH(DATE(2025,5,1),0))</f>
        <v>208</v>
      </c>
      <c r="G37">
        <f>SUMIFS(Raw_Orders!$H:$H,Raw_Orders!$E:$E,'Reorder EOQ Planner '!$A37,Raw_Orders!$B:$B,"&gt;="&amp;DATE(2025,6,1),Raw_Orders!$B:$B,"&lt;="&amp;EOMONTH(DATE(2025,6,1),0))</f>
        <v>217</v>
      </c>
      <c r="H37">
        <f>SUMIFS(Raw_Orders!$H:$H,Raw_Orders!$E:$E,'Reorder EOQ Planner '!$A37,Raw_Orders!$B:$B,"&gt;="&amp;DATE(2025,7,1),Raw_Orders!$B:$B,"&lt;="&amp;EOMONTH(DATE(2025,7,1),0))</f>
        <v>133</v>
      </c>
      <c r="I37">
        <f>SUMIFS(Raw_Orders!$H:$H,Raw_Orders!$E:$E,'Reorder EOQ Planner '!$A37,Raw_Orders!$B:$B,"&gt;="&amp;DATE(2025,8,1),Raw_Orders!$B:$B,"&lt;="&amp;EOMONTH(DATE(2025,8,1),0))</f>
        <v>154</v>
      </c>
      <c r="J37">
        <f>SUMIFS(Raw_Orders!$H:$H,Raw_Orders!$E:$E,'Reorder EOQ Planner '!$A37,Raw_Orders!$B:$B,"&gt;="&amp;DATE(2025,9,1),Raw_Orders!$B:$B,"&lt;="&amp;EOMONTH(DATE(2025,9,1),0))</f>
        <v>199</v>
      </c>
      <c r="K37">
        <f>SUMIFS(Raw_Orders!$H:$H,Raw_Orders!$E:$E,'Reorder EOQ Planner '!$A37,Raw_Orders!$B:$B,"&gt;="&amp;DATE(2025,10,1),Raw_Orders!$B:$B,"&lt;="&amp;EOMONTH(DATE(2025,10,1),0))</f>
        <v>296</v>
      </c>
      <c r="L37">
        <f>SUMIFS(Raw_Orders!$H:$H,Raw_Orders!$E:$E,'Reorder EOQ Planner '!$A37,Raw_Orders!$B:$B,"&gt;="&amp;DATE(2025,11,1),Raw_Orders!$B:$B,"&lt;="&amp;EOMONTH(DATE(2025,11,1),0))</f>
        <v>254</v>
      </c>
      <c r="M37">
        <f>SUMIFS(Raw_Orders!$H:$H,Raw_Orders!$E:$E,'Reorder EOQ Planner '!$A37,Raw_Orders!$B:$B,"&gt;="&amp;DATE(2025,12,1),Raw_Orders!$B:$B,"&lt;="&amp;EOMONTH(DATE(2025,12,1),0))</f>
        <v>224</v>
      </c>
      <c r="N37" s="50">
        <f t="shared" si="5"/>
        <v>47.213489982881342</v>
      </c>
      <c r="O37" s="50">
        <f t="shared" si="6"/>
        <v>8.5630664168468389</v>
      </c>
    </row>
    <row r="38" spans="1:15" x14ac:dyDescent="0.3">
      <c r="A38" t="str">
        <f>Raw_Inventory!A9</f>
        <v>SKU-008</v>
      </c>
      <c r="B38">
        <f>SUMIFS(Raw_Orders!$H:$H,Raw_Orders!$E:$E,'Reorder EOQ Planner '!A38,Raw_Orders!$B:$B,"&gt;="&amp;DATE(2025,1,1),Raw_Orders!$B:$B,"&lt;="&amp;EOMONTH(DATE(2025,1,1),0))</f>
        <v>404</v>
      </c>
      <c r="C38">
        <f>SUMIFS(Raw_Orders!$H:$H,Raw_Orders!$E:$E,'Reorder EOQ Planner '!A38,Raw_Orders!$B:$B,"&gt;="&amp;DATE(2025,2,1),Raw_Orders!$B:$B,"&lt;="&amp;EOMONTH(DATE(2025,2,1),0))</f>
        <v>525</v>
      </c>
      <c r="D38">
        <f>SUMIFS(Raw_Orders!$H:$H,Raw_Orders!$E:$E,'Reorder EOQ Planner '!A38,Raw_Orders!$B:$B,"&gt;="&amp;DATE(2025,3,1),Raw_Orders!$B:$B,"&lt;="&amp;EOMONTH(DATE(2025,3,1),0))</f>
        <v>682</v>
      </c>
      <c r="E38">
        <f>SUMIFS(Raw_Orders!$H:$H,Raw_Orders!$E:$E,'Reorder EOQ Planner '!$A38,Raw_Orders!$B:$B,"&gt;="&amp;DATE(2025,4,1),Raw_Orders!$B:$B,"&lt;="&amp;EOMONTH(DATE(2025,4,1),0))</f>
        <v>494</v>
      </c>
      <c r="F38">
        <f>SUMIFS(Raw_Orders!$H:$H,Raw_Orders!$E:$E,'Reorder EOQ Planner '!$A38,Raw_Orders!$B:$B,"&gt;="&amp;DATE(2025,5,1),Raw_Orders!$B:$B,"&lt;="&amp;EOMONTH(DATE(2025,5,1),0))</f>
        <v>463</v>
      </c>
      <c r="G38">
        <f>SUMIFS(Raw_Orders!$H:$H,Raw_Orders!$E:$E,'Reorder EOQ Planner '!$A38,Raw_Orders!$B:$B,"&gt;="&amp;DATE(2025,6,1),Raw_Orders!$B:$B,"&lt;="&amp;EOMONTH(DATE(2025,6,1),0))</f>
        <v>432</v>
      </c>
      <c r="H38">
        <f>SUMIFS(Raw_Orders!$H:$H,Raw_Orders!$E:$E,'Reorder EOQ Planner '!$A38,Raw_Orders!$B:$B,"&gt;="&amp;DATE(2025,7,1),Raw_Orders!$B:$B,"&lt;="&amp;EOMONTH(DATE(2025,7,1),0))</f>
        <v>566</v>
      </c>
      <c r="I38">
        <f>SUMIFS(Raw_Orders!$H:$H,Raw_Orders!$E:$E,'Reorder EOQ Planner '!$A38,Raw_Orders!$B:$B,"&gt;="&amp;DATE(2025,8,1),Raw_Orders!$B:$B,"&lt;="&amp;EOMONTH(DATE(2025,8,1),0))</f>
        <v>793</v>
      </c>
      <c r="J38">
        <f>SUMIFS(Raw_Orders!$H:$H,Raw_Orders!$E:$E,'Reorder EOQ Planner '!$A38,Raw_Orders!$B:$B,"&gt;="&amp;DATE(2025,9,1),Raw_Orders!$B:$B,"&lt;="&amp;EOMONTH(DATE(2025,9,1),0))</f>
        <v>652</v>
      </c>
      <c r="K38">
        <f>SUMIFS(Raw_Orders!$H:$H,Raw_Orders!$E:$E,'Reorder EOQ Planner '!$A38,Raw_Orders!$B:$B,"&gt;="&amp;DATE(2025,10,1),Raw_Orders!$B:$B,"&lt;="&amp;EOMONTH(DATE(2025,10,1),0))</f>
        <v>824</v>
      </c>
      <c r="L38">
        <f>SUMIFS(Raw_Orders!$H:$H,Raw_Orders!$E:$E,'Reorder EOQ Planner '!$A38,Raw_Orders!$B:$B,"&gt;="&amp;DATE(2025,11,1),Raw_Orders!$B:$B,"&lt;="&amp;EOMONTH(DATE(2025,11,1),0))</f>
        <v>769</v>
      </c>
      <c r="M38">
        <f>SUMIFS(Raw_Orders!$H:$H,Raw_Orders!$E:$E,'Reorder EOQ Planner '!$A38,Raw_Orders!$B:$B,"&gt;="&amp;DATE(2025,12,1),Raw_Orders!$B:$B,"&lt;="&amp;EOMONTH(DATE(2025,12,1),0))</f>
        <v>584</v>
      </c>
      <c r="N38" s="50">
        <f t="shared" si="5"/>
        <v>144.31153170075558</v>
      </c>
      <c r="O38" s="50">
        <f t="shared" si="6"/>
        <v>26.173647216474059</v>
      </c>
    </row>
    <row r="39" spans="1:15" x14ac:dyDescent="0.3">
      <c r="A39" t="str">
        <f>Raw_Inventory!A10</f>
        <v>SKU-009</v>
      </c>
      <c r="B39">
        <f>SUMIFS(Raw_Orders!$H:$H,Raw_Orders!$E:$E,'Reorder EOQ Planner '!A39,Raw_Orders!$B:$B,"&gt;="&amp;DATE(2025,1,1),Raw_Orders!$B:$B,"&lt;="&amp;EOMONTH(DATE(2025,1,1),0))</f>
        <v>238</v>
      </c>
      <c r="C39">
        <f>SUMIFS(Raw_Orders!$H:$H,Raw_Orders!$E:$E,'Reorder EOQ Planner '!A39,Raw_Orders!$B:$B,"&gt;="&amp;DATE(2025,2,1),Raw_Orders!$B:$B,"&lt;="&amp;EOMONTH(DATE(2025,2,1),0))</f>
        <v>280</v>
      </c>
      <c r="D39">
        <f>SUMIFS(Raw_Orders!$H:$H,Raw_Orders!$E:$E,'Reorder EOQ Planner '!A39,Raw_Orders!$B:$B,"&gt;="&amp;DATE(2025,3,1),Raw_Orders!$B:$B,"&lt;="&amp;EOMONTH(DATE(2025,3,1),0))</f>
        <v>253</v>
      </c>
      <c r="E39">
        <f>SUMIFS(Raw_Orders!$H:$H,Raw_Orders!$E:$E,'Reorder EOQ Planner '!$A39,Raw_Orders!$B:$B,"&gt;="&amp;DATE(2025,4,1),Raw_Orders!$B:$B,"&lt;="&amp;EOMONTH(DATE(2025,4,1),0))</f>
        <v>119</v>
      </c>
      <c r="F39">
        <f>SUMIFS(Raw_Orders!$H:$H,Raw_Orders!$E:$E,'Reorder EOQ Planner '!$A39,Raw_Orders!$B:$B,"&gt;="&amp;DATE(2025,5,1),Raw_Orders!$B:$B,"&lt;="&amp;EOMONTH(DATE(2025,5,1),0))</f>
        <v>256</v>
      </c>
      <c r="G39">
        <f>SUMIFS(Raw_Orders!$H:$H,Raw_Orders!$E:$E,'Reorder EOQ Planner '!$A39,Raw_Orders!$B:$B,"&gt;="&amp;DATE(2025,6,1),Raw_Orders!$B:$B,"&lt;="&amp;EOMONTH(DATE(2025,6,1),0))</f>
        <v>241</v>
      </c>
      <c r="H39">
        <f>SUMIFS(Raw_Orders!$H:$H,Raw_Orders!$E:$E,'Reorder EOQ Planner '!$A39,Raw_Orders!$B:$B,"&gt;="&amp;DATE(2025,7,1),Raw_Orders!$B:$B,"&lt;="&amp;EOMONTH(DATE(2025,7,1),0))</f>
        <v>310</v>
      </c>
      <c r="I39">
        <f>SUMIFS(Raw_Orders!$H:$H,Raw_Orders!$E:$E,'Reorder EOQ Planner '!$A39,Raw_Orders!$B:$B,"&gt;="&amp;DATE(2025,8,1),Raw_Orders!$B:$B,"&lt;="&amp;EOMONTH(DATE(2025,8,1),0))</f>
        <v>298</v>
      </c>
      <c r="J39">
        <f>SUMIFS(Raw_Orders!$H:$H,Raw_Orders!$E:$E,'Reorder EOQ Planner '!$A39,Raw_Orders!$B:$B,"&gt;="&amp;DATE(2025,9,1),Raw_Orders!$B:$B,"&lt;="&amp;EOMONTH(DATE(2025,9,1),0))</f>
        <v>235</v>
      </c>
      <c r="K39">
        <f>SUMIFS(Raw_Orders!$H:$H,Raw_Orders!$E:$E,'Reorder EOQ Planner '!$A39,Raw_Orders!$B:$B,"&gt;="&amp;DATE(2025,10,1),Raw_Orders!$B:$B,"&lt;="&amp;EOMONTH(DATE(2025,10,1),0))</f>
        <v>464</v>
      </c>
      <c r="L39">
        <f>SUMIFS(Raw_Orders!$H:$H,Raw_Orders!$E:$E,'Reorder EOQ Planner '!$A39,Raw_Orders!$B:$B,"&gt;="&amp;DATE(2025,11,1),Raw_Orders!$B:$B,"&lt;="&amp;EOMONTH(DATE(2025,11,1),0))</f>
        <v>328</v>
      </c>
      <c r="M39">
        <f>SUMIFS(Raw_Orders!$H:$H,Raw_Orders!$E:$E,'Reorder EOQ Planner '!$A39,Raw_Orders!$B:$B,"&gt;="&amp;DATE(2025,12,1),Raw_Orders!$B:$B,"&lt;="&amp;EOMONTH(DATE(2025,12,1),0))</f>
        <v>290</v>
      </c>
      <c r="N39" s="50">
        <f t="shared" si="5"/>
        <v>79.674337148168362</v>
      </c>
      <c r="O39" s="50">
        <f t="shared" si="6"/>
        <v>14.450459836063496</v>
      </c>
    </row>
    <row r="40" spans="1:15" x14ac:dyDescent="0.3">
      <c r="A40" t="str">
        <f>Raw_Inventory!A11</f>
        <v>SKU-010</v>
      </c>
      <c r="B40">
        <f>SUMIFS(Raw_Orders!$H:$H,Raw_Orders!$E:$E,'Reorder EOQ Planner '!A40,Raw_Orders!$B:$B,"&gt;="&amp;DATE(2025,1,1),Raw_Orders!$B:$B,"&lt;="&amp;EOMONTH(DATE(2025,1,1),0))</f>
        <v>418</v>
      </c>
      <c r="C40">
        <f>SUMIFS(Raw_Orders!$H:$H,Raw_Orders!$E:$E,'Reorder EOQ Planner '!A40,Raw_Orders!$B:$B,"&gt;="&amp;DATE(2025,2,1),Raw_Orders!$B:$B,"&lt;="&amp;EOMONTH(DATE(2025,2,1),0))</f>
        <v>389</v>
      </c>
      <c r="D40">
        <f>SUMIFS(Raw_Orders!$H:$H,Raw_Orders!$E:$E,'Reorder EOQ Planner '!A40,Raw_Orders!$B:$B,"&gt;="&amp;DATE(2025,3,1),Raw_Orders!$B:$B,"&lt;="&amp;EOMONTH(DATE(2025,3,1),0))</f>
        <v>401</v>
      </c>
      <c r="E40">
        <f>SUMIFS(Raw_Orders!$H:$H,Raw_Orders!$E:$E,'Reorder EOQ Planner '!$A40,Raw_Orders!$B:$B,"&gt;="&amp;DATE(2025,4,1),Raw_Orders!$B:$B,"&lt;="&amp;EOMONTH(DATE(2025,4,1),0))</f>
        <v>607</v>
      </c>
      <c r="F40">
        <f>SUMIFS(Raw_Orders!$H:$H,Raw_Orders!$E:$E,'Reorder EOQ Planner '!$A40,Raw_Orders!$B:$B,"&gt;="&amp;DATE(2025,5,1),Raw_Orders!$B:$B,"&lt;="&amp;EOMONTH(DATE(2025,5,1),0))</f>
        <v>347</v>
      </c>
      <c r="G40">
        <f>SUMIFS(Raw_Orders!$H:$H,Raw_Orders!$E:$E,'Reorder EOQ Planner '!$A40,Raw_Orders!$B:$B,"&gt;="&amp;DATE(2025,6,1),Raw_Orders!$B:$B,"&lt;="&amp;EOMONTH(DATE(2025,6,1),0))</f>
        <v>579</v>
      </c>
      <c r="H40">
        <f>SUMIFS(Raw_Orders!$H:$H,Raw_Orders!$E:$E,'Reorder EOQ Planner '!$A40,Raw_Orders!$B:$B,"&gt;="&amp;DATE(2025,7,1),Raw_Orders!$B:$B,"&lt;="&amp;EOMONTH(DATE(2025,7,1),0))</f>
        <v>534</v>
      </c>
      <c r="I40">
        <f>SUMIFS(Raw_Orders!$H:$H,Raw_Orders!$E:$E,'Reorder EOQ Planner '!$A40,Raw_Orders!$B:$B,"&gt;="&amp;DATE(2025,8,1),Raw_Orders!$B:$B,"&lt;="&amp;EOMONTH(DATE(2025,8,1),0))</f>
        <v>385</v>
      </c>
      <c r="J40">
        <f>SUMIFS(Raw_Orders!$H:$H,Raw_Orders!$E:$E,'Reorder EOQ Planner '!$A40,Raw_Orders!$B:$B,"&gt;="&amp;DATE(2025,9,1),Raw_Orders!$B:$B,"&lt;="&amp;EOMONTH(DATE(2025,9,1),0))</f>
        <v>690</v>
      </c>
      <c r="K40">
        <f>SUMIFS(Raw_Orders!$H:$H,Raw_Orders!$E:$E,'Reorder EOQ Planner '!$A40,Raw_Orders!$B:$B,"&gt;="&amp;DATE(2025,10,1),Raw_Orders!$B:$B,"&lt;="&amp;EOMONTH(DATE(2025,10,1),0))</f>
        <v>698</v>
      </c>
      <c r="L40">
        <f>SUMIFS(Raw_Orders!$H:$H,Raw_Orders!$E:$E,'Reorder EOQ Planner '!$A40,Raw_Orders!$B:$B,"&gt;="&amp;DATE(2025,11,1),Raw_Orders!$B:$B,"&lt;="&amp;EOMONTH(DATE(2025,11,1),0))</f>
        <v>738</v>
      </c>
      <c r="M40">
        <f>SUMIFS(Raw_Orders!$H:$H,Raw_Orders!$E:$E,'Reorder EOQ Planner '!$A40,Raw_Orders!$B:$B,"&gt;="&amp;DATE(2025,12,1),Raw_Orders!$B:$B,"&lt;="&amp;EOMONTH(DATE(2025,12,1),0))</f>
        <v>751</v>
      </c>
      <c r="N40" s="50">
        <f t="shared" si="5"/>
        <v>152.32866679411569</v>
      </c>
      <c r="O40" s="50">
        <f t="shared" si="6"/>
        <v>27.627707492513128</v>
      </c>
    </row>
    <row r="41" spans="1:15" x14ac:dyDescent="0.3">
      <c r="A41" t="str">
        <f>Raw_Inventory!A12</f>
        <v>SKU-011</v>
      </c>
      <c r="B41">
        <f>SUMIFS(Raw_Orders!$H:$H,Raw_Orders!$E:$E,'Reorder EOQ Planner '!A41,Raw_Orders!$B:$B,"&gt;="&amp;DATE(2025,1,1),Raw_Orders!$B:$B,"&lt;="&amp;EOMONTH(DATE(2025,1,1),0))</f>
        <v>588</v>
      </c>
      <c r="C41">
        <f>SUMIFS(Raw_Orders!$H:$H,Raw_Orders!$E:$E,'Reorder EOQ Planner '!A41,Raw_Orders!$B:$B,"&gt;="&amp;DATE(2025,2,1),Raw_Orders!$B:$B,"&lt;="&amp;EOMONTH(DATE(2025,2,1),0))</f>
        <v>265</v>
      </c>
      <c r="D41">
        <f>SUMIFS(Raw_Orders!$H:$H,Raw_Orders!$E:$E,'Reorder EOQ Planner '!A41,Raw_Orders!$B:$B,"&gt;="&amp;DATE(2025,3,1),Raw_Orders!$B:$B,"&lt;="&amp;EOMONTH(DATE(2025,3,1),0))</f>
        <v>784</v>
      </c>
      <c r="E41">
        <f>SUMIFS(Raw_Orders!$H:$H,Raw_Orders!$E:$E,'Reorder EOQ Planner '!$A41,Raw_Orders!$B:$B,"&gt;="&amp;DATE(2025,4,1),Raw_Orders!$B:$B,"&lt;="&amp;EOMONTH(DATE(2025,4,1),0))</f>
        <v>501</v>
      </c>
      <c r="F41">
        <f>SUMIFS(Raw_Orders!$H:$H,Raw_Orders!$E:$E,'Reorder EOQ Planner '!$A41,Raw_Orders!$B:$B,"&gt;="&amp;DATE(2025,5,1),Raw_Orders!$B:$B,"&lt;="&amp;EOMONTH(DATE(2025,5,1),0))</f>
        <v>574</v>
      </c>
      <c r="G41">
        <f>SUMIFS(Raw_Orders!$H:$H,Raw_Orders!$E:$E,'Reorder EOQ Planner '!$A41,Raw_Orders!$B:$B,"&gt;="&amp;DATE(2025,6,1),Raw_Orders!$B:$B,"&lt;="&amp;EOMONTH(DATE(2025,6,1),0))</f>
        <v>569</v>
      </c>
      <c r="H41">
        <f>SUMIFS(Raw_Orders!$H:$H,Raw_Orders!$E:$E,'Reorder EOQ Planner '!$A41,Raw_Orders!$B:$B,"&gt;="&amp;DATE(2025,7,1),Raw_Orders!$B:$B,"&lt;="&amp;EOMONTH(DATE(2025,7,1),0))</f>
        <v>583</v>
      </c>
      <c r="I41">
        <f>SUMIFS(Raw_Orders!$H:$H,Raw_Orders!$E:$E,'Reorder EOQ Planner '!$A41,Raw_Orders!$B:$B,"&gt;="&amp;DATE(2025,8,1),Raw_Orders!$B:$B,"&lt;="&amp;EOMONTH(DATE(2025,8,1),0))</f>
        <v>639</v>
      </c>
      <c r="J41">
        <f>SUMIFS(Raw_Orders!$H:$H,Raw_Orders!$E:$E,'Reorder EOQ Planner '!$A41,Raw_Orders!$B:$B,"&gt;="&amp;DATE(2025,9,1),Raw_Orders!$B:$B,"&lt;="&amp;EOMONTH(DATE(2025,9,1),0))</f>
        <v>530</v>
      </c>
      <c r="K41">
        <f>SUMIFS(Raw_Orders!$H:$H,Raw_Orders!$E:$E,'Reorder EOQ Planner '!$A41,Raw_Orders!$B:$B,"&gt;="&amp;DATE(2025,10,1),Raw_Orders!$B:$B,"&lt;="&amp;EOMONTH(DATE(2025,10,1),0))</f>
        <v>737</v>
      </c>
      <c r="L41">
        <f>SUMIFS(Raw_Orders!$H:$H,Raw_Orders!$E:$E,'Reorder EOQ Planner '!$A41,Raw_Orders!$B:$B,"&gt;="&amp;DATE(2025,11,1),Raw_Orders!$B:$B,"&lt;="&amp;EOMONTH(DATE(2025,11,1),0))</f>
        <v>632</v>
      </c>
      <c r="M41">
        <f>SUMIFS(Raw_Orders!$H:$H,Raw_Orders!$E:$E,'Reorder EOQ Planner '!$A41,Raw_Orders!$B:$B,"&gt;="&amp;DATE(2025,12,1),Raw_Orders!$B:$B,"&lt;="&amp;EOMONTH(DATE(2025,12,1),0))</f>
        <v>685</v>
      </c>
      <c r="N41" s="50">
        <f t="shared" si="5"/>
        <v>131.53876603380829</v>
      </c>
      <c r="O41" s="50">
        <f t="shared" si="6"/>
        <v>23.857062681576352</v>
      </c>
    </row>
    <row r="42" spans="1:15" x14ac:dyDescent="0.3">
      <c r="A42" t="str">
        <f>Raw_Inventory!A13</f>
        <v>SKU-012</v>
      </c>
      <c r="B42">
        <f>SUMIFS(Raw_Orders!$H:$H,Raw_Orders!$E:$E,'Reorder EOQ Planner '!A42,Raw_Orders!$B:$B,"&gt;="&amp;DATE(2025,1,1),Raw_Orders!$B:$B,"&lt;="&amp;EOMONTH(DATE(2025,1,1),0))</f>
        <v>235</v>
      </c>
      <c r="C42">
        <f>SUMIFS(Raw_Orders!$H:$H,Raw_Orders!$E:$E,'Reorder EOQ Planner '!A42,Raw_Orders!$B:$B,"&gt;="&amp;DATE(2025,2,1),Raw_Orders!$B:$B,"&lt;="&amp;EOMONTH(DATE(2025,2,1),0))</f>
        <v>364</v>
      </c>
      <c r="D42">
        <f>SUMIFS(Raw_Orders!$H:$H,Raw_Orders!$E:$E,'Reorder EOQ Planner '!A42,Raw_Orders!$B:$B,"&gt;="&amp;DATE(2025,3,1),Raw_Orders!$B:$B,"&lt;="&amp;EOMONTH(DATE(2025,3,1),0))</f>
        <v>295</v>
      </c>
      <c r="E42">
        <f>SUMIFS(Raw_Orders!$H:$H,Raw_Orders!$E:$E,'Reorder EOQ Planner '!$A42,Raw_Orders!$B:$B,"&gt;="&amp;DATE(2025,4,1),Raw_Orders!$B:$B,"&lt;="&amp;EOMONTH(DATE(2025,4,1),0))</f>
        <v>210</v>
      </c>
      <c r="F42">
        <f>SUMIFS(Raw_Orders!$H:$H,Raw_Orders!$E:$E,'Reorder EOQ Planner '!$A42,Raw_Orders!$B:$B,"&gt;="&amp;DATE(2025,5,1),Raw_Orders!$B:$B,"&lt;="&amp;EOMONTH(DATE(2025,5,1),0))</f>
        <v>302</v>
      </c>
      <c r="G42">
        <f>SUMIFS(Raw_Orders!$H:$H,Raw_Orders!$E:$E,'Reorder EOQ Planner '!$A42,Raw_Orders!$B:$B,"&gt;="&amp;DATE(2025,6,1),Raw_Orders!$B:$B,"&lt;="&amp;EOMONTH(DATE(2025,6,1),0))</f>
        <v>390</v>
      </c>
      <c r="H42">
        <f>SUMIFS(Raw_Orders!$H:$H,Raw_Orders!$E:$E,'Reorder EOQ Planner '!$A42,Raw_Orders!$B:$B,"&gt;="&amp;DATE(2025,7,1),Raw_Orders!$B:$B,"&lt;="&amp;EOMONTH(DATE(2025,7,1),0))</f>
        <v>395</v>
      </c>
      <c r="I42">
        <f>SUMIFS(Raw_Orders!$H:$H,Raw_Orders!$E:$E,'Reorder EOQ Planner '!$A42,Raw_Orders!$B:$B,"&gt;="&amp;DATE(2025,8,1),Raw_Orders!$B:$B,"&lt;="&amp;EOMONTH(DATE(2025,8,1),0))</f>
        <v>325</v>
      </c>
      <c r="J42">
        <f>SUMIFS(Raw_Orders!$H:$H,Raw_Orders!$E:$E,'Reorder EOQ Planner '!$A42,Raw_Orders!$B:$B,"&gt;="&amp;DATE(2025,9,1),Raw_Orders!$B:$B,"&lt;="&amp;EOMONTH(DATE(2025,9,1),0))</f>
        <v>359</v>
      </c>
      <c r="K42">
        <f>SUMIFS(Raw_Orders!$H:$H,Raw_Orders!$E:$E,'Reorder EOQ Planner '!$A42,Raw_Orders!$B:$B,"&gt;="&amp;DATE(2025,10,1),Raw_Orders!$B:$B,"&lt;="&amp;EOMONTH(DATE(2025,10,1),0))</f>
        <v>493</v>
      </c>
      <c r="L42">
        <f>SUMIFS(Raw_Orders!$H:$H,Raw_Orders!$E:$E,'Reorder EOQ Planner '!$A42,Raw_Orders!$B:$B,"&gt;="&amp;DATE(2025,11,1),Raw_Orders!$B:$B,"&lt;="&amp;EOMONTH(DATE(2025,11,1),0))</f>
        <v>442</v>
      </c>
      <c r="M42">
        <f>SUMIFS(Raw_Orders!$H:$H,Raw_Orders!$E:$E,'Reorder EOQ Planner '!$A42,Raw_Orders!$B:$B,"&gt;="&amp;DATE(2025,12,1),Raw_Orders!$B:$B,"&lt;="&amp;EOMONTH(DATE(2025,12,1),0))</f>
        <v>555</v>
      </c>
      <c r="N42" s="50">
        <f t="shared" si="5"/>
        <v>100.61187802640401</v>
      </c>
      <c r="O42" s="50">
        <f t="shared" si="6"/>
        <v>18.247881996780368</v>
      </c>
    </row>
    <row r="43" spans="1:15" x14ac:dyDescent="0.3">
      <c r="A43" t="str">
        <f>Raw_Inventory!A14</f>
        <v>SKU-013</v>
      </c>
      <c r="B43">
        <f>SUMIFS(Raw_Orders!$H:$H,Raw_Orders!$E:$E,'Reorder EOQ Planner '!A43,Raw_Orders!$B:$B,"&gt;="&amp;DATE(2025,1,1),Raw_Orders!$B:$B,"&lt;="&amp;EOMONTH(DATE(2025,1,1),0))</f>
        <v>351</v>
      </c>
      <c r="C43">
        <f>SUMIFS(Raw_Orders!$H:$H,Raw_Orders!$E:$E,'Reorder EOQ Planner '!A43,Raw_Orders!$B:$B,"&gt;="&amp;DATE(2025,2,1),Raw_Orders!$B:$B,"&lt;="&amp;EOMONTH(DATE(2025,2,1),0))</f>
        <v>301</v>
      </c>
      <c r="D43">
        <f>SUMIFS(Raw_Orders!$H:$H,Raw_Orders!$E:$E,'Reorder EOQ Planner '!A43,Raw_Orders!$B:$B,"&gt;="&amp;DATE(2025,3,1),Raw_Orders!$B:$B,"&lt;="&amp;EOMONTH(DATE(2025,3,1),0))</f>
        <v>332</v>
      </c>
      <c r="E43">
        <f>SUMIFS(Raw_Orders!$H:$H,Raw_Orders!$E:$E,'Reorder EOQ Planner '!$A43,Raw_Orders!$B:$B,"&gt;="&amp;DATE(2025,4,1),Raw_Orders!$B:$B,"&lt;="&amp;EOMONTH(DATE(2025,4,1),0))</f>
        <v>262</v>
      </c>
      <c r="F43">
        <f>SUMIFS(Raw_Orders!$H:$H,Raw_Orders!$E:$E,'Reorder EOQ Planner '!$A43,Raw_Orders!$B:$B,"&gt;="&amp;DATE(2025,5,1),Raw_Orders!$B:$B,"&lt;="&amp;EOMONTH(DATE(2025,5,1),0))</f>
        <v>338</v>
      </c>
      <c r="G43">
        <f>SUMIFS(Raw_Orders!$H:$H,Raw_Orders!$E:$E,'Reorder EOQ Planner '!$A43,Raw_Orders!$B:$B,"&gt;="&amp;DATE(2025,6,1),Raw_Orders!$B:$B,"&lt;="&amp;EOMONTH(DATE(2025,6,1),0))</f>
        <v>379</v>
      </c>
      <c r="H43">
        <f>SUMIFS(Raw_Orders!$H:$H,Raw_Orders!$E:$E,'Reorder EOQ Planner '!$A43,Raw_Orders!$B:$B,"&gt;="&amp;DATE(2025,7,1),Raw_Orders!$B:$B,"&lt;="&amp;EOMONTH(DATE(2025,7,1),0))</f>
        <v>471</v>
      </c>
      <c r="I43">
        <f>SUMIFS(Raw_Orders!$H:$H,Raw_Orders!$E:$E,'Reorder EOQ Planner '!$A43,Raw_Orders!$B:$B,"&gt;="&amp;DATE(2025,8,1),Raw_Orders!$B:$B,"&lt;="&amp;EOMONTH(DATE(2025,8,1),0))</f>
        <v>342</v>
      </c>
      <c r="J43">
        <f>SUMIFS(Raw_Orders!$H:$H,Raw_Orders!$E:$E,'Reorder EOQ Planner '!$A43,Raw_Orders!$B:$B,"&gt;="&amp;DATE(2025,9,1),Raw_Orders!$B:$B,"&lt;="&amp;EOMONTH(DATE(2025,9,1),0))</f>
        <v>281</v>
      </c>
      <c r="K43">
        <f>SUMIFS(Raw_Orders!$H:$H,Raw_Orders!$E:$E,'Reorder EOQ Planner '!$A43,Raw_Orders!$B:$B,"&gt;="&amp;DATE(2025,10,1),Raw_Orders!$B:$B,"&lt;="&amp;EOMONTH(DATE(2025,10,1),0))</f>
        <v>544</v>
      </c>
      <c r="L43">
        <f>SUMIFS(Raw_Orders!$H:$H,Raw_Orders!$E:$E,'Reorder EOQ Planner '!$A43,Raw_Orders!$B:$B,"&gt;="&amp;DATE(2025,11,1),Raw_Orders!$B:$B,"&lt;="&amp;EOMONTH(DATE(2025,11,1),0))</f>
        <v>385</v>
      </c>
      <c r="M43">
        <f>SUMIFS(Raw_Orders!$H:$H,Raw_Orders!$E:$E,'Reorder EOQ Planner '!$A43,Raw_Orders!$B:$B,"&gt;="&amp;DATE(2025,12,1),Raw_Orders!$B:$B,"&lt;="&amp;EOMONTH(DATE(2025,12,1),0))</f>
        <v>423</v>
      </c>
      <c r="N43" s="50">
        <f t="shared" si="5"/>
        <v>80.606178799184292</v>
      </c>
      <c r="O43" s="50">
        <f t="shared" si="6"/>
        <v>14.619467082732337</v>
      </c>
    </row>
    <row r="44" spans="1:15" x14ac:dyDescent="0.3">
      <c r="A44" t="str">
        <f>Raw_Inventory!A15</f>
        <v>SKU-014</v>
      </c>
      <c r="B44">
        <f>SUMIFS(Raw_Orders!$H:$H,Raw_Orders!$E:$E,'Reorder EOQ Planner '!A44,Raw_Orders!$B:$B,"&gt;="&amp;DATE(2025,1,1),Raw_Orders!$B:$B,"&lt;="&amp;EOMONTH(DATE(2025,1,1),0))</f>
        <v>96</v>
      </c>
      <c r="C44">
        <f>SUMIFS(Raw_Orders!$H:$H,Raw_Orders!$E:$E,'Reorder EOQ Planner '!A44,Raw_Orders!$B:$B,"&gt;="&amp;DATE(2025,2,1),Raw_Orders!$B:$B,"&lt;="&amp;EOMONTH(DATE(2025,2,1),0))</f>
        <v>88</v>
      </c>
      <c r="D44">
        <f>SUMIFS(Raw_Orders!$H:$H,Raw_Orders!$E:$E,'Reorder EOQ Planner '!A44,Raw_Orders!$B:$B,"&gt;="&amp;DATE(2025,3,1),Raw_Orders!$B:$B,"&lt;="&amp;EOMONTH(DATE(2025,3,1),0))</f>
        <v>59</v>
      </c>
      <c r="E44">
        <f>SUMIFS(Raw_Orders!$H:$H,Raw_Orders!$E:$E,'Reorder EOQ Planner '!$A44,Raw_Orders!$B:$B,"&gt;="&amp;DATE(2025,4,1),Raw_Orders!$B:$B,"&lt;="&amp;EOMONTH(DATE(2025,4,1),0))</f>
        <v>83</v>
      </c>
      <c r="F44">
        <f>SUMIFS(Raw_Orders!$H:$H,Raw_Orders!$E:$E,'Reorder EOQ Planner '!$A44,Raw_Orders!$B:$B,"&gt;="&amp;DATE(2025,5,1),Raw_Orders!$B:$B,"&lt;="&amp;EOMONTH(DATE(2025,5,1),0))</f>
        <v>100</v>
      </c>
      <c r="G44">
        <f>SUMIFS(Raw_Orders!$H:$H,Raw_Orders!$E:$E,'Reorder EOQ Planner '!$A44,Raw_Orders!$B:$B,"&gt;="&amp;DATE(2025,6,1),Raw_Orders!$B:$B,"&lt;="&amp;EOMONTH(DATE(2025,6,1),0))</f>
        <v>113</v>
      </c>
      <c r="H44">
        <f>SUMIFS(Raw_Orders!$H:$H,Raw_Orders!$E:$E,'Reorder EOQ Planner '!$A44,Raw_Orders!$B:$B,"&gt;="&amp;DATE(2025,7,1),Raw_Orders!$B:$B,"&lt;="&amp;EOMONTH(DATE(2025,7,1),0))</f>
        <v>88</v>
      </c>
      <c r="I44">
        <f>SUMIFS(Raw_Orders!$H:$H,Raw_Orders!$E:$E,'Reorder EOQ Planner '!$A44,Raw_Orders!$B:$B,"&gt;="&amp;DATE(2025,8,1),Raw_Orders!$B:$B,"&lt;="&amp;EOMONTH(DATE(2025,8,1),0))</f>
        <v>105</v>
      </c>
      <c r="J44">
        <f>SUMIFS(Raw_Orders!$H:$H,Raw_Orders!$E:$E,'Reorder EOQ Planner '!$A44,Raw_Orders!$B:$B,"&gt;="&amp;DATE(2025,9,1),Raw_Orders!$B:$B,"&lt;="&amp;EOMONTH(DATE(2025,9,1),0))</f>
        <v>73</v>
      </c>
      <c r="K44">
        <f>SUMIFS(Raw_Orders!$H:$H,Raw_Orders!$E:$E,'Reorder EOQ Planner '!$A44,Raw_Orders!$B:$B,"&gt;="&amp;DATE(2025,10,1),Raw_Orders!$B:$B,"&lt;="&amp;EOMONTH(DATE(2025,10,1),0))</f>
        <v>134</v>
      </c>
      <c r="L44">
        <f>SUMIFS(Raw_Orders!$H:$H,Raw_Orders!$E:$E,'Reorder EOQ Planner '!$A44,Raw_Orders!$B:$B,"&gt;="&amp;DATE(2025,11,1),Raw_Orders!$B:$B,"&lt;="&amp;EOMONTH(DATE(2025,11,1),0))</f>
        <v>105</v>
      </c>
      <c r="M44">
        <f>SUMIFS(Raw_Orders!$H:$H,Raw_Orders!$E:$E,'Reorder EOQ Planner '!$A44,Raw_Orders!$B:$B,"&gt;="&amp;DATE(2025,12,1),Raw_Orders!$B:$B,"&lt;="&amp;EOMONTH(DATE(2025,12,1),0))</f>
        <v>167</v>
      </c>
      <c r="N44" s="50">
        <f t="shared" si="5"/>
        <v>28.375592371336371</v>
      </c>
      <c r="O44" s="50">
        <f t="shared" si="6"/>
        <v>5.1464545870518412</v>
      </c>
    </row>
    <row r="45" spans="1:15" x14ac:dyDescent="0.3">
      <c r="A45" t="str">
        <f>Raw_Inventory!A16</f>
        <v>SKU-015</v>
      </c>
      <c r="B45">
        <f>SUMIFS(Raw_Orders!$H:$H,Raw_Orders!$E:$E,'Reorder EOQ Planner '!A45,Raw_Orders!$B:$B,"&gt;="&amp;DATE(2025,1,1),Raw_Orders!$B:$B,"&lt;="&amp;EOMONTH(DATE(2025,1,1),0))</f>
        <v>117</v>
      </c>
      <c r="C45">
        <f>SUMIFS(Raw_Orders!$H:$H,Raw_Orders!$E:$E,'Reorder EOQ Planner '!A45,Raw_Orders!$B:$B,"&gt;="&amp;DATE(2025,2,1),Raw_Orders!$B:$B,"&lt;="&amp;EOMONTH(DATE(2025,2,1),0))</f>
        <v>100</v>
      </c>
      <c r="D45">
        <f>SUMIFS(Raw_Orders!$H:$H,Raw_Orders!$E:$E,'Reorder EOQ Planner '!A45,Raw_Orders!$B:$B,"&gt;="&amp;DATE(2025,3,1),Raw_Orders!$B:$B,"&lt;="&amp;EOMONTH(DATE(2025,3,1),0))</f>
        <v>90</v>
      </c>
      <c r="E45">
        <f>SUMIFS(Raw_Orders!$H:$H,Raw_Orders!$E:$E,'Reorder EOQ Planner '!$A45,Raw_Orders!$B:$B,"&gt;="&amp;DATE(2025,4,1),Raw_Orders!$B:$B,"&lt;="&amp;EOMONTH(DATE(2025,4,1),0))</f>
        <v>120</v>
      </c>
      <c r="F45">
        <f>SUMIFS(Raw_Orders!$H:$H,Raw_Orders!$E:$E,'Reorder EOQ Planner '!$A45,Raw_Orders!$B:$B,"&gt;="&amp;DATE(2025,5,1),Raw_Orders!$B:$B,"&lt;="&amp;EOMONTH(DATE(2025,5,1),0))</f>
        <v>108</v>
      </c>
      <c r="G45">
        <f>SUMIFS(Raw_Orders!$H:$H,Raw_Orders!$E:$E,'Reorder EOQ Planner '!$A45,Raw_Orders!$B:$B,"&gt;="&amp;DATE(2025,6,1),Raw_Orders!$B:$B,"&lt;="&amp;EOMONTH(DATE(2025,6,1),0))</f>
        <v>89</v>
      </c>
      <c r="H45">
        <f>SUMIFS(Raw_Orders!$H:$H,Raw_Orders!$E:$E,'Reorder EOQ Planner '!$A45,Raw_Orders!$B:$B,"&gt;="&amp;DATE(2025,7,1),Raw_Orders!$B:$B,"&lt;="&amp;EOMONTH(DATE(2025,7,1),0))</f>
        <v>128</v>
      </c>
      <c r="I45">
        <f>SUMIFS(Raw_Orders!$H:$H,Raw_Orders!$E:$E,'Reorder EOQ Planner '!$A45,Raw_Orders!$B:$B,"&gt;="&amp;DATE(2025,8,1),Raw_Orders!$B:$B,"&lt;="&amp;EOMONTH(DATE(2025,8,1),0))</f>
        <v>164</v>
      </c>
      <c r="J45">
        <f>SUMIFS(Raw_Orders!$H:$H,Raw_Orders!$E:$E,'Reorder EOQ Planner '!$A45,Raw_Orders!$B:$B,"&gt;="&amp;DATE(2025,9,1),Raw_Orders!$B:$B,"&lt;="&amp;EOMONTH(DATE(2025,9,1),0))</f>
        <v>99</v>
      </c>
      <c r="K45">
        <f>SUMIFS(Raw_Orders!$H:$H,Raw_Orders!$E:$E,'Reorder EOQ Planner '!$A45,Raw_Orders!$B:$B,"&gt;="&amp;DATE(2025,10,1),Raw_Orders!$B:$B,"&lt;="&amp;EOMONTH(DATE(2025,10,1),0))</f>
        <v>149</v>
      </c>
      <c r="L45">
        <f>SUMIFS(Raw_Orders!$H:$H,Raw_Orders!$E:$E,'Reorder EOQ Planner '!$A45,Raw_Orders!$B:$B,"&gt;="&amp;DATE(2025,11,1),Raw_Orders!$B:$B,"&lt;="&amp;EOMONTH(DATE(2025,11,1),0))</f>
        <v>188</v>
      </c>
      <c r="M45">
        <f>SUMIFS(Raw_Orders!$H:$H,Raw_Orders!$E:$E,'Reorder EOQ Planner '!$A45,Raw_Orders!$B:$B,"&gt;="&amp;DATE(2025,12,1),Raw_Orders!$B:$B,"&lt;="&amp;EOMONTH(DATE(2025,12,1),0))</f>
        <v>107</v>
      </c>
      <c r="N45" s="50">
        <f t="shared" si="5"/>
        <v>30.835216977680005</v>
      </c>
      <c r="O45" s="50">
        <f t="shared" si="6"/>
        <v>5.5925543960739645</v>
      </c>
    </row>
  </sheetData>
  <mergeCells count="9">
    <mergeCell ref="A24:N24"/>
    <mergeCell ref="A25:M25"/>
    <mergeCell ref="A29:O29"/>
    <mergeCell ref="A28:P28"/>
    <mergeCell ref="A1:N1"/>
    <mergeCell ref="A2:N2"/>
    <mergeCell ref="A3:F3"/>
    <mergeCell ref="A22:N22"/>
    <mergeCell ref="A23:K23"/>
  </mergeCells>
  <conditionalFormatting sqref="N6:N20">
    <cfRule type="expression" priority="1">
      <formula>IF(M6&lt;G6,"Reorder Now","Ok")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showGridLines="0" tabSelected="1" workbookViewId="0">
      <selection activeCell="A27" sqref="A27"/>
    </sheetView>
  </sheetViews>
  <sheetFormatPr defaultRowHeight="14.4" x14ac:dyDescent="0.3"/>
  <cols>
    <col min="1" max="1" width="8.77734375" customWidth="1"/>
    <col min="2" max="2" width="12.6640625" customWidth="1"/>
    <col min="3" max="3" width="11.77734375" customWidth="1"/>
    <col min="4" max="4" width="16.21875" customWidth="1"/>
    <col min="5" max="5" width="29.88671875" customWidth="1"/>
    <col min="6" max="6" width="15.77734375" customWidth="1"/>
    <col min="7" max="7" width="28.44140625" customWidth="1"/>
  </cols>
  <sheetData>
    <row r="1" spans="1:14" ht="25.8" x14ac:dyDescent="0.5">
      <c r="A1" s="77" t="s">
        <v>5137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 x14ac:dyDescent="0.3">
      <c r="A2" s="76" t="s">
        <v>5133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4" spans="1:14" x14ac:dyDescent="0.3">
      <c r="A4" t="s">
        <v>5134</v>
      </c>
      <c r="B4" t="s">
        <v>5135</v>
      </c>
      <c r="C4" t="s">
        <v>5136</v>
      </c>
      <c r="D4" t="s">
        <v>5138</v>
      </c>
      <c r="E4" t="s">
        <v>5139</v>
      </c>
      <c r="F4" t="s">
        <v>5141</v>
      </c>
      <c r="G4" t="s">
        <v>5082</v>
      </c>
    </row>
    <row r="5" spans="1:14" x14ac:dyDescent="0.3">
      <c r="A5" s="78">
        <v>45658</v>
      </c>
      <c r="B5" s="79">
        <v>45658</v>
      </c>
      <c r="C5" s="79">
        <v>45688</v>
      </c>
      <c r="D5">
        <f>SUMIFS(Raw_Orders!$H:$H,Raw_Orders!$B:$B,"&gt;="&amp;'Demand forecast'!B5,Raw_Orders!$B:$B,"&lt;="&amp;'Demand forecast'!C5)</f>
        <v>4498</v>
      </c>
      <c r="E5" s="63" t="s">
        <v>5140</v>
      </c>
      <c r="F5" t="s">
        <v>5083</v>
      </c>
      <c r="G5" t="s">
        <v>5083</v>
      </c>
    </row>
    <row r="6" spans="1:14" x14ac:dyDescent="0.3">
      <c r="A6" s="78">
        <v>45689</v>
      </c>
      <c r="B6" s="79">
        <v>45689</v>
      </c>
      <c r="C6" s="79">
        <v>45716</v>
      </c>
      <c r="D6">
        <f>SUMIFS(Raw_Orders!$H:$H,Raw_Orders!$B:$B,"&gt;="&amp;'Demand forecast'!B6,Raw_Orders!$B:$B,"&lt;="&amp;'Demand forecast'!C6)</f>
        <v>4188</v>
      </c>
      <c r="E6" s="63" t="s">
        <v>5140</v>
      </c>
      <c r="F6" s="15">
        <f>IFERROR((D5-D6)/D5,"n/a")</f>
        <v>6.8919519786571806E-2</v>
      </c>
      <c r="G6" t="s">
        <v>5083</v>
      </c>
    </row>
    <row r="7" spans="1:14" x14ac:dyDescent="0.3">
      <c r="A7" s="78">
        <v>45717</v>
      </c>
      <c r="B7" s="79">
        <v>45717</v>
      </c>
      <c r="C7" s="79">
        <v>45747</v>
      </c>
      <c r="D7">
        <f>SUMIFS(Raw_Orders!$H:$H,Raw_Orders!$B:$B,"&gt;="&amp;'Demand forecast'!B7,Raw_Orders!$B:$B,"&lt;="&amp;'Demand forecast'!C7)</f>
        <v>5054</v>
      </c>
      <c r="E7" s="63" t="s">
        <v>5140</v>
      </c>
      <c r="F7" s="15">
        <f t="shared" ref="F7:F16" si="0">IFERROR((D6-D7)/D6,"n/a")</f>
        <v>-0.20678127984718242</v>
      </c>
      <c r="G7" t="s">
        <v>5083</v>
      </c>
    </row>
    <row r="8" spans="1:14" x14ac:dyDescent="0.3">
      <c r="A8" s="78">
        <v>45748</v>
      </c>
      <c r="B8" s="79">
        <v>45748</v>
      </c>
      <c r="C8" s="79">
        <v>45777</v>
      </c>
      <c r="D8">
        <f>SUMIFS(Raw_Orders!$H:$H,Raw_Orders!$B:$B,"&gt;="&amp;'Demand forecast'!B8,Raw_Orders!$B:$B,"&lt;="&amp;'Demand forecast'!C8)</f>
        <v>4070</v>
      </c>
      <c r="E8" s="50">
        <f>AVERAGE(D5:D7)</f>
        <v>4580</v>
      </c>
      <c r="F8" s="15">
        <f t="shared" si="0"/>
        <v>0.19469726948951327</v>
      </c>
      <c r="G8" s="15">
        <f>ABS(D8-E8)/D8</f>
        <v>0.12530712530712532</v>
      </c>
    </row>
    <row r="9" spans="1:14" x14ac:dyDescent="0.3">
      <c r="A9" s="78">
        <v>45778</v>
      </c>
      <c r="B9" s="79">
        <v>45778</v>
      </c>
      <c r="C9" s="79">
        <v>45808</v>
      </c>
      <c r="D9">
        <f>SUMIFS(Raw_Orders!$H:$H,Raw_Orders!$B:$B,"&gt;="&amp;'Demand forecast'!B9,Raw_Orders!$B:$B,"&lt;="&amp;'Demand forecast'!C9)</f>
        <v>4905</v>
      </c>
      <c r="E9" s="50">
        <f t="shared" ref="E9:E16" si="1">AVERAGE(D6:D8)</f>
        <v>4437.333333333333</v>
      </c>
      <c r="F9" s="15">
        <f t="shared" si="0"/>
        <v>-0.20515970515970516</v>
      </c>
      <c r="G9" s="15">
        <f t="shared" ref="G9:G16" si="2">ABS(D9-E9)/D9</f>
        <v>9.5344886170574308E-2</v>
      </c>
    </row>
    <row r="10" spans="1:14" x14ac:dyDescent="0.3">
      <c r="A10" s="78">
        <v>45809</v>
      </c>
      <c r="B10" s="79">
        <v>45809</v>
      </c>
      <c r="C10" s="79">
        <v>45838</v>
      </c>
      <c r="D10">
        <f>SUMIFS(Raw_Orders!$H:$H,Raw_Orders!$B:$B,"&gt;="&amp;'Demand forecast'!B10,Raw_Orders!$B:$B,"&lt;="&amp;'Demand forecast'!C10)</f>
        <v>4531</v>
      </c>
      <c r="E10" s="50">
        <f t="shared" si="1"/>
        <v>4676.333333333333</v>
      </c>
      <c r="F10" s="15">
        <f t="shared" si="0"/>
        <v>7.6248725790010199E-2</v>
      </c>
      <c r="G10" s="15">
        <f t="shared" si="2"/>
        <v>3.2075332891929605E-2</v>
      </c>
    </row>
    <row r="11" spans="1:14" x14ac:dyDescent="0.3">
      <c r="A11" s="78">
        <v>45839</v>
      </c>
      <c r="B11" s="79">
        <v>45839</v>
      </c>
      <c r="C11" s="79">
        <v>45869</v>
      </c>
      <c r="D11">
        <f>SUMIFS(Raw_Orders!$H:$H,Raw_Orders!$B:$B,"&gt;="&amp;'Demand forecast'!B11,Raw_Orders!$B:$B,"&lt;="&amp;'Demand forecast'!C11)</f>
        <v>5290</v>
      </c>
      <c r="E11" s="50">
        <f t="shared" si="1"/>
        <v>4502</v>
      </c>
      <c r="F11" s="15">
        <f t="shared" si="0"/>
        <v>-0.16751269035532995</v>
      </c>
      <c r="G11" s="15">
        <f t="shared" si="2"/>
        <v>0.14896030245746691</v>
      </c>
    </row>
    <row r="12" spans="1:14" x14ac:dyDescent="0.3">
      <c r="A12" s="78">
        <v>45870</v>
      </c>
      <c r="B12" s="79">
        <v>45870</v>
      </c>
      <c r="C12" s="79">
        <v>45900</v>
      </c>
      <c r="D12">
        <f>SUMIFS(Raw_Orders!$H:$H,Raw_Orders!$B:$B,"&gt;="&amp;'Demand forecast'!B12,Raw_Orders!$B:$B,"&lt;="&amp;'Demand forecast'!C12)</f>
        <v>5361</v>
      </c>
      <c r="E12" s="50">
        <f t="shared" si="1"/>
        <v>4908.666666666667</v>
      </c>
      <c r="F12" s="15">
        <f t="shared" si="0"/>
        <v>-1.3421550094517959E-2</v>
      </c>
      <c r="G12" s="15">
        <f t="shared" si="2"/>
        <v>8.4374805695454774E-2</v>
      </c>
    </row>
    <row r="13" spans="1:14" x14ac:dyDescent="0.3">
      <c r="A13" s="78">
        <v>45901</v>
      </c>
      <c r="B13" s="79">
        <v>45901</v>
      </c>
      <c r="C13" s="79">
        <v>45930</v>
      </c>
      <c r="D13">
        <f>SUMIFS(Raw_Orders!$H:$H,Raw_Orders!$B:$B,"&gt;="&amp;'Demand forecast'!B13,Raw_Orders!$B:$B,"&lt;="&amp;'Demand forecast'!C13)</f>
        <v>4975</v>
      </c>
      <c r="E13" s="50">
        <f t="shared" si="1"/>
        <v>5060.666666666667</v>
      </c>
      <c r="F13" s="15">
        <f t="shared" si="0"/>
        <v>7.2001492258906924E-2</v>
      </c>
      <c r="G13" s="15">
        <f t="shared" si="2"/>
        <v>1.7219430485762206E-2</v>
      </c>
    </row>
    <row r="14" spans="1:14" x14ac:dyDescent="0.3">
      <c r="A14" s="78">
        <v>45931</v>
      </c>
      <c r="B14" s="79">
        <v>45931</v>
      </c>
      <c r="C14" s="79">
        <v>45961</v>
      </c>
      <c r="D14">
        <f>SUMIFS(Raw_Orders!$H:$H,Raw_Orders!$B:$B,"&gt;="&amp;'Demand forecast'!B14,Raw_Orders!$B:$B,"&lt;="&amp;'Demand forecast'!C14)</f>
        <v>6566</v>
      </c>
      <c r="E14" s="50">
        <f t="shared" si="1"/>
        <v>5208.666666666667</v>
      </c>
      <c r="F14" s="15">
        <f t="shared" si="0"/>
        <v>-0.31979899497487435</v>
      </c>
      <c r="G14" s="15">
        <f t="shared" si="2"/>
        <v>0.20672149456797639</v>
      </c>
    </row>
    <row r="15" spans="1:14" x14ac:dyDescent="0.3">
      <c r="A15" s="78">
        <v>45962</v>
      </c>
      <c r="B15" s="79">
        <v>45962</v>
      </c>
      <c r="C15" s="79">
        <v>45991</v>
      </c>
      <c r="D15">
        <f>SUMIFS(Raw_Orders!$H:$H,Raw_Orders!$B:$B,"&gt;="&amp;'Demand forecast'!B15,Raw_Orders!$B:$B,"&lt;="&amp;'Demand forecast'!C15)</f>
        <v>5986</v>
      </c>
      <c r="E15" s="50">
        <f t="shared" si="1"/>
        <v>5634</v>
      </c>
      <c r="F15" s="15">
        <f t="shared" si="0"/>
        <v>8.8333840999086199E-2</v>
      </c>
      <c r="G15" s="15">
        <f t="shared" si="2"/>
        <v>5.8803875709989975E-2</v>
      </c>
    </row>
    <row r="16" spans="1:14" x14ac:dyDescent="0.3">
      <c r="A16" s="78">
        <v>45992</v>
      </c>
      <c r="B16" s="79">
        <v>45992</v>
      </c>
      <c r="C16" s="79">
        <v>46022</v>
      </c>
      <c r="D16">
        <f>SUMIFS(Raw_Orders!$H:$H,Raw_Orders!$B:$B,"&gt;="&amp;'Demand forecast'!B16,Raw_Orders!$B:$B,"&lt;="&amp;'Demand forecast'!C16)</f>
        <v>6376</v>
      </c>
      <c r="E16" s="50">
        <f t="shared" si="1"/>
        <v>5842.333333333333</v>
      </c>
      <c r="F16" s="15">
        <f t="shared" si="0"/>
        <v>-6.5152021383227537E-2</v>
      </c>
      <c r="G16" s="15">
        <f t="shared" si="2"/>
        <v>8.3699289000418287E-2</v>
      </c>
    </row>
    <row r="17" spans="1:7" x14ac:dyDescent="0.3">
      <c r="A17" s="49" t="s">
        <v>5084</v>
      </c>
      <c r="B17" s="49"/>
      <c r="D17" s="80">
        <f>AVERAGE(D14:D16)</f>
        <v>6309.333333333333</v>
      </c>
    </row>
    <row r="19" spans="1:7" x14ac:dyDescent="0.3">
      <c r="A19" s="68" t="s">
        <v>5085</v>
      </c>
      <c r="B19" s="68"/>
      <c r="C19" s="68"/>
      <c r="D19" s="68"/>
      <c r="E19" s="68"/>
      <c r="F19" s="68"/>
      <c r="G19" s="81">
        <f>AVERAGE(G8:G16)</f>
        <v>9.4722949142966417E-2</v>
      </c>
    </row>
    <row r="20" spans="1:7" x14ac:dyDescent="0.3">
      <c r="A20" s="82" t="s">
        <v>5142</v>
      </c>
      <c r="B20" s="82"/>
      <c r="C20" s="82"/>
      <c r="D20" s="82"/>
      <c r="E20" s="82"/>
      <c r="F20" s="82"/>
      <c r="G20" s="82"/>
    </row>
    <row r="21" spans="1:7" x14ac:dyDescent="0.3">
      <c r="A21" s="82"/>
      <c r="B21" s="82"/>
      <c r="C21" s="82"/>
      <c r="D21" s="82"/>
      <c r="E21" s="82"/>
      <c r="F21" s="82"/>
      <c r="G21" s="82"/>
    </row>
    <row r="22" spans="1:7" x14ac:dyDescent="0.3">
      <c r="A22" s="82"/>
      <c r="B22" s="82"/>
      <c r="C22" s="82"/>
      <c r="D22" s="82"/>
      <c r="E22" s="82"/>
      <c r="F22" s="82"/>
      <c r="G22" s="82"/>
    </row>
  </sheetData>
  <mergeCells count="5">
    <mergeCell ref="A1:N1"/>
    <mergeCell ref="A2:M2"/>
    <mergeCell ref="A17:B17"/>
    <mergeCell ref="A19:F19"/>
    <mergeCell ref="A20:G2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Raw_Shipments</vt:lpstr>
      <vt:lpstr>Raw_Orders</vt:lpstr>
      <vt:lpstr>Raw_Inventory</vt:lpstr>
      <vt:lpstr>Raw_Suppliers</vt:lpstr>
      <vt:lpstr>KPI Dashboard </vt:lpstr>
      <vt:lpstr>ABC Analysis</vt:lpstr>
      <vt:lpstr>Reorder EOQ Planner </vt:lpstr>
      <vt:lpstr>Demand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Kumar</cp:lastModifiedBy>
  <cp:revision>0</cp:revision>
  <cp:lastPrinted>2026-07-22T15:57:15Z</cp:lastPrinted>
  <dcterms:created xsi:type="dcterms:W3CDTF">2026-07-21T11:25:34Z</dcterms:created>
  <dcterms:modified xsi:type="dcterms:W3CDTF">2026-07-26T11:50:58Z</dcterms:modified>
  <dc:language>en-US</dc:language>
</cp:coreProperties>
</file>